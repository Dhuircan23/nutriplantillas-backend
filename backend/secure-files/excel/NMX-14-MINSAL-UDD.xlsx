
<file path=[Content_Types].xml><?xml version="1.0" encoding="utf-8"?>
<Types xmlns="http://schemas.openxmlformats.org/package/2006/content-types">
  <Default Extension="jpeg" ContentType="image/jpe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worksheets/sheet28.xml" ContentType="application/vnd.openxmlformats-officedocument.spreadsheetml.worksheet+xml"/>
  <Override PartName="/xl/worksheets/sheet29.xml" ContentType="application/vnd.openxmlformats-officedocument.spreadsheetml.worksheet+xml"/>
  <Override PartName="/xl/worksheets/sheet30.xml" ContentType="application/vnd.openxmlformats-officedocument.spreadsheetml.worksheet+xml"/>
  <Override PartName="/xl/worksheets/sheet3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harts/chart1.xml" ContentType="application/vnd.openxmlformats-officedocument.drawingml.chart+xml"/>
  <Override PartName="/xl/drawings/drawing2.xml" ContentType="application/vnd.openxmlformats-officedocument.drawing+xml"/>
  <Override PartName="/xl/charts/chart2.xml" ContentType="application/vnd.openxmlformats-officedocument.drawingml.chart+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4334"/>
  <workbookPr/>
  <mc:AlternateContent xmlns:mc="http://schemas.openxmlformats.org/markup-compatibility/2006">
    <mc:Choice Requires="x15">
      <x15ac:absPath xmlns:x15ac="http://schemas.microsoft.com/office/spreadsheetml/2010/11/ac" url="C:\Users\Daniel\AppData\Local\Temp\Rar$DIa91372.19456\"/>
    </mc:Choice>
  </mc:AlternateContent>
  <xr:revisionPtr revIDLastSave="0" documentId="13_ncr:1_{D0EE745A-693B-480B-AF57-E76367D3BF01}" xr6:coauthVersionLast="47" xr6:coauthVersionMax="47" xr10:uidLastSave="{00000000-0000-0000-0000-000000000000}"/>
  <bookViews>
    <workbookView xWindow="-120" yWindow="-120" windowWidth="29040" windowHeight="15840" tabRatio="697" xr2:uid="{00000000-000D-0000-FFFF-FFFF00000000}"/>
  </bookViews>
  <sheets>
    <sheet name="INICIO" sheetId="1" r:id="rId1"/>
    <sheet name="Ingreso" sheetId="2" r:id="rId2"/>
    <sheet name="Cálculos" sheetId="3" state="hidden" r:id="rId3"/>
    <sheet name="Interpretación" sheetId="4" r:id="rId4"/>
    <sheet name="GRÁFICO" sheetId="5" r:id="rId5"/>
    <sheet name="Informe" sheetId="6" r:id="rId6"/>
    <sheet name="FUENTES" sheetId="7" r:id="rId7"/>
    <sheet name="Tablas_OMS" sheetId="8" state="hidden" r:id="rId8"/>
    <sheet name="CHANGELOG" sheetId="9" r:id="rId9"/>
    <sheet name="PRUEBAS_COMPATIBILIDAD" sheetId="10" state="hidden" r:id="rId10"/>
    <sheet name="OMS_TABLAS_OFICIALES" sheetId="11" r:id="rId11"/>
    <sheet name="REGLAS_OFICIALES" sheetId="12" state="hidden" r:id="rId12"/>
    <sheet name="SITUACIONES_ESPECIALES" sheetId="13" state="hidden" r:id="rId13"/>
    <sheet name="VALIDACION_TABLAS" sheetId="14" state="hidden" r:id="rId14"/>
    <sheet name="MOD_CICLO_PEDIATRICO" sheetId="15" state="hidden" r:id="rId15"/>
    <sheet name="MOD_PREMATURIDAD" sheetId="16" state="hidden" r:id="rId16"/>
    <sheet name="MOD_PERIMETRO_CEFALICO" sheetId="17" state="hidden" r:id="rId17"/>
    <sheet name="MOD_SINDROME_DOWN" sheetId="18" state="hidden" r:id="rId18"/>
    <sheet name="MOD_PARALISIS_CEREBRAL" sheetId="19" state="hidden" r:id="rId19"/>
    <sheet name="MOD_EDAD_BIOLOGICA" sheetId="20" state="hidden" r:id="rId20"/>
    <sheet name="UDD_TRAZABILIDAD" sheetId="21" state="hidden" r:id="rId21"/>
    <sheet name="OMS_PCE_0_60" sheetId="22" state="hidden" r:id="rId22"/>
    <sheet name="PCE_CORRECCION_TALLA" sheetId="23" state="hidden" r:id="rId23"/>
    <sheet name="DOWN_INTEGRADO" sheetId="24" state="hidden" r:id="rId24"/>
    <sheet name="FUENTES_RESUELTAS" sheetId="25" state="hidden" r:id="rId25"/>
    <sheet name="RESUMEN" sheetId="26" state="hidden" r:id="rId26"/>
    <sheet name="CASOS" sheetId="27" state="hidden" r:id="rId27"/>
    <sheet name="VERIFICACIONES" sheetId="28" state="hidden" r:id="rId28"/>
    <sheet name="HALLAZGOS" sheetId="29" state="hidden" r:id="rId29"/>
    <sheet name="INTEGRIDAD_TABLAS" sheetId="30" state="hidden" r:id="rId30"/>
    <sheet name="LOG" sheetId="31" state="hidden" r:id="rId31"/>
  </sheets>
  <calcPr calcId="191029" iterateDelta="1E-4"/>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 xmlns:xlwcv="http://schemas.microsoft.com/office/spreadsheetml/2024/workbookCompatibilityVersion" uri="{D14903EA-33C4-47F7-8F05-3474C54BE107}">
      <xlwcv:version setVersion="1"/>
    </ext>
  </extLst>
</workbook>
</file>

<file path=xl/calcChain.xml><?xml version="1.0" encoding="utf-8"?>
<calcChain xmlns="http://schemas.openxmlformats.org/spreadsheetml/2006/main">
  <c r="H3" i="1" l="1"/>
  <c r="G3" i="1"/>
  <c r="F3" i="1"/>
  <c r="E3" i="1"/>
  <c r="D3" i="1"/>
  <c r="C3" i="1"/>
  <c r="B3" i="1"/>
  <c r="A3" i="1"/>
  <c r="C13" i="4"/>
  <c r="B13" i="24" l="1"/>
  <c r="B12" i="24"/>
  <c r="B11" i="24"/>
  <c r="B9" i="24"/>
  <c r="G14" i="24" s="1"/>
  <c r="B8" i="24"/>
  <c r="B6" i="24"/>
  <c r="B5" i="24"/>
  <c r="B21" i="24" s="1"/>
  <c r="B8" i="23"/>
  <c r="B7" i="23"/>
  <c r="B5" i="23"/>
  <c r="E81" i="23" s="1"/>
  <c r="B10" i="20"/>
  <c r="B5" i="20"/>
  <c r="B6" i="19"/>
  <c r="B5" i="19"/>
  <c r="B8" i="18"/>
  <c r="B5" i="18"/>
  <c r="G9" i="15"/>
  <c r="J5" i="15"/>
  <c r="G5" i="15"/>
  <c r="F14" i="10"/>
  <c r="H14" i="10" s="1"/>
  <c r="F13" i="10"/>
  <c r="H13" i="10" s="1"/>
  <c r="F12" i="10"/>
  <c r="H12" i="10" s="1"/>
  <c r="F11" i="10"/>
  <c r="H11" i="10" s="1"/>
  <c r="F9" i="10"/>
  <c r="H9" i="10" s="1"/>
  <c r="F8" i="10"/>
  <c r="H8" i="10" s="1"/>
  <c r="F7" i="10"/>
  <c r="H7" i="10" s="1"/>
  <c r="K6" i="10"/>
  <c r="F6" i="10"/>
  <c r="H6" i="10" s="1"/>
  <c r="K5" i="10"/>
  <c r="F5" i="10"/>
  <c r="H5" i="10" s="1"/>
  <c r="K4" i="10"/>
  <c r="F4" i="10"/>
  <c r="H4" i="10" s="1"/>
  <c r="C5" i="6"/>
  <c r="G13" i="4"/>
  <c r="H13" i="4" s="1"/>
  <c r="E13" i="4"/>
  <c r="D13" i="4"/>
  <c r="G12" i="4"/>
  <c r="E12" i="4"/>
  <c r="D12" i="4"/>
  <c r="C12" i="4"/>
  <c r="G11" i="4"/>
  <c r="H11" i="4" s="1"/>
  <c r="D11" i="4"/>
  <c r="C11" i="4"/>
  <c r="C10" i="4"/>
  <c r="D9" i="4"/>
  <c r="D8" i="4"/>
  <c r="C8" i="4"/>
  <c r="C57" i="3"/>
  <c r="C54" i="3"/>
  <c r="C51" i="3"/>
  <c r="B6" i="16" s="1"/>
  <c r="C44" i="3"/>
  <c r="B5" i="16" s="1"/>
  <c r="C42" i="3"/>
  <c r="C43" i="3" s="1"/>
  <c r="C41" i="3"/>
  <c r="C36" i="3"/>
  <c r="G8" i="4" s="1"/>
  <c r="H8" i="4" s="1"/>
  <c r="C19" i="3"/>
  <c r="C7" i="3"/>
  <c r="C4" i="3"/>
  <c r="C3" i="3"/>
  <c r="C5" i="3" s="1"/>
  <c r="C29" i="23" l="1"/>
  <c r="B42" i="23"/>
  <c r="C56" i="23"/>
  <c r="G27" i="23"/>
  <c r="C40" i="23"/>
  <c r="D54" i="23"/>
  <c r="C82" i="23"/>
  <c r="C33" i="23"/>
  <c r="D47" i="23"/>
  <c r="G62" i="23"/>
  <c r="G34" i="23"/>
  <c r="B49" i="23"/>
  <c r="C66" i="23"/>
  <c r="F10" i="10"/>
  <c r="H10" i="10" s="1"/>
  <c r="H16" i="10" s="1"/>
  <c r="C25" i="23"/>
  <c r="E30" i="23"/>
  <c r="F36" i="23"/>
  <c r="F43" i="23"/>
  <c r="G50" i="23"/>
  <c r="B58" i="23"/>
  <c r="E71" i="23"/>
  <c r="E26" i="23"/>
  <c r="G31" i="23"/>
  <c r="D38" i="23"/>
  <c r="E45" i="23"/>
  <c r="F52" i="23"/>
  <c r="C60" i="23"/>
  <c r="G76" i="23"/>
  <c r="B10" i="24"/>
  <c r="G12" i="24" s="1"/>
  <c r="C46" i="3"/>
  <c r="C47" i="3" s="1"/>
  <c r="D24" i="23"/>
  <c r="F25" i="23"/>
  <c r="B27" i="23"/>
  <c r="D28" i="23"/>
  <c r="F29" i="23"/>
  <c r="B31" i="23"/>
  <c r="D32" i="23"/>
  <c r="F33" i="23"/>
  <c r="E35" i="23"/>
  <c r="D37" i="23"/>
  <c r="B39" i="23"/>
  <c r="G40" i="23"/>
  <c r="F42" i="23"/>
  <c r="D44" i="23"/>
  <c r="C46" i="23"/>
  <c r="B48" i="23"/>
  <c r="F49" i="23"/>
  <c r="E51" i="23"/>
  <c r="D53" i="23"/>
  <c r="B55" i="23"/>
  <c r="G56" i="23"/>
  <c r="F58" i="23"/>
  <c r="B61" i="23"/>
  <c r="F63" i="23"/>
  <c r="C68" i="23"/>
  <c r="E73" i="23"/>
  <c r="G78" i="23"/>
  <c r="C84" i="23"/>
  <c r="E24" i="23"/>
  <c r="G25" i="23"/>
  <c r="C27" i="23"/>
  <c r="E28" i="23"/>
  <c r="G29" i="23"/>
  <c r="C31" i="23"/>
  <c r="E32" i="23"/>
  <c r="B34" i="23"/>
  <c r="F35" i="23"/>
  <c r="E37" i="23"/>
  <c r="D39" i="23"/>
  <c r="B41" i="23"/>
  <c r="G42" i="23"/>
  <c r="F44" i="23"/>
  <c r="D46" i="23"/>
  <c r="C48" i="23"/>
  <c r="B50" i="23"/>
  <c r="F51" i="23"/>
  <c r="E53" i="23"/>
  <c r="D55" i="23"/>
  <c r="B57" i="23"/>
  <c r="G58" i="23"/>
  <c r="E61" i="23"/>
  <c r="C64" i="23"/>
  <c r="G68" i="23"/>
  <c r="C74" i="23"/>
  <c r="E79" i="23"/>
  <c r="G84" i="23"/>
  <c r="B25" i="23"/>
  <c r="D26" i="23"/>
  <c r="F27" i="23"/>
  <c r="B29" i="23"/>
  <c r="D30" i="23"/>
  <c r="F31" i="23"/>
  <c r="B33" i="23"/>
  <c r="F34" i="23"/>
  <c r="D36" i="23"/>
  <c r="C38" i="23"/>
  <c r="B40" i="23"/>
  <c r="F41" i="23"/>
  <c r="E43" i="23"/>
  <c r="D45" i="23"/>
  <c r="B47" i="23"/>
  <c r="G48" i="23"/>
  <c r="F50" i="23"/>
  <c r="D52" i="23"/>
  <c r="C54" i="23"/>
  <c r="B56" i="23"/>
  <c r="F57" i="23"/>
  <c r="F59" i="23"/>
  <c r="D62" i="23"/>
  <c r="E65" i="23"/>
  <c r="G70" i="23"/>
  <c r="C76" i="23"/>
  <c r="H12" i="4"/>
  <c r="E11" i="4"/>
  <c r="F16" i="10"/>
  <c r="B12" i="20"/>
  <c r="B11" i="20"/>
  <c r="C38" i="3"/>
  <c r="C48" i="3"/>
  <c r="C45" i="3"/>
  <c r="C49" i="3"/>
  <c r="C50" i="3"/>
  <c r="C37" i="3"/>
  <c r="E8" i="4" s="1"/>
  <c r="F84" i="23"/>
  <c r="B84" i="23"/>
  <c r="D83" i="23"/>
  <c r="F82" i="23"/>
  <c r="B82" i="23"/>
  <c r="D81" i="23"/>
  <c r="F80" i="23"/>
  <c r="B80" i="23"/>
  <c r="D79" i="23"/>
  <c r="F78" i="23"/>
  <c r="B78" i="23"/>
  <c r="D77" i="23"/>
  <c r="F76" i="23"/>
  <c r="B76" i="23"/>
  <c r="D75" i="23"/>
  <c r="F74" i="23"/>
  <c r="B74" i="23"/>
  <c r="D73" i="23"/>
  <c r="F72" i="23"/>
  <c r="B72" i="23"/>
  <c r="D71" i="23"/>
  <c r="F70" i="23"/>
  <c r="B70" i="23"/>
  <c r="D69" i="23"/>
  <c r="F68" i="23"/>
  <c r="B68" i="23"/>
  <c r="D67" i="23"/>
  <c r="F66" i="23"/>
  <c r="B66" i="23"/>
  <c r="D65" i="23"/>
  <c r="F64" i="23"/>
  <c r="B64" i="23"/>
  <c r="D63" i="23"/>
  <c r="F62" i="23"/>
  <c r="B62" i="23"/>
  <c r="D61" i="23"/>
  <c r="F60" i="23"/>
  <c r="B60" i="23"/>
  <c r="D59" i="23"/>
  <c r="E84" i="23"/>
  <c r="G83" i="23"/>
  <c r="C83" i="23"/>
  <c r="E82" i="23"/>
  <c r="G81" i="23"/>
  <c r="C81" i="23"/>
  <c r="E80" i="23"/>
  <c r="G79" i="23"/>
  <c r="C79" i="23"/>
  <c r="E78" i="23"/>
  <c r="G77" i="23"/>
  <c r="C77" i="23"/>
  <c r="E76" i="23"/>
  <c r="G75" i="23"/>
  <c r="C75" i="23"/>
  <c r="E74" i="23"/>
  <c r="G73" i="23"/>
  <c r="C73" i="23"/>
  <c r="E72" i="23"/>
  <c r="G71" i="23"/>
  <c r="C71" i="23"/>
  <c r="E70" i="23"/>
  <c r="G69" i="23"/>
  <c r="C69" i="23"/>
  <c r="E68" i="23"/>
  <c r="G67" i="23"/>
  <c r="C67" i="23"/>
  <c r="E66" i="23"/>
  <c r="G65" i="23"/>
  <c r="C65" i="23"/>
  <c r="E64" i="23"/>
  <c r="G63" i="23"/>
  <c r="C63" i="23"/>
  <c r="E62" i="23"/>
  <c r="G61" i="23"/>
  <c r="C61" i="23"/>
  <c r="E60" i="23"/>
  <c r="G59" i="23"/>
  <c r="C59" i="23"/>
  <c r="E58" i="23"/>
  <c r="G57" i="23"/>
  <c r="C57" i="23"/>
  <c r="E56" i="23"/>
  <c r="G55" i="23"/>
  <c r="C55" i="23"/>
  <c r="E54" i="23"/>
  <c r="G53" i="23"/>
  <c r="C53" i="23"/>
  <c r="E52" i="23"/>
  <c r="G51" i="23"/>
  <c r="C51" i="23"/>
  <c r="E50" i="23"/>
  <c r="G49" i="23"/>
  <c r="C49" i="23"/>
  <c r="E48" i="23"/>
  <c r="G47" i="23"/>
  <c r="C47" i="23"/>
  <c r="E46" i="23"/>
  <c r="G45" i="23"/>
  <c r="C45" i="23"/>
  <c r="E44" i="23"/>
  <c r="G43" i="23"/>
  <c r="C43" i="23"/>
  <c r="E42" i="23"/>
  <c r="G41" i="23"/>
  <c r="C41" i="23"/>
  <c r="E40" i="23"/>
  <c r="G39" i="23"/>
  <c r="C39" i="23"/>
  <c r="E38" i="23"/>
  <c r="G37" i="23"/>
  <c r="C37" i="23"/>
  <c r="E36" i="23"/>
  <c r="G35" i="23"/>
  <c r="C35" i="23"/>
  <c r="E34" i="23"/>
  <c r="G33" i="23"/>
  <c r="D84" i="23"/>
  <c r="F83" i="23"/>
  <c r="B83" i="23"/>
  <c r="D82" i="23"/>
  <c r="F81" i="23"/>
  <c r="B81" i="23"/>
  <c r="D80" i="23"/>
  <c r="F79" i="23"/>
  <c r="B79" i="23"/>
  <c r="D78" i="23"/>
  <c r="F77" i="23"/>
  <c r="B77" i="23"/>
  <c r="D76" i="23"/>
  <c r="F75" i="23"/>
  <c r="B75" i="23"/>
  <c r="D74" i="23"/>
  <c r="F73" i="23"/>
  <c r="B73" i="23"/>
  <c r="D72" i="23"/>
  <c r="F71" i="23"/>
  <c r="B71" i="23"/>
  <c r="D70" i="23"/>
  <c r="F69" i="23"/>
  <c r="B69" i="23"/>
  <c r="D68" i="23"/>
  <c r="F67" i="23"/>
  <c r="B67" i="23"/>
  <c r="D66" i="23"/>
  <c r="F65" i="23"/>
  <c r="B65" i="23"/>
  <c r="B24" i="23"/>
  <c r="F24" i="23"/>
  <c r="D25" i="23"/>
  <c r="B26" i="23"/>
  <c r="F26" i="23"/>
  <c r="D27" i="23"/>
  <c r="B28" i="23"/>
  <c r="F28" i="23"/>
  <c r="D29" i="23"/>
  <c r="B30" i="23"/>
  <c r="F30" i="23"/>
  <c r="D31" i="23"/>
  <c r="B32" i="23"/>
  <c r="F32" i="23"/>
  <c r="D33" i="23"/>
  <c r="C34" i="23"/>
  <c r="B35" i="23"/>
  <c r="B36" i="23"/>
  <c r="G36" i="23"/>
  <c r="F37" i="23"/>
  <c r="F38" i="23"/>
  <c r="E39" i="23"/>
  <c r="D40" i="23"/>
  <c r="D41" i="23"/>
  <c r="C42" i="23"/>
  <c r="B43" i="23"/>
  <c r="B44" i="23"/>
  <c r="G44" i="23"/>
  <c r="F45" i="23"/>
  <c r="F46" i="23"/>
  <c r="E47" i="23"/>
  <c r="D48" i="23"/>
  <c r="D49" i="23"/>
  <c r="C50" i="23"/>
  <c r="B51" i="23"/>
  <c r="B52" i="23"/>
  <c r="G52" i="23"/>
  <c r="F53" i="23"/>
  <c r="F54" i="23"/>
  <c r="E55" i="23"/>
  <c r="D56" i="23"/>
  <c r="D57" i="23"/>
  <c r="C58" i="23"/>
  <c r="B59" i="23"/>
  <c r="D60" i="23"/>
  <c r="F61" i="23"/>
  <c r="B63" i="23"/>
  <c r="D64" i="23"/>
  <c r="G66" i="23"/>
  <c r="E69" i="23"/>
  <c r="C72" i="23"/>
  <c r="G74" i="23"/>
  <c r="E77" i="23"/>
  <c r="C80" i="23"/>
  <c r="G82" i="23"/>
  <c r="C24" i="23"/>
  <c r="G24" i="23"/>
  <c r="E25" i="23"/>
  <c r="C26" i="23"/>
  <c r="G26" i="23"/>
  <c r="E27" i="23"/>
  <c r="C28" i="23"/>
  <c r="G28" i="23"/>
  <c r="E29" i="23"/>
  <c r="C30" i="23"/>
  <c r="G30" i="23"/>
  <c r="E31" i="23"/>
  <c r="C32" i="23"/>
  <c r="G32" i="23"/>
  <c r="E33" i="23"/>
  <c r="D34" i="23"/>
  <c r="D35" i="23"/>
  <c r="C36" i="23"/>
  <c r="B37" i="23"/>
  <c r="B38" i="23"/>
  <c r="G38" i="23"/>
  <c r="F39" i="23"/>
  <c r="F40" i="23"/>
  <c r="E41" i="23"/>
  <c r="D42" i="23"/>
  <c r="D43" i="23"/>
  <c r="C44" i="23"/>
  <c r="B45" i="23"/>
  <c r="B46" i="23"/>
  <c r="G46" i="23"/>
  <c r="F47" i="23"/>
  <c r="F48" i="23"/>
  <c r="E49" i="23"/>
  <c r="D50" i="23"/>
  <c r="D51" i="23"/>
  <c r="C52" i="23"/>
  <c r="B53" i="23"/>
  <c r="B54" i="23"/>
  <c r="G54" i="23"/>
  <c r="F55" i="23"/>
  <c r="F56" i="23"/>
  <c r="E57" i="23"/>
  <c r="D58" i="23"/>
  <c r="E59" i="23"/>
  <c r="G60" i="23"/>
  <c r="C62" i="23"/>
  <c r="E63" i="23"/>
  <c r="G64" i="23"/>
  <c r="E67" i="23"/>
  <c r="C70" i="23"/>
  <c r="G72" i="23"/>
  <c r="E75" i="23"/>
  <c r="C78" i="23"/>
  <c r="G80" i="23"/>
  <c r="E83" i="23"/>
  <c r="B17" i="24"/>
  <c r="B19" i="24"/>
  <c r="B20" i="24"/>
  <c r="B16" i="24"/>
  <c r="B18" i="24"/>
  <c r="C52" i="3" l="1"/>
  <c r="C55" i="3"/>
  <c r="C56" i="3" s="1"/>
  <c r="C6" i="3"/>
  <c r="B15" i="4" s="1"/>
  <c r="C53" i="3"/>
  <c r="B7" i="24" l="1"/>
  <c r="B6" i="23"/>
  <c r="E10" i="4"/>
  <c r="G6" i="4"/>
  <c r="H6" i="4" s="1"/>
  <c r="G4" i="4"/>
  <c r="H4" i="4" s="1"/>
  <c r="C31" i="3"/>
  <c r="C27" i="3"/>
  <c r="C9" i="3"/>
  <c r="M7" i="3"/>
  <c r="M6" i="3"/>
  <c r="M5" i="3"/>
  <c r="C20" i="3" s="1"/>
  <c r="M4" i="3"/>
  <c r="M3" i="3"/>
  <c r="C32" i="3"/>
  <c r="C28" i="3"/>
  <c r="C24" i="3"/>
  <c r="C13" i="3"/>
  <c r="C8" i="3"/>
  <c r="J8" i="15"/>
  <c r="D5" i="15"/>
  <c r="C6" i="6"/>
  <c r="G10" i="4"/>
  <c r="H10" i="4" s="1"/>
  <c r="J7" i="15"/>
  <c r="G7" i="4"/>
  <c r="H7" i="4" s="1"/>
  <c r="C30" i="3"/>
  <c r="C26" i="3"/>
  <c r="C15" i="3"/>
  <c r="C10" i="3"/>
  <c r="C25" i="3"/>
  <c r="C14" i="3"/>
  <c r="B5" i="15"/>
  <c r="D10" i="4"/>
  <c r="C22" i="3" l="1"/>
  <c r="B8" i="5" s="1"/>
  <c r="C29" i="3"/>
  <c r="C6" i="4" s="1"/>
  <c r="E6" i="4" s="1"/>
  <c r="C11" i="3"/>
  <c r="G9" i="3"/>
  <c r="G8" i="3"/>
  <c r="G7" i="3"/>
  <c r="G6" i="3"/>
  <c r="G5" i="3"/>
  <c r="G4" i="3"/>
  <c r="G3" i="3"/>
  <c r="G10" i="24"/>
  <c r="G6" i="24"/>
  <c r="G11" i="24"/>
  <c r="G9" i="24"/>
  <c r="G5" i="24"/>
  <c r="G7" i="24"/>
  <c r="B10" i="23"/>
  <c r="C33" i="3"/>
  <c r="C16" i="3"/>
  <c r="J8" i="3"/>
  <c r="J7" i="3"/>
  <c r="J6" i="3"/>
  <c r="J5" i="3"/>
  <c r="J4" i="3"/>
  <c r="J3" i="3"/>
  <c r="J9" i="3"/>
  <c r="C21" i="3"/>
  <c r="B17" i="5" l="1"/>
  <c r="C5" i="4"/>
  <c r="E5" i="4" s="1"/>
  <c r="C8" i="5" s="1"/>
  <c r="G13" i="24"/>
  <c r="B15" i="24" s="1"/>
  <c r="G17" i="24" s="1"/>
  <c r="D6" i="4"/>
  <c r="B5" i="17"/>
  <c r="G8" i="24"/>
  <c r="B14" i="24" s="1"/>
  <c r="G15" i="24" s="1"/>
  <c r="B18" i="5"/>
  <c r="C7" i="4"/>
  <c r="B9" i="5"/>
  <c r="B16" i="5"/>
  <c r="B7" i="5"/>
  <c r="C4" i="4"/>
  <c r="B6" i="5"/>
  <c r="B15" i="5"/>
  <c r="C3" i="4"/>
  <c r="C35" i="3"/>
  <c r="B9" i="23"/>
  <c r="B11" i="23" s="1"/>
  <c r="B6" i="17"/>
  <c r="G5" i="4" l="1"/>
  <c r="H5" i="4" s="1"/>
  <c r="D5" i="4"/>
  <c r="G16" i="24"/>
  <c r="G18" i="24"/>
  <c r="B13" i="23"/>
  <c r="B12" i="23"/>
  <c r="C9" i="4"/>
  <c r="C17" i="6"/>
  <c r="B19" i="5"/>
  <c r="B10" i="5"/>
  <c r="D4" i="4"/>
  <c r="E4" i="4"/>
  <c r="C7" i="5" s="1"/>
  <c r="E7" i="4"/>
  <c r="C9" i="5" s="1"/>
  <c r="D7" i="4"/>
  <c r="E3" i="4"/>
  <c r="D3" i="4"/>
  <c r="G3" i="4"/>
  <c r="H3" i="4" s="1"/>
  <c r="C6" i="5" l="1"/>
  <c r="B17" i="4"/>
  <c r="J12" i="4"/>
  <c r="E9" i="4"/>
  <c r="G9" i="4"/>
  <c r="H9" i="4" s="1"/>
  <c r="B18" i="23"/>
  <c r="B14" i="23"/>
  <c r="B17" i="23"/>
  <c r="B16" i="23"/>
  <c r="B15" i="23"/>
  <c r="B21" i="4" l="1"/>
  <c r="C10" i="5"/>
  <c r="B9" i="15"/>
  <c r="J9" i="15"/>
  <c r="B16" i="4"/>
  <c r="B18" i="4"/>
  <c r="B21" i="23"/>
  <c r="B22" i="23" s="1"/>
  <c r="B8" i="17" s="1"/>
  <c r="C8" i="6" l="1"/>
</calcChain>
</file>

<file path=xl/sharedStrings.xml><?xml version="1.0" encoding="utf-8"?>
<sst xmlns="http://schemas.openxmlformats.org/spreadsheetml/2006/main" count="19239" uniqueCount="2335">
  <si>
    <t>NUTRIMETRÍA · EVALUACIÓN PEDIÁTRICA OMS / MINSAL + UDD · FUENTES RESUELTAS</t>
  </si>
  <si>
    <t>Versión 3.1 · fuentes primarias verificadas · 6 de agosto de 2026</t>
  </si>
  <si>
    <t>Producto</t>
  </si>
  <si>
    <t>NMX-14 · Evaluación Nutricional Pediátrica</t>
  </si>
  <si>
    <t>Versión</t>
  </si>
  <si>
    <t>3.1 FUENTES RESUELTAS</t>
  </si>
  <si>
    <t>Rango técnico</t>
  </si>
  <si>
    <t>0–228 meses (0–19 años), según tabla aplicable</t>
  </si>
  <si>
    <t>NT MINSAL infantil</t>
  </si>
  <si>
    <t>Norma Técnica N.º 218, 2.ª edición 2021, Resolución Exenta N.º 55 — alcance 0–9 años</t>
  </si>
  <si>
    <t>Patrones clínicos</t>
  </si>
  <si>
    <t>MINSAL 2018 — nacimiento a 19 años; resolución no identificada en el documento revisado</t>
  </si>
  <si>
    <t>Compatibilidad</t>
  </si>
  <si>
    <t>Fórmulas universales; sin XLOOKUP, _xlfn ni _xludf</t>
  </si>
  <si>
    <t>SEPARACIÓN METODOLÓGICA</t>
  </si>
  <si>
    <t>1. OMS 2006 · 0–60 meses: P/E, P/Longitud, P/Estatura, T/E y PCe según tabla disponible.</t>
  </si>
  <si>
    <t>2. OMS Reference 2007 · 61–228 meses: IMC/E y T/E.</t>
  </si>
  <si>
    <t>3. MINSAL 2018: clasificación clínica por indicador primario y cortes nacionales.</t>
  </si>
  <si>
    <t>4. NT N.º 218/2021: prematuridad y situaciones especiales dentro de su alcance 0–9 años.</t>
  </si>
  <si>
    <t>5. Poblaciones especiales: módulos separados; las curvas generales se bloquean cuando no corresponde.</t>
  </si>
  <si>
    <t>6. Las fuentes especiales se identifican por documento, versión y dominio. Una fuente verificada puede permanecer sin motor automático por licencia o falta de datos tabulares.</t>
  </si>
  <si>
    <t>FLUJO DE USO</t>
  </si>
  <si>
    <t>1. Complete Ingreso, incluyendo peso al nacer y EG exacta si existe prematuridad.</t>
  </si>
  <si>
    <t>2. Revise Cálculos para edad efectiva, dominio y alertas.</t>
  </si>
  <si>
    <t>3. Consulte Interpretación: diagnóstico nutricional de tamizaje, indicadores, fuentes, aplicabilidad y alertas clínicas.</t>
  </si>
  <si>
    <t>4. Revise REGLAS_OFICIALES y SITUACIONES_ESPECIALES antes de uso clínico.</t>
  </si>
  <si>
    <t>5. Seleccione la población en Ingreso y revise el módulo específico antes de interpretar.</t>
  </si>
  <si>
    <t>6. En síndrome de Down se ingresan percentiles Zemel leídos en las gráficas oficiales CDC; OMS se usa solo en los indicadores integrados por MINSAL.</t>
  </si>
  <si>
    <t>AVISO: herramienta de apoyo y tamizaje. La exactitud matemática no equivale a validación clínica. Debe interpretarse con trayectoria de crecimiento, antecedentes, examen y criterio profesional.</t>
  </si>
  <si>
    <t>NUTRIMETRÍA  ·  DATOS DEL PACIENTE (Ingreso)</t>
  </si>
  <si>
    <t xml:space="preserve"> Nombre</t>
  </si>
  <si>
    <t>Use un CÓDIGO si va a compartir el archivo.</t>
  </si>
  <si>
    <t xml:space="preserve"> Sexo (Niño/Niña)</t>
  </si>
  <si>
    <t>Masculino</t>
  </si>
  <si>
    <t>Determina la tabla OMS a usar.</t>
  </si>
  <si>
    <t xml:space="preserve"> Fecha Nacimiento</t>
  </si>
  <si>
    <t>dd/mm/aaaa.</t>
  </si>
  <si>
    <t>Fecha Evaluación</t>
  </si>
  <si>
    <t>dd/mm/aaaa (≥ nacimiento).</t>
  </si>
  <si>
    <t xml:space="preserve"> Prematuro (Sí/No)</t>
  </si>
  <si>
    <t>No</t>
  </si>
  <si>
    <t>Corrige la edad si aplica.</t>
  </si>
  <si>
    <t xml:space="preserve"> Semanas Gestación (Dejar en blanco si no es prematuro)</t>
  </si>
  <si>
    <t>Solo si es prematuro.</t>
  </si>
  <si>
    <t>Peso (kg)</t>
  </si>
  <si>
    <t>Balanza calibrada.</t>
  </si>
  <si>
    <t xml:space="preserve"> Talla (cm)</t>
  </si>
  <si>
    <t>&lt;2 años acostado; ≥2 de pie.</t>
  </si>
  <si>
    <t>Perímetro Cefálico (cm)</t>
  </si>
  <si>
    <t>Solo hasta 36 meses.</t>
  </si>
  <si>
    <t>Perímetro de Cintura (cm)</t>
  </si>
  <si>
    <t>Solo desde 5 años.</t>
  </si>
  <si>
    <t>Días adicionales de gestación (0–6)</t>
  </si>
  <si>
    <t>Solo si es prematuro; se suma a las semanas completas.</t>
  </si>
  <si>
    <t>Peso al nacer (g)</t>
  </si>
  <si>
    <t>Obligatorio para aplicar la regla de prematuridad NT N.º 218.</t>
  </si>
  <si>
    <t>Síndrome de Down (Sí/No)</t>
  </si>
  <si>
    <t>Las curvas generales quedan bloqueadas; requiere tablas específicas verificadas.</t>
  </si>
  <si>
    <t>Tipo de medición de talla</t>
  </si>
  <si>
    <t>Automático por edad</t>
  </si>
  <si>
    <t>&lt;2 años: longitud; ≥2 años: estatura.</t>
  </si>
  <si>
    <t>Población seleccionada</t>
  </si>
  <si>
    <t>GENERAL</t>
  </si>
  <si>
    <t>Controla el enrutamiento. GENERAL y PREMATURIDAD usan el motor OMS/MINSAL; las demás poblaciones bloquean curvas generales.</t>
  </si>
  <si>
    <t>Estadio puberal registrado (I–V)</t>
  </si>
  <si>
    <t>NO_EVALUADO</t>
  </si>
  <si>
    <t>Dato ingresado por profesional. No se incorporan imágenes Tanner ni se calcula edad biológica automáticamente.</t>
  </si>
  <si>
    <t>GMFCS registrado (I–V)</t>
  </si>
  <si>
    <t>NO_REGISTRADO</t>
  </si>
  <si>
    <t>Registro auxiliar para parálisis cerebral; no activa curvas ni ecuaciones no verificadas.</t>
  </si>
  <si>
    <t>Celdas arena = editables. UDD se usa como fuente secundaria; OMS/MINSAL conservan prioridad.</t>
  </si>
  <si>
    <t>Percentil P/E Zemel 2015 (manual 0–100)</t>
  </si>
  <si>
    <t>Leer en la gráfica CDC/Zemel correspondiente a sexo y edad. Obligatorio &lt;1 año si P/T OMS es &lt;+1 DE.</t>
  </si>
  <si>
    <t>Percentil T/E Zemel 2015 (manual 0–100)</t>
  </si>
  <si>
    <t>Usado para calificación estatural específica de síndrome de Down.</t>
  </si>
  <si>
    <t>Percentil PCe/E Zemel 2015 (manual 0–100)</t>
  </si>
  <si>
    <t>Usado para PCe específico de síndrome de Down; medir al menos hasta 5 años.</t>
  </si>
  <si>
    <t>Edad biológica determinada por profesional (años)</t>
  </si>
  <si>
    <t>No se deriva automáticamente desde imágenes. Usar solo con evaluación profesional.</t>
  </si>
  <si>
    <t>Seguimiento NANEAS de PCe hasta 5 años</t>
  </si>
  <si>
    <t>Activa tablas OMS PCe/E entre 37 y 60 meses para seguimiento NANEAS.</t>
  </si>
  <si>
    <t>Edad Exacta y Aproximación MINSAL (&lt; 5 años)</t>
  </si>
  <si>
    <t>NUTRIMETRÍA  ·  MOTOR DE CÁLCULO (patrones MINSAL — no editar)</t>
  </si>
  <si>
    <t>CORTES IMC/EDAD</t>
  </si>
  <si>
    <t>CORTES PESO/EDAD</t>
  </si>
  <si>
    <t>CORTES TALLA/EDAD</t>
  </si>
  <si>
    <t>MESES</t>
  </si>
  <si>
    <t>Edad Real en Meses):</t>
  </si>
  <si>
    <t>(-3DE IMC):</t>
  </si>
  <si>
    <t>(-3DE P/E):</t>
  </si>
  <si>
    <t>(Corte -2DE Talla):</t>
  </si>
  <si>
    <t>CÁLCULO DE PUNTAJE Z</t>
  </si>
  <si>
    <t>(Días sobrantes)</t>
  </si>
  <si>
    <t>(-2DE IMC):</t>
  </si>
  <si>
    <t>(-2DE P/E):</t>
  </si>
  <si>
    <t>(Corte -1DE Talla):</t>
  </si>
  <si>
    <t>zIMC = [(y∕M)L-1]
(S×L)</t>
  </si>
  <si>
    <t>(Meses aproximados MINSAL):</t>
  </si>
  <si>
    <t>(-1DE IMC):</t>
  </si>
  <si>
    <t>(-1DE P/E):</t>
  </si>
  <si>
    <t>(Corte Mediana Talla):</t>
  </si>
  <si>
    <t>(Edad efectiva para tablas):</t>
  </si>
  <si>
    <t>(Mediana IMC):</t>
  </si>
  <si>
    <t>(Mediana P/E):</t>
  </si>
  <si>
    <t>(Corte +1DE Talla):</t>
  </si>
  <si>
    <t>IMC/E</t>
  </si>
  <si>
    <t>(IMC Real):</t>
  </si>
  <si>
    <t>(+1DE IMC):</t>
  </si>
  <si>
    <t>(+1DE P/E):</t>
  </si>
  <si>
    <t>(Corte +2DE Talla):</t>
  </si>
  <si>
    <t>(Mediana M del IMC):</t>
  </si>
  <si>
    <t>(+2DE IMC):</t>
  </si>
  <si>
    <t>(+2DE P/E):</t>
  </si>
  <si>
    <t>Donde:  y = IMC real
M = Mediana de IMC para edad y sexo
L, S = Estas variables aparecen en las primeras columnas de estas tablas,
siendo L: el indicador de simetría y S: el coeficiente de variación.</t>
  </si>
  <si>
    <t>(Factor L del IMC):</t>
  </si>
  <si>
    <t>(+3DE IMC):</t>
  </si>
  <si>
    <t>(+3DE P/E):</t>
  </si>
  <si>
    <t>(Factor S del IMC):</t>
  </si>
  <si>
    <t>(Puntaje Z exacto del IMC):</t>
  </si>
  <si>
    <t>Lactantes Menor (&lt;1 año)</t>
  </si>
  <si>
    <t>Peso/Edad</t>
  </si>
  <si>
    <t>(Mediana M del P/E):</t>
  </si>
  <si>
    <t>(Factor L del P/E):</t>
  </si>
  <si>
    <t>(Factor S del P/E):</t>
  </si>
  <si>
    <t>(Puntaje Z exacto del P/E):</t>
  </si>
  <si>
    <t>Talla/Edad</t>
  </si>
  <si>
    <t>EXTRAS TALLA/EDAD</t>
  </si>
  <si>
    <t>(Factor L de T/E):</t>
  </si>
  <si>
    <t>(Mediana M de T/E):</t>
  </si>
  <si>
    <t>(Factor S de T/E):</t>
  </si>
  <si>
    <t>(Puntaje Z T/E interpolado):</t>
  </si>
  <si>
    <t>Perimetro encefalico</t>
  </si>
  <si>
    <t>(Corte -2DE PC):</t>
  </si>
  <si>
    <t>(Corte -1DE PC):</t>
  </si>
  <si>
    <t>(Corte Mediana PC):</t>
  </si>
  <si>
    <t>(Corte +1DE PC):</t>
  </si>
  <si>
    <t>(Corte +2DE PC):</t>
  </si>
  <si>
    <t>(Puntaje Z PCe interpolado):</t>
  </si>
  <si>
    <t>Peso/Talla</t>
  </si>
  <si>
    <t>(Mediana M de P/Longitud o P/Estatura):</t>
  </si>
  <si>
    <t>(Factor L de P/Longitud o P/Estatura):</t>
  </si>
  <si>
    <t>(Factor S de P/Longitud o P/Estatura):</t>
  </si>
  <si>
    <t>(Puntaje Z de P/Longitud o P/Estatura):</t>
  </si>
  <si>
    <t>(Z-score Primario):</t>
  </si>
  <si>
    <t>Perimetro de cintura</t>
  </si>
  <si>
    <t>(Edad en Años Exactos):</t>
  </si>
  <si>
    <t>(Corte p75 Cintura):</t>
  </si>
  <si>
    <t>(Corte p90 Cintura):</t>
  </si>
  <si>
    <t>EDAD DOCUMENTADA, APLICABILIDAD Y ALERTAS</t>
  </si>
  <si>
    <t>Días cronológicos exactos</t>
  </si>
  <si>
    <t>Fecha evaluación − fecha nacimiento</t>
  </si>
  <si>
    <t>Edad gestacional total (días)</t>
  </si>
  <si>
    <t>Semanas×7 + días adicionales</t>
  </si>
  <si>
    <t>Corrección teórica (días)</t>
  </si>
  <si>
    <t>280 − edad gestacional total</t>
  </si>
  <si>
    <t>Clase de prematuridad NT N.º 218</t>
  </si>
  <si>
    <t>Usa EG y peso al nacer</t>
  </si>
  <si>
    <t>Límite de corrección (meses)</t>
  </si>
  <si>
    <t>24 / 12 / 6 según categoría</t>
  </si>
  <si>
    <t>Fecha equivalente a 40 semanas</t>
  </si>
  <si>
    <t>Fecha nacimiento + corrección</t>
  </si>
  <si>
    <t>Edad efectiva exacta (días)</t>
  </si>
  <si>
    <t>Corregida mientras corresponda</t>
  </si>
  <si>
    <t>Meses efectivos completos</t>
  </si>
  <si>
    <t>Días sobrantes efectivos</t>
  </si>
  <si>
    <t>Edad efectiva para tablas (meses)</t>
  </si>
  <si>
    <t>Aproximación MINSAL si &lt;5 años</t>
  </si>
  <si>
    <t>Aplicación de prematuridad</t>
  </si>
  <si>
    <t>Dominio OMS</t>
  </si>
  <si>
    <t>Alerta principal de datos</t>
  </si>
  <si>
    <t>Talla clave para tabla (0,5 cm)</t>
  </si>
  <si>
    <t>Redondeo al incremento de tabla</t>
  </si>
  <si>
    <t>Técnica esperada por edad</t>
  </si>
  <si>
    <t>&lt;24 m longitud; 24–60 m estatura</t>
  </si>
  <si>
    <t>Control de técnica declarada</t>
  </si>
  <si>
    <t>Curva general permitida por selector</t>
  </si>
  <si>
    <t>GENERAL/PREMATURIDAD permiten curvas; poblaciones especiales las bloquean</t>
  </si>
  <si>
    <t>NUTRIMETRÍA · RESULTADOS SEPARADOS OMS / MINSAL</t>
  </si>
  <si>
    <t>Indicador</t>
  </si>
  <si>
    <t>Puntaje Z</t>
  </si>
  <si>
    <t>Clasificación OMS</t>
  </si>
  <si>
    <t>Clasificación clínica MINSAL</t>
  </si>
  <si>
    <t>Fuente identificada</t>
  </si>
  <si>
    <t>Aplicabilidad</t>
  </si>
  <si>
    <t>Estado / alerta</t>
  </si>
  <si>
    <t>IMC/Edad</t>
  </si>
  <si>
    <t>OMS Reference 2007 (61–228 m); MINSAL 2018 p. 9</t>
  </si>
  <si>
    <t>OMS Child Growth Standards 2006 (0–60 m); MINSAL 2018 p. 9</t>
  </si>
  <si>
    <t>OMS 2006/2007, líneas Z oficiales; puntaje Z interpolado entre líneas</t>
  </si>
  <si>
    <t>Perímetro cefálico/Edad</t>
  </si>
  <si>
    <t>OMS 2006 PCe/E 0–60 m; MINSAL NT N.º218, 2021, tabla II-35 p.132: normal &gt;−2 y &lt;+2</t>
  </si>
  <si>
    <t>Peso/Longitud o Peso/Estatura</t>
  </si>
  <si>
    <t>OMS 2006 P/L &lt;2 a y P/E 2–5 a; MINSAL 2018 p. 9</t>
  </si>
  <si>
    <t>Perímetro de cintura/Edad</t>
  </si>
  <si>
    <t>Fernández et al. 2004; incorporado por MINSAL 2018 p. 11</t>
  </si>
  <si>
    <t>Clasificación nutricional integrada</t>
  </si>
  <si>
    <t>MINSAL, Patrones de crecimiento 2018, p. 9</t>
  </si>
  <si>
    <t>Z-Score Exacto:</t>
  </si>
  <si>
    <t>Dominio etario</t>
  </si>
  <si>
    <t>OMS 2006 + OMS Reference 2007; MINSAL 2018</t>
  </si>
  <si>
    <t>Prematuridad</t>
  </si>
  <si>
    <t>MINSAL NT N.º 218, 2.ª ed. 2021, Resolución Exenta N.º 55, tabla III-12 p. 146</t>
  </si>
  <si>
    <t>Síndrome de Down</t>
  </si>
  <si>
    <t>MINSAL NT N.º218, 2021, tablas III-21 a III-24 pp.161–162; OMS 2006/2007; Zemel 2015</t>
  </si>
  <si>
    <t>Selector de población + jerarquía OMS/MINSAL/UDD</t>
  </si>
  <si>
    <t>DIAGNÓSTICO NUTRICIONAL DE TAMIZAJE</t>
  </si>
  <si>
    <t>CONSIDERACIONES CLÍNICAS Y ALERTAS</t>
  </si>
  <si>
    <t>NUTRIMETRÍA  ·  NMX-14 · Perfil de puntajes z</t>
  </si>
  <si>
    <t>Posición del paciente frente a la referencia OMS/MINSAL (banda normal −2 a +2)</t>
  </si>
  <si>
    <t>◀ INICIO</t>
  </si>
  <si>
    <t>Puntaje z</t>
  </si>
  <si>
    <t>Registro DE</t>
  </si>
  <si>
    <t>IMC / edad</t>
  </si>
  <si>
    <t>Peso / edad</t>
  </si>
  <si>
    <t>Talla / edad</t>
  </si>
  <si>
    <t>Peso / talla</t>
  </si>
  <si>
    <t>INTEGRADO (primario)</t>
  </si>
  <si>
    <t>Serie (para el gráfico)</t>
  </si>
  <si>
    <t>z</t>
  </si>
  <si>
    <t>La banda −2 a +2 DE es el rango normal. ≤ −2 sugiere déficit; ≥ +2 sugiere exceso. Interpretar junto al canal de crecimiento y la evaluación clínica.</t>
  </si>
  <si>
    <t>NUTRIMETRÍA  ·  INFORME DE EVALUACIÓN NUTRICIONAL</t>
  </si>
  <si>
    <t>Nombre del Paciente:</t>
  </si>
  <si>
    <t>Edad:</t>
  </si>
  <si>
    <t>DIAGNÓSTICO NUTRICIONAL:</t>
  </si>
  <si>
    <t>Z-Score</t>
  </si>
  <si>
    <t>El puntaje Z (Z-score) en los patrones de crecimiento del MINSAL (basados en los estándares de la OMS) sirve para comparar las medidas antropométricas de un niño con las de una población de referencia del mismo sexo y edad. Es la forma más precisa de evaluar el estado nutricional infantil.</t>
  </si>
  <si>
    <t>¿Cómo se interpreta?
Puntaje Z	Interpretación
0	Exactamente en la mediana (valor esperado).
+1	Una desviación estándar sobre la mediana.
+2	Muy por encima de la mediana.
+3	Extremadamente por encima de la mediana.
-1	Una desviación estándar bajo la mediana.
-2	Muy por debajo de la mediana.
-3	Extremadamente por debajo de la mediana.</t>
  </si>
  <si>
    <t>Documento de apoyo. EXACTITUD MATEMÁTICA ≠ VALIDACIÓN CLÍNICA. No constituye diagnóstico médico automático.</t>
  </si>
  <si>
    <t>NUTRIMETRÍA · TRAZABILIDAD OMS / MINSAL / UDD</t>
  </si>
  <si>
    <t>OMS y MINSAL mantienen prioridad. El Manual UDD se registra únicamente como fuente secundaria de protocolos, inventario y contraste.</t>
  </si>
  <si>
    <t>Documento</t>
  </si>
  <si>
    <t>Organismo</t>
  </si>
  <si>
    <t>Año</t>
  </si>
  <si>
    <t>Resolución</t>
  </si>
  <si>
    <t>Población</t>
  </si>
  <si>
    <t>Páginas/Sección</t>
  </si>
  <si>
    <t>Uso en NMX-14</t>
  </si>
  <si>
    <t>Estado documental</t>
  </si>
  <si>
    <t>Norma Técnica para la Supervisión de Salud Integral de Niños y Niñas de 0 a 9 años en APS, N.º 218, 2.ª edición</t>
  </si>
  <si>
    <t>MINSAL</t>
  </si>
  <si>
    <t>Resolución Exenta N.º 55, 18-10-2021</t>
  </si>
  <si>
    <t>0–9 años</t>
  </si>
  <si>
    <t>Cap. 3; pp. 146 y 160–162</t>
  </si>
  <si>
    <t>Prematuridad y situaciones especiales</t>
  </si>
  <si>
    <t>VERIFICADO</t>
  </si>
  <si>
    <t>Fecha cotejo</t>
  </si>
  <si>
    <t>Licencia</t>
  </si>
  <si>
    <t>Nivel</t>
  </si>
  <si>
    <t>Patrones de crecimiento para la evaluación nutricional de niños, niñas y adolescentes, desde el nacimiento hasta los 19 años</t>
  </si>
  <si>
    <t>No identificada en el documento revisado</t>
  </si>
  <si>
    <t>Nacimiento–19 años</t>
  </si>
  <si>
    <t>pp. 7–11 y tablas</t>
  </si>
  <si>
    <t>Clasificación MINSAL, edad, PCe y cintura</t>
  </si>
  <si>
    <t>VERIFICADO_CON_RESOLUCIÓN_NO_IDENTIFICADA</t>
  </si>
  <si>
    <t>2026-07-17</t>
  </si>
  <si>
    <t>Tablas oficiales OMS, uso público</t>
  </si>
  <si>
    <t>A</t>
  </si>
  <si>
    <t>WHO Child Growth Standards</t>
  </si>
  <si>
    <t>OMS</t>
  </si>
  <si>
    <t>No aplica</t>
  </si>
  <si>
    <t>0–60 meses</t>
  </si>
  <si>
    <t>Web y tablas Excel oficiales</t>
  </si>
  <si>
    <t>LMS P/E, P/L, P/Estatura; curvas T/E y PCe</t>
  </si>
  <si>
    <t>WHO Growth Reference 2007</t>
  </si>
  <si>
    <t>61–228 meses</t>
  </si>
  <si>
    <t>Web oficial e indicadores</t>
  </si>
  <si>
    <t>IMC/E y T/E 5–19 años</t>
  </si>
  <si>
    <t>Artículo con derechos; solo la ecuación</t>
  </si>
  <si>
    <t>B</t>
  </si>
  <si>
    <t>Child Growth Monitoring: A Technical Guide</t>
  </si>
  <si>
    <t>OMS/EMRO</t>
  </si>
  <si>
    <t>Menores de 5 años</t>
  </si>
  <si>
    <t>p. 33, tabla 3</t>
  </si>
  <si>
    <t>Clasificación OMS y regla de límite exacto menos severo</t>
  </si>
  <si>
    <t>Documento oficial, uso público</t>
  </si>
  <si>
    <t>Manual de Evaluación Nutricional UDD</t>
  </si>
  <si>
    <t>Universidad del Desarrollo</t>
  </si>
  <si>
    <t>Curso de vida y poblaciones especiales</t>
  </si>
  <si>
    <t>pp. 47–68; 105–114</t>
  </si>
  <si>
    <t>Protocolos y mapa de candidatos; no reemplaza reglas oficiales</t>
  </si>
  <si>
    <t>FUENTE_SECUNDARIA_CONTROLADA</t>
  </si>
  <si>
    <t>2026-08-06</t>
  </si>
  <si>
    <t>Documento académico; atribución</t>
  </si>
  <si>
    <t>C</t>
  </si>
  <si>
    <t>FUENTES WEB OFICIALES</t>
  </si>
  <si>
    <t>Fuente</t>
  </si>
  <si>
    <t>URL oficial</t>
  </si>
  <si>
    <t>Contenido usado</t>
  </si>
  <si>
    <t>Fecha de consulta</t>
  </si>
  <si>
    <t>MINSAL — actualización NT N.º218</t>
  </si>
  <si>
    <t>https://www.minsal.cl/ministerio-de-salud-presenta-actualizacion-de-norma-tecnica-para-la-supervision-de-salud-integral-de-ninos-y-ninas-de-0-a-9-anos-en-aps/</t>
  </si>
  <si>
    <t>Identificación y contexto de actualización</t>
  </si>
  <si>
    <t>05-08-2026</t>
  </si>
  <si>
    <t>MINSAL — Salud infantil</t>
  </si>
  <si>
    <t>https://www.minsal.cl/salud-infantil/</t>
  </si>
  <si>
    <t>Acceso institucional a documentos infantiles</t>
  </si>
  <si>
    <t>OMS — Child Growth Standards</t>
  </si>
  <si>
    <t>https://www.who.int/tools/child-growth-standards</t>
  </si>
  <si>
    <t>Dominio 0–60 meses y tablas oficiales</t>
  </si>
  <si>
    <t>OMS — Growth Reference 5–19</t>
  </si>
  <si>
    <t>https://www.who.int/tools/growth-reference-data-for-5to19-years</t>
  </si>
  <si>
    <t>Dominio 61–228 meses</t>
  </si>
  <si>
    <t>OMS — BMI-for-age 5–19</t>
  </si>
  <si>
    <t>https://www.who.int/tools/growth-reference-data-for-5to19-years/indicators/bmi-for-age</t>
  </si>
  <si>
    <t>Puntos de corte OMS</t>
  </si>
  <si>
    <t>Amezquita y Hodgson. Estimación de talla en PC</t>
  </si>
  <si>
    <t>Rev Chil Pediatr</t>
  </si>
  <si>
    <t>Parálisis cerebral</t>
  </si>
  <si>
    <t>85(1):22–30; DOI 10.4067/S0370-41062014000100003</t>
  </si>
  <si>
    <t>Validación chilena; motor en NMX-28</t>
  </si>
  <si>
    <t>Artículo con derechos</t>
  </si>
  <si>
    <t>A/B</t>
  </si>
  <si>
    <t>Zemel et al. Growth Charts for Down Syndrome</t>
  </si>
  <si>
    <t>Pediatrics</t>
  </si>
  <si>
    <t>136(5):e1204–e1211; DOI 10.1542/peds.2015-1652</t>
  </si>
  <si>
    <t>Percentiles manuales CDC + MINSAL</t>
  </si>
  <si>
    <t>VERIFICADO_CON_ENTRADA_MANUAL</t>
  </si>
  <si>
    <t>No redistribuir gráficas</t>
  </si>
  <si>
    <t>MINSAL NT N.º218 — edad biológica</t>
  </si>
  <si>
    <t>Res. Ex. N.º55</t>
  </si>
  <si>
    <t>Escolares/adolescentes</t>
  </si>
  <si>
    <t>Cap.2 p.129</t>
  </si>
  <si>
    <t>Rangos, &gt;1 año y excepción SD</t>
  </si>
  <si>
    <t>Documento oficial</t>
  </si>
  <si>
    <t>Brooks et al. Growth charts in cerebral palsy</t>
  </si>
  <si>
    <t>128:e299; DOI 10.1542/peds.2010-2801</t>
  </si>
  <si>
    <t>Curvas por sexo/GMFCS</t>
  </si>
  <si>
    <t>VERIFICADO_NO_AUTOMATIZADO</t>
  </si>
  <si>
    <t>Gráficas con derechos</t>
  </si>
  <si>
    <t>GMFCS Expanded &amp; Revised</t>
  </si>
  <si>
    <t>CanChild</t>
  </si>
  <si>
    <t>2007/actualizado</t>
  </si>
  <si>
    <t>5 niveles y bandas etarias</t>
  </si>
  <si>
    <t>Nivel informado; instrumento no incorporado</t>
  </si>
  <si>
    <t>VERIFICADO_CON_RESTRICCIÓN_DE_LICENCIA</t>
  </si>
  <si>
    <t>Licencia EHR/comercial</t>
  </si>
  <si>
    <t>WHO Head circumference-for-age 0–5</t>
  </si>
  <si>
    <t>Tablas Excel oficiales por sexo</t>
  </si>
  <si>
    <t>PCe/E y NANEAS</t>
  </si>
  <si>
    <t>VERIFICADO_E_IMPORTADO</t>
  </si>
  <si>
    <t>Tablas OMS</t>
  </si>
  <si>
    <t>Contenido</t>
  </si>
  <si>
    <t>Consulta</t>
  </si>
  <si>
    <t>MINSAL NT218 capítulo 2</t>
  </si>
  <si>
    <t>https://www.medicinafamiliar.cl/mf/wordpress/wp-content/uploads/2021/12/capitulo-2.pdf</t>
  </si>
  <si>
    <t>PCe y edad biológica</t>
  </si>
  <si>
    <t>06-08-2026</t>
  </si>
  <si>
    <t>MINSAL NT218 capítulo 3</t>
  </si>
  <si>
    <t>https://www.minsal.cl/wp-content/uploads/2021/12/Capi%CC%81tulo-3-Web.pdf</t>
  </si>
  <si>
    <t>Prematuridad y Down</t>
  </si>
  <si>
    <t>CDC Down charts</t>
  </si>
  <si>
    <t>https://www.cdc.gov/birth-defects/hcp/down-syndrome-growth-charts/index.html</t>
  </si>
  <si>
    <t>Gráficas Zemel</t>
  </si>
  <si>
    <t>Zemel DOI</t>
  </si>
  <si>
    <t>https://doi.org/10.1542/peds.2015-1652</t>
  </si>
  <si>
    <t>Artículo primario</t>
  </si>
  <si>
    <t>Brooks PubMed</t>
  </si>
  <si>
    <t>https://pubmed.ncbi.nlm.nih.gov/21768315/</t>
  </si>
  <si>
    <t>Curvas PC</t>
  </si>
  <si>
    <t>CanChild GMFCS</t>
  </si>
  <si>
    <t>https://canchild.ca/resources/42-gmfcs-e-r/</t>
  </si>
  <si>
    <t>GMFCS y licencia</t>
  </si>
  <si>
    <t>Amezquita SciELO</t>
  </si>
  <si>
    <t>https://www.scielo.cl/scielo.php?pid=S0370-41062014000100003&amp;script=sci_arttext</t>
  </si>
  <si>
    <t>Talla PC Chile</t>
  </si>
  <si>
    <t>Meses</t>
  </si>
  <si>
    <t>L_IMC</t>
  </si>
  <si>
    <t>M_IMC</t>
  </si>
  <si>
    <t>S_IMC</t>
  </si>
  <si>
    <t>L_IMC_Niños</t>
  </si>
  <si>
    <t>M_IMC_Niños</t>
  </si>
  <si>
    <t>S_IMC_Niños</t>
  </si>
  <si>
    <t>Meses_PE_Niñas</t>
  </si>
  <si>
    <t>L_PE_Niñas</t>
  </si>
  <si>
    <t>M_PE_Niñas</t>
  </si>
  <si>
    <t>S_PE_Niñas</t>
  </si>
  <si>
    <t>Meses_PE_Niños</t>
  </si>
  <si>
    <t>L_PE_Niños</t>
  </si>
  <si>
    <t>M_PE_Niños</t>
  </si>
  <si>
    <t>S_PE_Niños</t>
  </si>
  <si>
    <t>Meses_TE_Niñas</t>
  </si>
  <si>
    <t>TE_Menos2_Niñas</t>
  </si>
  <si>
    <t>TE_Menos1_Niñas</t>
  </si>
  <si>
    <t>TE_Mediana_Niñas</t>
  </si>
  <si>
    <t>TE_Mas1_Niñas</t>
  </si>
  <si>
    <t>TE_Mas2_Niñas</t>
  </si>
  <si>
    <t>Meses_TE_Niños</t>
  </si>
  <si>
    <t>TE_Menos2_Niños</t>
  </si>
  <si>
    <t>TE_Menos1_Niños</t>
  </si>
  <si>
    <t>TE_Mediana_Niños</t>
  </si>
  <si>
    <t>TE_Mas1_Niños</t>
  </si>
  <si>
    <t>TE_Mas2_Niños</t>
  </si>
  <si>
    <t>Meses_PC_Niñas</t>
  </si>
  <si>
    <t>PC_Menos2_Niñas</t>
  </si>
  <si>
    <t>PC_Menos1_Niñas</t>
  </si>
  <si>
    <t>PC_Mediana_Niñas</t>
  </si>
  <si>
    <t>PC_Mas1_Niñas</t>
  </si>
  <si>
    <t>PC_Mas2_Niñas</t>
  </si>
  <si>
    <t>Meses_PC_Niños</t>
  </si>
  <si>
    <t>PC_Menos2_Niños</t>
  </si>
  <si>
    <t>PC_Menos1_Niños</t>
  </si>
  <si>
    <t>PC_Mediana_Niños</t>
  </si>
  <si>
    <t>PC_Mas1_Niños</t>
  </si>
  <si>
    <t>PC_Mas2_Niños</t>
  </si>
  <si>
    <t>Talla_cm_Niñas</t>
  </si>
  <si>
    <t>L_PT_Niñas</t>
  </si>
  <si>
    <t>M_PT_Niñas</t>
  </si>
  <si>
    <t>S_PT_Niñas</t>
  </si>
  <si>
    <t>PT_Menos2_Niñas</t>
  </si>
  <si>
    <t>PT_Menos1_Niñas</t>
  </si>
  <si>
    <t>PT_Mediana_Niñas</t>
  </si>
  <si>
    <t>PT_Mas1_Niñas</t>
  </si>
  <si>
    <t>PT_Mas2_Niñas</t>
  </si>
  <si>
    <t>Talla_cm_Niños</t>
  </si>
  <si>
    <t>L_PT_Niños</t>
  </si>
  <si>
    <t>M_PT_Niños</t>
  </si>
  <si>
    <t>S_PT_Niños</t>
  </si>
  <si>
    <t>PT_Menos2_Niños</t>
  </si>
  <si>
    <t>PT_Menos1_Niños</t>
  </si>
  <si>
    <t>PT_Mediana_Niños</t>
  </si>
  <si>
    <t>PT_Mas1_Niños</t>
  </si>
  <si>
    <t>PT_Mas2_Niños</t>
  </si>
  <si>
    <t>Edad_Años_Niñas</t>
  </si>
  <si>
    <t>p10_Niñas</t>
  </si>
  <si>
    <t>p25_Niñas</t>
  </si>
  <si>
    <t>p50_Niñas</t>
  </si>
  <si>
    <t>p75_Niñas</t>
  </si>
  <si>
    <t>p90_Niñas</t>
  </si>
  <si>
    <t>Edad_Años_Niños</t>
  </si>
  <si>
    <t>p10_Niños</t>
  </si>
  <si>
    <t>p25_Niños</t>
  </si>
  <si>
    <t>p50_Niños</t>
  </si>
  <si>
    <t>p75_Niños</t>
  </si>
  <si>
    <t>p90_Niños</t>
  </si>
  <si>
    <t>NUTRIMETRÍA  ·  NMX-14 PRO · Historial de versiones</t>
  </si>
  <si>
    <t>Fecha</t>
  </si>
  <si>
    <t>Cambio</t>
  </si>
  <si>
    <t>Motivo</t>
  </si>
  <si>
    <t>Responsable</t>
  </si>
  <si>
    <t>1.0 PRO</t>
  </si>
  <si>
    <t>Rediseño visual estilo Nutrimetría del archivo de evaluación pediátrica, CONSERVANDO el motor de patrones de crecimiento MINSAL sin cambios en sus fórmulas.</t>
  </si>
  <si>
    <t>Presentación profesional para venta.</t>
  </si>
  <si>
    <t>Equipo Nutrimetría</t>
  </si>
  <si>
    <t>Se agregaron portada INICIO con navegación, hoja FUENTES con trazabilidad, hoja GRÁFICO con el perfil de puntajes z, informe imprimible con área de impresión y avisos legales.</t>
  </si>
  <si>
    <t>Valor agregado.</t>
  </si>
  <si>
    <t>Se añadieron validaciones de datos y formato condicional al diagnóstico integrado.</t>
  </si>
  <si>
    <t>Robustez y lectura.</t>
  </si>
  <si>
    <t>2.0 OMS/MINSAL</t>
  </si>
  <si>
    <t>2026-08-05</t>
  </si>
  <si>
    <t>Se incorporaron tablas oficiales OMS P/E 0–60, P/Longitud y P/Estatura separadas.</t>
  </si>
  <si>
    <t>Corregir dominios y mezcla de curvas.</t>
  </si>
  <si>
    <t>Prematuridad reimplementada con EG exacta, peso al nacer, fecha equivalente a 40 semanas y límites 24/12/6 meses.</t>
  </si>
  <si>
    <t>Alinear con NT N.º218, Res. Ex. N.º55/2021.</t>
  </si>
  <si>
    <t>Resultados separados en Z, OMS, MINSAL, fuente, aplicabilidad y alertas.</t>
  </si>
  <si>
    <t>Evitar mezclar referencia con clasificación clínica.</t>
  </si>
  <si>
    <t>Histórico v2.0: síndrome de Down bloqueaba curvas generales. Resuelto en v3.1 con integración OMS/Zemel y entrada manual de percentiles.</t>
  </si>
  <si>
    <t>Seguridad clínica y no sustitución de curvas.</t>
  </si>
  <si>
    <t>Se eliminó lenguaje 'MINSAL vigente' sin resolución y se identificaron documento, año y resolución cuando existe.</t>
  </si>
  <si>
    <t>Trazabilidad documental.</t>
  </si>
  <si>
    <t>Fórmulas compatibles sin XLOOKUP/_xlfn y con rama LMS L=0.</t>
  </si>
  <si>
    <t>Compatibilidad y robustez.</t>
  </si>
  <si>
    <t>Auditoría numérica completa de IMC/E OMS 2007: se corrigieron tres celdas LMS discordantes.</t>
  </si>
  <si>
    <t>Asegurar equivalencia celda a celda con tablas oficiales.</t>
  </si>
  <si>
    <t>Talla/Edad 0–228 meses sustituida por series oficiales: longitud 0–23, estatura 24–60 y referencia 61–228.</t>
  </si>
  <si>
    <t>Corregir transición técnica a 24 meses y seis valores aislados.</t>
  </si>
  <si>
    <t>Se añadió VALIDACION_TABLAS y copia oficial PCe 0–60 meses para trazabilidad.</t>
  </si>
  <si>
    <t>Documentar verificación numérica reproducible.</t>
  </si>
  <si>
    <t>3.0 OMS/MINSAL/UDD</t>
  </si>
  <si>
    <t>Se añadió selector GENERAL/PREMATURIDAD/SINDROME_DOWN/PARALISIS_CEREBRAL/OTRA.</t>
  </si>
  <si>
    <t>Enrutamiento explícito por población.</t>
  </si>
  <si>
    <t>Se crearon módulos separados para ciclo pediátrico, prematuridad, PCe, Down, parálisis cerebral y edad biológica.</t>
  </si>
  <si>
    <t>Evitar mezcla de poblaciones y referencias.</t>
  </si>
  <si>
    <t>Manual UDD registrado como fuente secundaria; contenidos con conflicto o cotejo pendiente no se automatizan.</t>
  </si>
  <si>
    <t>Jerarquía documental y seguridad clínica.</t>
  </si>
  <si>
    <t>Histórico v3.0: varias poblaciones mostraban referencia no implementada. Resuelto o reclasificado en v3.1 según fuente, licencia y alcance.</t>
  </si>
  <si>
    <t>Bloqueo seguro y limitación visible.</t>
  </si>
  <si>
    <t>Motor LMS OMS preservado; solo se modificó la compuerta de población y las alertas de enrutamiento.</t>
  </si>
  <si>
    <t>Mantener integridad del motor validado.</t>
  </si>
  <si>
    <t>3.1 FUENTES</t>
  </si>
  <si>
    <t>Resuelto límite 1500 g.</t>
  </si>
  <si>
    <t>Eliminar hueco prematuridad.</t>
  </si>
  <si>
    <t>PCe límites y corrección por talla.</t>
  </si>
  <si>
    <t>Alinear NT218.</t>
  </si>
  <si>
    <t>Tablas OMS PCe 0–60 importadas.</t>
  </si>
  <si>
    <t>NANEAS hasta 5 años.</t>
  </si>
  <si>
    <t>Down integrado con percentiles manuales.</t>
  </si>
  <si>
    <t>Cumplir III-21 a III-24.</t>
  </si>
  <si>
    <t>Fuentes PC verificadas.</t>
  </si>
  <si>
    <t>Resolver cotejo sin motor no autorizado.</t>
  </si>
  <si>
    <t>Edad biológica con fuente oficial.</t>
  </si>
  <si>
    <t>Entrada profesional y alerta.</t>
  </si>
  <si>
    <t>Motor LMS general preservado.</t>
  </si>
  <si>
    <t>Evitar regresiones.</t>
  </si>
  <si>
    <t>Escaneo final de errores.</t>
  </si>
  <si>
    <t>Control técnico.</t>
  </si>
  <si>
    <t>PRUEBAS DE COMPATIBILIDAD · Motor LMS NMX-14 (XLOOKUP → INDEX/MATCH)</t>
  </si>
  <si>
    <t>Verificación estructural de las búsquedas reparadas con rangos acotados. Col. F = fórmula viva (mismo patrón que el motor). Col. G = valor esperado (tablas OMS). Estado PASS confirma equivalencia; no se modificaron L, M, S ni las tablas.</t>
  </si>
  <si>
    <t>N°</t>
  </si>
  <si>
    <t>Caso</t>
  </si>
  <si>
    <t>Tabla / Referencia OMS</t>
  </si>
  <si>
    <t>Sexo</t>
  </si>
  <si>
    <t>Valor clave</t>
  </si>
  <si>
    <t>Resultado (fórmula viva)</t>
  </si>
  <si>
    <t>Esperado</t>
  </si>
  <si>
    <t>Estado</t>
  </si>
  <si>
    <t>Ambos sexos — Femenino</t>
  </si>
  <si>
    <t>IMC/Edad · M (mediana)</t>
  </si>
  <si>
    <t>Femenino</t>
  </si>
  <si>
    <t>L (IMC/E F,61)</t>
  </si>
  <si>
    <t>Ambos sexos — Masculino</t>
  </si>
  <si>
    <t>M (IMC/E F,61)</t>
  </si>
  <si>
    <t>Edad mínima (0 meses)</t>
  </si>
  <si>
    <t>Peso/Edad · M</t>
  </si>
  <si>
    <t>S (IMC/E F,61)</t>
  </si>
  <si>
    <t>Edad máxima (228 meses)</t>
  </si>
  <si>
    <t>Talla/Edad · mediana (SD)</t>
  </si>
  <si>
    <t>Cambio de tabla (misma clave 61)</t>
  </si>
  <si>
    <t>Talla/Edad · mediana (≠ IMC del caso 1)</t>
  </si>
  <si>
    <t>Mini-tabla L=0</t>
  </si>
  <si>
    <t>clave|valor</t>
  </si>
  <si>
    <t>Edad inexistente (61.5)</t>
  </si>
  <si>
    <t>IMC/Edad · M (sin coincidencia)</t>
  </si>
  <si>
    <t>Z = 0 cuando X = M</t>
  </si>
  <si>
    <t>LMS IMC/Edad F,61 (X=M)</t>
  </si>
  <si>
    <t>—</t>
  </si>
  <si>
    <t>Caso L = 0 (0 real se conserva)</t>
  </si>
  <si>
    <t>Sonda INDEX/MATCH → valor 0</t>
  </si>
  <si>
    <t>Peso vacío (IMC protegido)</t>
  </si>
  <si>
    <t>IFERROR IMC, peso vacío</t>
  </si>
  <si>
    <t>Peso vacío</t>
  </si>
  <si>
    <t>Talla cero (división neutralizada)</t>
  </si>
  <si>
    <t>IFERROR IMC, talla=0 → vacío</t>
  </si>
  <si>
    <t>Talla=100</t>
  </si>
  <si>
    <t>Sexo inválido</t>
  </si>
  <si>
    <t>IMC/Edad · M (ramas IF fallan)</t>
  </si>
  <si>
    <t>Intersexo</t>
  </si>
  <si>
    <t>Peso=62</t>
  </si>
  <si>
    <t>RESULTADO GLOBAL</t>
  </si>
  <si>
    <t>PASS:</t>
  </si>
  <si>
    <t>Talla=0</t>
  </si>
  <si>
    <t>NUTRIMETRÍA · TABLAS OMS OFICIALES INCORPORADAS</t>
  </si>
  <si>
    <t>Datos LMS descargados de los archivos Excel oficiales OMS. P/E: 0–60 meses; P/Longitud: 45–110 cm (&lt;2 años); P/Estatura: 65–120 cm (2–5 años).</t>
  </si>
  <si>
    <t>PESO / EDAD · OMS 2006 · 0–60 MESES</t>
  </si>
  <si>
    <t>PESO / LONGITUD · OMS 2006 · 0–23 MESES</t>
  </si>
  <si>
    <t>PESO / ESTATURA · OMS 2006 · 24–60 MESES</t>
  </si>
  <si>
    <t>TALLA/EDAD · OMS 2006/2007 · LÍNEAS Z VERIFICADAS</t>
  </si>
  <si>
    <t>TALLA/EDAD · OMS 2006/2007 · NIÑOS</t>
  </si>
  <si>
    <t>PCe/EDAD · OMS 2006 · 0–60 MESES · NIÑAS</t>
  </si>
  <si>
    <t>PCe/EDAD · OMS 2006 · 0–60 MESES · NIÑOS</t>
  </si>
  <si>
    <t>Mes</t>
  </si>
  <si>
    <t>L_Niñas</t>
  </si>
  <si>
    <t>M_Niñas</t>
  </si>
  <si>
    <t>S_Niñas</t>
  </si>
  <si>
    <t>L_Niños</t>
  </si>
  <si>
    <t>M_Niños</t>
  </si>
  <si>
    <t>S_Niños</t>
  </si>
  <si>
    <t>Longitud_cm</t>
  </si>
  <si>
    <t>Estatura_cm</t>
  </si>
  <si>
    <t>-2DE_Niñas</t>
  </si>
  <si>
    <t>-1DE_Niñas</t>
  </si>
  <si>
    <t>Mediana_Niñas</t>
  </si>
  <si>
    <t>+1DE_Niñas</t>
  </si>
  <si>
    <t>+2DE_Niñas</t>
  </si>
  <si>
    <t>-2DE_Niños</t>
  </si>
  <si>
    <t>-1DE_Niños</t>
  </si>
  <si>
    <t>Mediana_Niños</t>
  </si>
  <si>
    <t>+1DE_Niños</t>
  </si>
  <si>
    <t>+2DE_Niños</t>
  </si>
  <si>
    <t>-2DE</t>
  </si>
  <si>
    <t>-1DE</t>
  </si>
  <si>
    <t>Mediana</t>
  </si>
  <si>
    <t>+1DE</t>
  </si>
  <si>
    <t>+2DE</t>
  </si>
  <si>
    <t>TRAZABILIDAD DE ARCHIVOS OFICIALES OMS</t>
  </si>
  <si>
    <t>Tabla</t>
  </si>
  <si>
    <t>Archivo OMS</t>
  </si>
  <si>
    <t>Estado de incorporación</t>
  </si>
  <si>
    <t>Niñas 0–60 meses</t>
  </si>
  <si>
    <t>wfa_girls_0-to-5-years_zscores.xlsx</t>
  </si>
  <si>
    <t>https://cdn.who.int/media/docs/default-source/child-growth/child-growth-standards/indicators/weight-for-age/wfa_girls_0-to-5-years_zscores.xlsx</t>
  </si>
  <si>
    <t>INCORPORADO</t>
  </si>
  <si>
    <t>Niños 0–60 meses</t>
  </si>
  <si>
    <t>wfa_boys_0-to-5-years_zscores.xlsx</t>
  </si>
  <si>
    <t>https://cdn.who.int/media/docs/default-source/child-growth/child-growth-standards/indicators/weight-for-age/wfa_boys_0-to-5-years_zscores.xlsx</t>
  </si>
  <si>
    <t>Peso/Longitud</t>
  </si>
  <si>
    <t>Niñas 0–2 años</t>
  </si>
  <si>
    <t>wfl_girls_0-to-2-years_zscores.xlsx</t>
  </si>
  <si>
    <t>https://cdn.who.int/media/docs/default-source/child-growth/child-growth-standards/indicators/weight-for-length-height/wfl_girls_0-to-2-years_zscores.xlsx</t>
  </si>
  <si>
    <t>Niños 0–2 años</t>
  </si>
  <si>
    <t>wfl_boys_0-to-2-years_zscores.xlsx</t>
  </si>
  <si>
    <t>https://cdn.who.int/media/docs/default-source/child-growth/child-growth-standards/indicators/weight-for-length-height/wfl_boys_0-to-2-years_zscores.xlsx</t>
  </si>
  <si>
    <t>Peso/Estatura</t>
  </si>
  <si>
    <t>Niñas 2–5 años</t>
  </si>
  <si>
    <t>wfh_girls_2-to-5-years_zscores.xlsx</t>
  </si>
  <si>
    <t>https://cdn.who.int/media/docs/default-source/child-growth/child-growth-standards/indicators/weight-for-length-height/wfh_girls_2-to-5-years_zscores.xlsx</t>
  </si>
  <si>
    <t>Niños 2–5 años</t>
  </si>
  <si>
    <t>wfh_boys_2-to-5-years_zscores.xlsx</t>
  </si>
  <si>
    <t>https://cdn.who.int/media/docs/default-source/child-growth/child-growth-standards/indicators/weight-for-length-height/wfh_boys_2-to-5-years_zscores.xlsx</t>
  </si>
  <si>
    <t>NUTRIMETRÍA · REGLAS OFICIALES Y CONCORDANCIA</t>
  </si>
  <si>
    <t>Toda regla no respaldada o internamente ambigua se marca como PENDIENTE_FUENTE. No se utiliza la expresión “MINSAL vigente”.</t>
  </si>
  <si>
    <t>Criterio_ID</t>
  </si>
  <si>
    <t>Edad_desde</t>
  </si>
  <si>
    <t>Edad_hasta</t>
  </si>
  <si>
    <t>Regla_actual</t>
  </si>
  <si>
    <t>Regla_oficial</t>
  </si>
  <si>
    <t>Página</t>
  </si>
  <si>
    <t>DOM-001</t>
  </si>
  <si>
    <t>Dominio OMS 2006</t>
  </si>
  <si>
    <t>0 meses</t>
  </si>
  <si>
    <t>60 meses</t>
  </si>
  <si>
    <t>Ambos</t>
  </si>
  <si>
    <t>El motor diferenciaba curvas, pero P/E solo estaba cargado hasta 12 meses.</t>
  </si>
  <si>
    <t>OMS Child Growth Standards: herramientas y tablas para 0–60 meses.</t>
  </si>
  <si>
    <t>Se incorporó P/E oficial 0–60 meses y se dejó explícito el dominio.</t>
  </si>
  <si>
    <t>OMS Child Growth Standards (2006)</t>
  </si>
  <si>
    <t>Web de estándares; tablas oficiales</t>
  </si>
  <si>
    <t>IMPLEMENTADO</t>
  </si>
  <si>
    <t>DOM-002</t>
  </si>
  <si>
    <t>Dominio OMS 2007</t>
  </si>
  <si>
    <t>61 meses</t>
  </si>
  <si>
    <t>228 meses</t>
  </si>
  <si>
    <t>IMC/E y T/E disponibles para 61–228 meses sin separación documental visible.</t>
  </si>
  <si>
    <t>WHO Reference 2007 cubre 5–19 años o 61–228 meses y complementa OMS 2006.</t>
  </si>
  <si>
    <t>Se agregó dominio, fuente y alerta &gt;228 meses.</t>
  </si>
  <si>
    <t>Web oficial WHO</t>
  </si>
  <si>
    <t>SEX-001</t>
  </si>
  <si>
    <t>Selección por sexo</t>
  </si>
  <si>
    <t>Masculino/Femenino</t>
  </si>
  <si>
    <t>Ramas por sexo presentes; sexo inválido devolvía vacío.</t>
  </si>
  <si>
    <t>Las curvas OMS son específicas por sexo.</t>
  </si>
  <si>
    <t>Se mantuvo la separación y se añadió alerta de sexo inválido.</t>
  </si>
  <si>
    <t>OMS 2006 / OMS 2007</t>
  </si>
  <si>
    <t>Tablas oficiales</t>
  </si>
  <si>
    <t>SIN_CAMBIO_CON_ALERTA</t>
  </si>
  <si>
    <t>AGE-001</t>
  </si>
  <si>
    <t>Aproximación de edad &lt;5 años</t>
  </si>
  <si>
    <t>59 meses 29 días</t>
  </si>
  <si>
    <t>1–15 días conserva mes; &gt;15 días suma un mes.</t>
  </si>
  <si>
    <t>MINSAL: 1–15 días se aproxima al mes cumplido; 16–29 al mes siguiente.</t>
  </si>
  <si>
    <t>Se mantuvo y documentó; se aplica sobre edad corregida cuando corresponde.</t>
  </si>
  <si>
    <t>MINSAL, Patrones de crecimiento para evaluación nutricional (2018)</t>
  </si>
  <si>
    <t>p. 8</t>
  </si>
  <si>
    <t>AGE-002</t>
  </si>
  <si>
    <t>Transición OMS</t>
  </si>
  <si>
    <t>El motor utilizaba IMC/E desde 61 meses.</t>
  </si>
  <si>
    <t>OMS 2006 termina en 60 meses y OMS 2007 comienza en 61 meses.</t>
  </si>
  <si>
    <t>Se fijó 60 inclusivo para OMS 2006 y 61 para OMS 2007.</t>
  </si>
  <si>
    <t>OMS Child Growth Standards / WHO Growth Reference 2007</t>
  </si>
  <si>
    <t>PE-001</t>
  </si>
  <si>
    <t>Peso/Edad OMS</t>
  </si>
  <si>
    <t>Tabla LMS cargada solo de 0 a 12 meses.</t>
  </si>
  <si>
    <t>La tabla oficial OMS P/E cubre nacimiento a 5 años.</t>
  </si>
  <si>
    <t>Se sustituyó la dependencia por tablas Excel oficiales OMS 0–60 meses.</t>
  </si>
  <si>
    <t>OMS Child Growth Standards — Weight-for-age</t>
  </si>
  <si>
    <t>Tabla Excel oficial</t>
  </si>
  <si>
    <t>CORREGIDO</t>
  </si>
  <si>
    <t>PE-002</t>
  </si>
  <si>
    <t>Clasificación OMS P/E</t>
  </si>
  <si>
    <t>El motor aplicaba categorías de exceso a P/E.</t>
  </si>
  <si>
    <t>OMS usa P/E para bajo peso y bajo peso severo; no para sobrepeso/obesidad.</t>
  </si>
  <si>
    <t>Se eliminó la clasificación de exceso de la columna OMS.</t>
  </si>
  <si>
    <t>WHO Child Growth Monitoring: A Technical Guide (2025)</t>
  </si>
  <si>
    <t>PT-001</t>
  </si>
  <si>
    <t>23 meses</t>
  </si>
  <si>
    <t>P/L y P/Estatura estaban concatenados en una sola serie desde 45 a 120 cm.</t>
  </si>
  <si>
    <t>OMS dispone de tabla separada de peso/longitud para 45–110 cm y menores de 2 años.</t>
  </si>
  <si>
    <t>Se incorporó tabla oficial LMS P/L separada.</t>
  </si>
  <si>
    <t>OMS Child Growth Standards — Weight-for-length</t>
  </si>
  <si>
    <t>PT-002</t>
  </si>
  <si>
    <t>24 meses</t>
  </si>
  <si>
    <t>P/L y P/Estatura estaban concatenados en una sola serie.</t>
  </si>
  <si>
    <t>OMS dispone de tabla separada de peso/estatura para 65–120 cm y 2–5 años.</t>
  </si>
  <si>
    <t>Se incorporó tabla oficial LMS P/Estatura separada.</t>
  </si>
  <si>
    <t>OMS Child Growth Standards — Weight-for-height</t>
  </si>
  <si>
    <t>PT-003</t>
  </si>
  <si>
    <t>Técnica de talla</t>
  </si>
  <si>
    <t>No existía control explícito de longitud versus estatura.</t>
  </si>
  <si>
    <t>MINSAL diferencia longitud en menores de 2 años y estatura desde 2 años.</t>
  </si>
  <si>
    <t>Se añadió técnica esperada y alerta de discordancia.</t>
  </si>
  <si>
    <t>MINSAL, Patrones de crecimiento (2018)</t>
  </si>
  <si>
    <t>p. 7</t>
  </si>
  <si>
    <t>LMS-001</t>
  </si>
  <si>
    <t>Fórmula LMS</t>
  </si>
  <si>
    <t>z=((X/M)^L−1)/(L·S), sin rama L=0.</t>
  </si>
  <si>
    <t>Cuando L=0 corresponde z=ln(X/M)/S.</t>
  </si>
  <si>
    <t>Se añadió rama L=0 en IMC/E, P/E y P/L-P/Estatura.</t>
  </si>
  <si>
    <t>Método LMS; tablas OMS</t>
  </si>
  <si>
    <t>Fórmula metodológica</t>
  </si>
  <si>
    <t>TE-001</t>
  </si>
  <si>
    <t>Puntaje Z T/E</t>
  </si>
  <si>
    <t>Se calculaba como distancia respecto de mediana y +1 DE, sin simetría por tramo.</t>
  </si>
  <si>
    <t>Las tablas contienen líneas −2, −1, 0, +1 y +2 DE.</t>
  </si>
  <si>
    <t>Se implementó interpolación por tramo y se etiqueta como Z interpolado, no LMS exacto.</t>
  </si>
  <si>
    <t>OMS 2006/2007; MINSAL 2018</t>
  </si>
  <si>
    <t>pp. 9–10</t>
  </si>
  <si>
    <t>IMPLEMENTADO_CON_LIMITACIÓN</t>
  </si>
  <si>
    <t>PC-001</t>
  </si>
  <si>
    <t>Perímetro cefálico</t>
  </si>
  <si>
    <t>La clasificación dejaba huecos entre −2/−1,9 y +1,9/+2.</t>
  </si>
  <si>
    <t>MINSAL II-35: microcefalia ≤−2; normal &gt;−2 y &lt;+2; macrocefalia ≥+2.</t>
  </si>
  <si>
    <t>Se eliminaron los huecos y se importaron tablas OMS PCe/E 0–60 meses.</t>
  </si>
  <si>
    <t>MINSAL NT N.º218 (2021) + OMS 2006</t>
  </si>
  <si>
    <t>Tabla II-35 p.132; tablas OMS</t>
  </si>
  <si>
    <t>PC-002</t>
  </si>
  <si>
    <t>Corrección PCe por talla extrema</t>
  </si>
  <si>
    <t>No implementada.</t>
  </si>
  <si>
    <t>Ante macrocefalia, usar la edad en que la talla actual corresponde a la mediana.</t>
  </si>
  <si>
    <t>Se implementó inversión de mediana T/E e interpolación mensual en módulo separado.</t>
  </si>
  <si>
    <t>MINSAL NT N.º218 (2021)</t>
  </si>
  <si>
    <t>p.132</t>
  </si>
  <si>
    <t>WAIST-001</t>
  </si>
  <si>
    <t>Perímetro de cintura</t>
  </si>
  <si>
    <t>5 años</t>
  </si>
  <si>
    <t>18 años</t>
  </si>
  <si>
    <t>p75/p90 por edad y sexo; fuente descrita como vigente.</t>
  </si>
  <si>
    <t>MINSAL 2018 incorpora percentiles de Fernández: normal &lt;p75; riesgo ≥p75 y &lt;p90; obesidad ≥p90.</t>
  </si>
  <si>
    <t>Se identificó documento y año; se eliminó la palabra vigente. Tabla disponible 5–18 años.</t>
  </si>
  <si>
    <t>MINSAL, Patrones de crecimiento (2018); Fernández et al. (2004)</t>
  </si>
  <si>
    <t>p. 11</t>
  </si>
  <si>
    <t>MIN-001</t>
  </si>
  <si>
    <t>Indicador primario &lt;1 año</t>
  </si>
  <si>
    <t>11 meses</t>
  </si>
  <si>
    <t>P/E, salvo P/T &gt;+1.</t>
  </si>
  <si>
    <t>MINSAL: P/E determina; si P/T ≥+1, prima P/T.</t>
  </si>
  <si>
    <t>Se corrigió el límite de &gt;+1 a ≥+1.</t>
  </si>
  <si>
    <t>p. 9</t>
  </si>
  <si>
    <t>PREM-005</t>
  </si>
  <si>
    <t>1500 g exactos, EG 32–33+6</t>
  </si>
  <si>
    <t>Nacimiento</t>
  </si>
  <si>
    <t>12 meses corregidos</t>
  </si>
  <si>
    <t>&gt;1500 g en III-12 generaba hueco.</t>
  </si>
  <si>
    <t>III-11 define moderado como ≥1500 g.</t>
  </si>
  <si>
    <t>1500 g moderado; 12 meses.</t>
  </si>
  <si>
    <t>MINSAL NT N.º218</t>
  </si>
  <si>
    <t>III-11 p.145; III-12 p.146</t>
  </si>
  <si>
    <t>CORREGIDO_CON_NOTA</t>
  </si>
  <si>
    <t>DOWN-001</t>
  </si>
  <si>
    <t>Evaluación integrada SD</t>
  </si>
  <si>
    <t>Curvas generales bloqueadas.</t>
  </si>
  <si>
    <t>Integración Zemel + OMS.</t>
  </si>
  <si>
    <t>Percentil manual + cálculo OMS separado.</t>
  </si>
  <si>
    <t>III-21 a III-24</t>
  </si>
  <si>
    <t>PC-003</t>
  </si>
  <si>
    <t>3 años</t>
  </si>
  <si>
    <t>15 años validación chilena</t>
  </si>
  <si>
    <t>Fuente primaria pendiente.</t>
  </si>
  <si>
    <t>Amezquita 2014, Brooks 2011, CanChild.</t>
  </si>
  <si>
    <t>Fuentes verificadas; motor no automatizado.</t>
  </si>
  <si>
    <t>Fuentes primarias</t>
  </si>
  <si>
    <t>DOI identificados</t>
  </si>
  <si>
    <t>FUENTE_VERIFICADA_NO_AUTOMATIZADA</t>
  </si>
  <si>
    <t>BIO-001</t>
  </si>
  <si>
    <t>Edad biológica</t>
  </si>
  <si>
    <t>8 mujeres / 10 varones</t>
  </si>
  <si>
    <t>14 mujeres / 15 varones</t>
  </si>
  <si>
    <t>Por sexo</t>
  </si>
  <si>
    <t>Fuente histórica secundaria.</t>
  </si>
  <si>
    <t>MINSAL: usar si diferencia &gt;1 año.</t>
  </si>
  <si>
    <t>p.129</t>
  </si>
  <si>
    <t>IMPLEMENTADO_COMO_ALERTA</t>
  </si>
  <si>
    <t>PCE-003</t>
  </si>
  <si>
    <t>PCe NANEAS</t>
  </si>
  <si>
    <t>37 meses</t>
  </si>
  <si>
    <t>Tabla terminaba a 36 meses.</t>
  </si>
  <si>
    <t>OMS PCe/E 0–60; MINSAL seguimiento hasta 5 años.</t>
  </si>
  <si>
    <t>Tablas importadas + flag NANEAS.</t>
  </si>
  <si>
    <t>OMS/MINSAL</t>
  </si>
  <si>
    <t>tablas oficiales; p.132</t>
  </si>
  <si>
    <t>PREM-001</t>
  </si>
  <si>
    <t>Prematuridad RNMBP</t>
  </si>
  <si>
    <t>24 meses corregidos</t>
  </si>
  <si>
    <t>Corrección por EG &lt;32 semanas hasta 24 meses, sin peso de nacimiento.</t>
  </si>
  <si>
    <t>NT N.º 218: &lt;1500 g o &lt;32 semanas; corregir hasta 24 meses de edad corregida.</t>
  </si>
  <si>
    <t>Se añadió peso al nacer, EG en días, categoría y límite.</t>
  </si>
  <si>
    <t>MINSAL NT N.º 218, 2.ª ed. (2021), Res. Ex. N.º 55</t>
  </si>
  <si>
    <t>p. 146, tabla III-12</t>
  </si>
  <si>
    <t>PREM-002</t>
  </si>
  <si>
    <t>Prematuridad moderada</t>
  </si>
  <si>
    <t>EG ≥32 semanas corregida hasta 12 meses, sin límite superior ni peso.</t>
  </si>
  <si>
    <t>32 a 33+6 semanas y &gt;1500 g; corregir hasta 12 meses de edad corregida.</t>
  </si>
  <si>
    <t>Se implementó con EG exacta y peso.</t>
  </si>
  <si>
    <t>MINSAL NT N.º 218 (2021), Res. Ex. N.º 55</t>
  </si>
  <si>
    <t>PREM-003</t>
  </si>
  <si>
    <t>Prematuridad tardía</t>
  </si>
  <si>
    <t>6 meses corregidos</t>
  </si>
  <si>
    <t>Se agrupaba con moderados hasta 12 meses.</t>
  </si>
  <si>
    <t>34 a 36+6 semanas y ≥1500 g; corregir hasta 6 meses de edad corregida.</t>
  </si>
  <si>
    <t>Se separó y se redujo el alcance a 6 meses.</t>
  </si>
  <si>
    <t>PREM-004</t>
  </si>
  <si>
    <t>Fórmula edad corregida</t>
  </si>
  <si>
    <t>Según categoría</t>
  </si>
  <si>
    <t>Restaba semanas faltantes/30,44 sobre meses aproximados.</t>
  </si>
  <si>
    <t>Edad corregida = edad cronológica menos diferencia entre nacimiento y fecha esperada a 40 semanas; calcular en días precisos e interpretar semanas cumplidas.</t>
  </si>
  <si>
    <t>Se implementó fecha equivalente a 40 semanas y cálculo diario.</t>
  </si>
  <si>
    <t>HIST-PREM-005</t>
  </si>
  <si>
    <t>Peso exacto 1500 g en moderado</t>
  </si>
  <si>
    <t>12 meses</t>
  </si>
  <si>
    <t>Versión 2.0 bloqueaba el límite.</t>
  </si>
  <si>
    <t>Tabla III-11 define moderado como ≥1500 g; III-12 entrega 12 meses.</t>
  </si>
  <si>
    <t>Resuelto en v3.1; se conserva esta fila solo como historial.</t>
  </si>
  <si>
    <t>SUPERADO_V3.1</t>
  </si>
  <si>
    <t>HIST-DOWN-001</t>
  </si>
  <si>
    <t>19 años</t>
  </si>
  <si>
    <t>Versión 2.0 bloqueaba todo el módulo.</t>
  </si>
  <si>
    <t>MINSAL integra Zemel 2015 con P/T e IMC/E OMS.</t>
  </si>
  <si>
    <t>Resuelto en v3.1 mediante percentiles manuales y módulo separado.</t>
  </si>
  <si>
    <t>MINSAL NT N.º218 (2021); Zemel 2015</t>
  </si>
  <si>
    <t>DOM-003</t>
  </si>
  <si>
    <t>Alerta fuera de dominio</t>
  </si>
  <si>
    <t>&lt;0 o &gt;228 meses</t>
  </si>
  <si>
    <t>Algunas búsquedas devolvían vacío sin explicación.</t>
  </si>
  <si>
    <t>Cada referencia debe aplicarse solo dentro de su dominio.</t>
  </si>
  <si>
    <t>Se añadió alerta visible y aplicabilidad por indicador.</t>
  </si>
  <si>
    <t>OMS 2006 / OMS 2007 / MINSAL 2018</t>
  </si>
  <si>
    <t>Dominios de las tablas</t>
  </si>
  <si>
    <t>SCOPE-001</t>
  </si>
  <si>
    <t>Alcance 10–19 años</t>
  </si>
  <si>
    <t>10 años</t>
  </si>
  <si>
    <t>El libro se presentaba como MINSAL 0–19 sin distinguir la norma de supervisión infantil.</t>
  </si>
  <si>
    <t>NT N.º 218 cubre 0–9 años; el documento MINSAL 2018 y WHO Reference 2007 aportan patrones hasta 19 años.</t>
  </si>
  <si>
    <t>Se separó el alcance documental; no se atribuye 10–19 años a la NT N.º 218.</t>
  </si>
  <si>
    <t>MINSAL NT N.º 218 (2021); MINSAL Patrones (2018); WHO 2007</t>
  </si>
  <si>
    <t>NT218 pp. 10–11; MINSAL 2018 p. 7</t>
  </si>
  <si>
    <t>TAB-BMI-001</t>
  </si>
  <si>
    <t>Auditoría LMS IMC/Edad OMS 2007</t>
  </si>
  <si>
    <t>La tabla original contenía tres celdas discordantes.</t>
  </si>
  <si>
    <t>Comparación completa 168 filas por sexo contra tablas oficiales OMS 2007.</t>
  </si>
  <si>
    <t>Corregidos: niñas mes 150 S=0,13295; niños mes 118 L=−1,7271; mes 119 L=−1,7341.</t>
  </si>
  <si>
    <t>WHO Growth Reference 2007 — BMI-for-age</t>
  </si>
  <si>
    <t>Tablas oficiales z-scores</t>
  </si>
  <si>
    <t>TAB-TE-001</t>
  </si>
  <si>
    <t>Auditoría Talla/Edad OMS</t>
  </si>
  <si>
    <t>La serie femenina usaba longitud en el mes 24 y contenía seis valores aislados discordantes.</t>
  </si>
  <si>
    <t>0–23 meses longitud; 24–60 meses estatura; 61–228 meses referencia 2007.</t>
  </si>
  <si>
    <t>Se sustituyeron 229 filas por sexo; serie masculina coincidió y serie femenina quedó corregida.</t>
  </si>
  <si>
    <t>OMS 2006 / WHO Growth Reference 2007</t>
  </si>
  <si>
    <t>Tablas simplificadas oficiales z-scores</t>
  </si>
  <si>
    <t>TAB-PCE-001</t>
  </si>
  <si>
    <t>Auditoría PCe/Edad OMS</t>
  </si>
  <si>
    <t>36 meses usados</t>
  </si>
  <si>
    <t>Serie original hasta 36 meses.</t>
  </si>
  <si>
    <t>Comparación completa con tablas oficiales OMS 0–60 meses.</t>
  </si>
  <si>
    <t>0 discordancias en 37 filas por sexo; se añadió copia oficial 0–60 meses para trazabilidad.</t>
  </si>
  <si>
    <t>OMS Child Growth Standards 2006</t>
  </si>
  <si>
    <t>NUTRIMETRÍA · SITUACIONES ESPECIALES OMS / MINSAL / UDD</t>
  </si>
  <si>
    <t>Situación</t>
  </si>
  <si>
    <t>Criterio documentado</t>
  </si>
  <si>
    <t>Datos requeridos</t>
  </si>
  <si>
    <t>Fórmula / regla</t>
  </si>
  <si>
    <t>Alcance</t>
  </si>
  <si>
    <t>Fuente exacta</t>
  </si>
  <si>
    <t>Implementación</t>
  </si>
  <si>
    <t>RN muy bajo peso</t>
  </si>
  <si>
    <t>&lt;1500 g o &lt;32 semanas</t>
  </si>
  <si>
    <t>Fechas, EG exacta, peso al nacer</t>
  </si>
  <si>
    <t>Edad corregida diaria</t>
  </si>
  <si>
    <t>Hasta 24 meses</t>
  </si>
  <si>
    <t>MINSAL III-11/III-12</t>
  </si>
  <si>
    <t>Automática</t>
  </si>
  <si>
    <t>Prematuro moderado</t>
  </si>
  <si>
    <t>32–33+6 y ≥1500 g</t>
  </si>
  <si>
    <t>EG exacta y peso</t>
  </si>
  <si>
    <t>Edad corregida</t>
  </si>
  <si>
    <t>Hasta 12 meses</t>
  </si>
  <si>
    <t>MINSAL III-11 + III-12</t>
  </si>
  <si>
    <t>IMPLEMENTADO_CON_NOTA</t>
  </si>
  <si>
    <t>Prematuro tardío</t>
  </si>
  <si>
    <t>34–36+6 y ≥1500 g</t>
  </si>
  <si>
    <t>Hasta 6 meses</t>
  </si>
  <si>
    <t>MINSAL III-12</t>
  </si>
  <si>
    <t>1500 g exactos, 32–33+6</t>
  </si>
  <si>
    <t>EG y peso</t>
  </si>
  <si>
    <t>Corrección 12 meses</t>
  </si>
  <si>
    <t>RESUELTO</t>
  </si>
  <si>
    <t>Evaluación OMS/Zemel</t>
  </si>
  <si>
    <t>Percentiles manuales + antropometría</t>
  </si>
  <si>
    <t>MINSAL + CDC/Zemel</t>
  </si>
  <si>
    <t>Módulo separado</t>
  </si>
  <si>
    <t>IMPLEMENTADO_CON_ENTRADA_MANUAL</t>
  </si>
  <si>
    <t>PCe con macrocefalia</t>
  </si>
  <si>
    <t>Edad equivalente por talla</t>
  </si>
  <si>
    <t>Talla, PCe, sexo</t>
  </si>
  <si>
    <t>Inversión/interpolación</t>
  </si>
  <si>
    <t>MINSAL p.132 + OMS</t>
  </si>
  <si>
    <t>Módulo transparente</t>
  </si>
  <si>
    <t>NANEAS y PCe</t>
  </si>
  <si>
    <t>Medir al menos hasta 5 años</t>
  </si>
  <si>
    <t>Flag NANEAS + PCe</t>
  </si>
  <si>
    <t>OMS PCe 0–60</t>
  </si>
  <si>
    <t>37–60 meses</t>
  </si>
  <si>
    <t>MINSAL + OMS</t>
  </si>
  <si>
    <t>Flag</t>
  </si>
  <si>
    <t>Edad &gt;9 años</t>
  </si>
  <si>
    <t>NT218 no cubre supervisión general 10–19</t>
  </si>
  <si>
    <t>Edad y antropometría</t>
  </si>
  <si>
    <t>WHO 2007 + MINSAL 2018</t>
  </si>
  <si>
    <t>10–19 años</t>
  </si>
  <si>
    <t>MINSAL/WHO</t>
  </si>
  <si>
    <t>Separación</t>
  </si>
  <si>
    <t>Fuentes específicas verificadas</t>
  </si>
  <si>
    <t>GMFCS, sexo, edad, alimentación</t>
  </si>
  <si>
    <t>No automatizar gráficos sin tabla aprobada</t>
  </si>
  <si>
    <t>Pediatría</t>
  </si>
  <si>
    <t>Brooks/CanChild/Amezquita</t>
  </si>
  <si>
    <t>Fuentes + enrutamiento</t>
  </si>
  <si>
    <t>Usar si diferencia &gt;1 año en rangos</t>
  </si>
  <si>
    <t>Edad profesional y cronológica</t>
  </si>
  <si>
    <t>Alerta</t>
  </si>
  <si>
    <t>Mujeres 8–14; varones 10–15</t>
  </si>
  <si>
    <t>MINSAL p.129</t>
  </si>
  <si>
    <t>Entrada profesional</t>
  </si>
  <si>
    <t>Otra población</t>
  </si>
  <si>
    <t>Referencia específica requerida</t>
  </si>
  <si>
    <t>Condición, versión y dominio</t>
  </si>
  <si>
    <t>Bloqueo</t>
  </si>
  <si>
    <t>Según fuente</t>
  </si>
  <si>
    <t>Seguro</t>
  </si>
  <si>
    <t>FUENTE_ESPECÍFICA_REQUERIDA</t>
  </si>
  <si>
    <t>Manual UDD</t>
  </si>
  <si>
    <t>Fuente secundaria</t>
  </si>
  <si>
    <t>Elemento_ID, página, fuente original y estado</t>
  </si>
  <si>
    <t>No reemplaza OMS/MINSAL ni habilita una regla pendiente</t>
  </si>
  <si>
    <t>Según elemento</t>
  </si>
  <si>
    <t>Manual UDD 2018 + matrices aprobadas</t>
  </si>
  <si>
    <t>Trazabilidad</t>
  </si>
  <si>
    <t>NUTRIMETRÍA · VALIDACIÓN NUMÉRICA DE TABLAS OMS</t>
  </si>
  <si>
    <t>Comparación celda a celda contra tablas oficiales OMS. Las correcciones se documentan sin alterar la separación entre referencia OMS y clasificación MINSAL.</t>
  </si>
  <si>
    <t>Validación_ID</t>
  </si>
  <si>
    <t>Serie</t>
  </si>
  <si>
    <t>Cobertura</t>
  </si>
  <si>
    <t>Filas verificadas</t>
  </si>
  <si>
    <t>Celdas comparadas</t>
  </si>
  <si>
    <t>Discordancias iniciales</t>
  </si>
  <si>
    <t>Acción</t>
  </si>
  <si>
    <t>VAL-BMI-F</t>
  </si>
  <si>
    <t>IMC/Edad OMS 2007 · niñas</t>
  </si>
  <si>
    <t>Corregido S del mes 150: 0,13321 → 0,13295</t>
  </si>
  <si>
    <t>VAL-BMI-M</t>
  </si>
  <si>
    <t>IMC/Edad OMS 2007 · niños</t>
  </si>
  <si>
    <t>Corregido L meses 118–119: 0,0118/0,0119 → −1,7271/−1,7341</t>
  </si>
  <si>
    <t>VAL-TE-F</t>
  </si>
  <si>
    <t>Longitud/Estatura/Edad · niñas</t>
  </si>
  <si>
    <t>0–228 meses</t>
  </si>
  <si>
    <t>Se sustituyó toda la serie por tablas oficiales; 5 discrepancias eran la transición longitud→estatura a 24 m y 6 eran valores aislados</t>
  </si>
  <si>
    <t>VAL-TE-M</t>
  </si>
  <si>
    <t>Longitud/Estatura/Edad · niños</t>
  </si>
  <si>
    <t>Coincidencia completa con la serie oficial combinada</t>
  </si>
  <si>
    <t>VAL-PCE-F</t>
  </si>
  <si>
    <t>PCe/Edad · niñas</t>
  </si>
  <si>
    <t>0–36 meses usados</t>
  </si>
  <si>
    <t>Coincidencia completa; además se incorporó copia oficial 0–60 m en OMS_TABLAS_OFICIALES</t>
  </si>
  <si>
    <t>VAL-PCE-M</t>
  </si>
  <si>
    <t>PCe/Edad · niños</t>
  </si>
  <si>
    <t>VAL-WFA-F</t>
  </si>
  <si>
    <t>Peso/Edad LMS · niñas</t>
  </si>
  <si>
    <t>Importado desde archivo Excel oficial OMS</t>
  </si>
  <si>
    <t>VAL-WFA-M</t>
  </si>
  <si>
    <t>Peso/Edad LMS · niños</t>
  </si>
  <si>
    <t>VAL-WFL</t>
  </si>
  <si>
    <t>Peso/Longitud LMS</t>
  </si>
  <si>
    <t>45–110 cm</t>
  </si>
  <si>
    <t>Importado desde archivos Excel oficiales OMS por sexo</t>
  </si>
  <si>
    <t>VAL-WFH</t>
  </si>
  <si>
    <t>Peso/Estatura LMS</t>
  </si>
  <si>
    <t>65–120 cm</t>
  </si>
  <si>
    <t>DETALLE DE CORRECCIONES NUMÉRICAS</t>
  </si>
  <si>
    <t>Corrección_ID</t>
  </si>
  <si>
    <t>Hoja</t>
  </si>
  <si>
    <t>Celda / Serie</t>
  </si>
  <si>
    <t>Edad</t>
  </si>
  <si>
    <t>Valor anterior</t>
  </si>
  <si>
    <t>Valor oficial</t>
  </si>
  <si>
    <t>COR-001</t>
  </si>
  <si>
    <t>Tablas_OMS</t>
  </si>
  <si>
    <t>D91 · S IMC/E</t>
  </si>
  <si>
    <t>150 meses</t>
  </si>
  <si>
    <t>WHO BMI-for-age girls 5–19, z-scores</t>
  </si>
  <si>
    <t>COR-002</t>
  </si>
  <si>
    <t>G59 · L IMC/E</t>
  </si>
  <si>
    <t>118 meses</t>
  </si>
  <si>
    <t>WHO BMI-for-age boys 5–19, z-scores</t>
  </si>
  <si>
    <t>COR-003</t>
  </si>
  <si>
    <t>G60 · L IMC/E</t>
  </si>
  <si>
    <t>119 meses</t>
  </si>
  <si>
    <t>COR-004</t>
  </si>
  <si>
    <t>U:Z · transición T/E</t>
  </si>
  <si>
    <t>Serie de longitud</t>
  </si>
  <si>
    <t>Serie de estatura</t>
  </si>
  <si>
    <t>WHO height-for-age girls 2–5, simplified z-score table</t>
  </si>
  <si>
    <t>COR-005</t>
  </si>
  <si>
    <t>U:Z · valores aislados</t>
  </si>
  <si>
    <t>65, 115, 124, 125, 127 y 132 meses</t>
  </si>
  <si>
    <t>6 valores discordantes</t>
  </si>
  <si>
    <t>Sustituidos por valores oficiales</t>
  </si>
  <si>
    <t>WHO height-for-age girls 5–19, simplified z-score table</t>
  </si>
  <si>
    <t>FUENTES NUMÉRICAS OFICIALES</t>
  </si>
  <si>
    <t>Fuente_ID</t>
  </si>
  <si>
    <t>Formato</t>
  </si>
  <si>
    <t>Uso en el libro</t>
  </si>
  <si>
    <t>WHO-NUM-01</t>
  </si>
  <si>
    <t>Weight-for-age LMS</t>
  </si>
  <si>
    <t>2006</t>
  </si>
  <si>
    <t>XLSX oficial</t>
  </si>
  <si>
    <t>OMS_TABLAS_OFICIALES + motor P/E</t>
  </si>
  <si>
    <t>WHO-NUM-02</t>
  </si>
  <si>
    <t>Weight-for-length LMS</t>
  </si>
  <si>
    <t>Motor &lt;24 meses</t>
  </si>
  <si>
    <t>WHO-NUM-03</t>
  </si>
  <si>
    <t>Weight-for-height LMS</t>
  </si>
  <si>
    <t>Motor 24–60 meses</t>
  </si>
  <si>
    <t>WHO-NUM-04</t>
  </si>
  <si>
    <t>Length/height-for-age z lines</t>
  </si>
  <si>
    <t>PDF oficial</t>
  </si>
  <si>
    <t>Tablas_OMS + copia de auditoría</t>
  </si>
  <si>
    <t>WHO-NUM-05</t>
  </si>
  <si>
    <t>Height-for-age z lines</t>
  </si>
  <si>
    <t>2007</t>
  </si>
  <si>
    <t>WHO-NUM-06</t>
  </si>
  <si>
    <t>Head circumference-for-age z lines</t>
  </si>
  <si>
    <t>Verificación 0–36 + copia 0–60</t>
  </si>
  <si>
    <t>WHO-NUM-07</t>
  </si>
  <si>
    <t>BMI-for-age LMS</t>
  </si>
  <si>
    <t>Auditoría y corrección de 3 celdas</t>
  </si>
  <si>
    <t>NUTRIMETRÍA · MÓDULO CICLO PEDIÁTRICO GENERAL</t>
  </si>
  <si>
    <t>OMS/MINSAL son las fuentes primarias. El Manual UDD 2018 solo organiza contenidos por curso de vida y aporta protocolos secundarios.</t>
  </si>
  <si>
    <t>Resultado_ID</t>
  </si>
  <si>
    <t>Resultado / valor</t>
  </si>
  <si>
    <t>Estándar</t>
  </si>
  <si>
    <t>Rango etario</t>
  </si>
  <si>
    <t>Limitación</t>
  </si>
  <si>
    <t>GEN-001</t>
  </si>
  <si>
    <t>OMS Child Growth Standards / WHO Growth Reference</t>
  </si>
  <si>
    <t>No atribuir 10–19 años a la NT N.º218.</t>
  </si>
  <si>
    <t>GEN-002</t>
  </si>
  <si>
    <t>Recién nacido — contenido documental</t>
  </si>
  <si>
    <t>Manual UDD (secundario)</t>
  </si>
  <si>
    <t>2018</t>
  </si>
  <si>
    <t>Recién nacidos</t>
  </si>
  <si>
    <t>Manual UDD, POP-02/CAP-07, pp.48–50</t>
  </si>
  <si>
    <t>La matriz no autoriza sustituir curvas o clasificaciones oficiales con la síntesis del manual.</t>
  </si>
  <si>
    <t>DOCUMENTADO</t>
  </si>
  <si>
    <t>GEN-003</t>
  </si>
  <si>
    <t>Lactantes y preescolares</t>
  </si>
  <si>
    <t>OMS Child Growth Standards</t>
  </si>
  <si>
    <t>Niños 0–5</t>
  </si>
  <si>
    <t>OMS 2006; MINSAL 2018; UDD POP-04 como mapa</t>
  </si>
  <si>
    <t>UDD no reemplaza LMS, tablas ni cortes oficiales.</t>
  </si>
  <si>
    <t>GEN-004</t>
  </si>
  <si>
    <t>Escolares y adolescentes</t>
  </si>
  <si>
    <t>WHO Growth Reference</t>
  </si>
  <si>
    <t>5–19 años</t>
  </si>
  <si>
    <t>WHO 2007; MINSAL 2018; UDD POP-05 como mapa</t>
  </si>
  <si>
    <t>El manual agrupa escolares/adolescentes; el dominio clínico lo define la referencia oficial.</t>
  </si>
  <si>
    <t>GEN-005</t>
  </si>
  <si>
    <t>Patrones 2018</t>
  </si>
  <si>
    <t>GENERAL/PREMATURIDAD</t>
  </si>
  <si>
    <t>Según indicador primario</t>
  </si>
  <si>
    <t>MINSAL 2018, p.9</t>
  </si>
  <si>
    <t>Resultado de tamizaje; revisar trayectoria y antecedentes.</t>
  </si>
  <si>
    <t>GEN-006</t>
  </si>
  <si>
    <t>Protocolos de peso y longitud/talla</t>
  </si>
  <si>
    <t>Lactantes, preescolares y adolescentes</t>
  </si>
  <si>
    <t>Según medida</t>
  </si>
  <si>
    <t>UDD PRO-01, PRO-02 y PRO-03, pp.22–23</t>
  </si>
  <si>
    <t>Cotejo primario pendiente; se presenta como ayuda documental, no como protocolo oficial OMS/MINSAL.</t>
  </si>
  <si>
    <t>DOCUMENTADO_CON_LIMITACIÓN</t>
  </si>
  <si>
    <t>NUTRIMETRÍA · MÓDULO PREMATURIDAD</t>
  </si>
  <si>
    <t>El límite exacto de 1500 g se resuelve con la definición de la tabla III-11 (≥1500 g = moderado en 32–33+6), manteniendo 12 meses de corrección de la tabla III-12.</t>
  </si>
  <si>
    <t>2.ª edición 2021 · Res. Ex. N.º55</t>
  </si>
  <si>
    <t>PREMATURIDAD</t>
  </si>
  <si>
    <t>Nacimiento–24/12/6 meses corregidos</t>
  </si>
  <si>
    <t>MINSAL NT N.º218, p.146</t>
  </si>
  <si>
    <t>Tabla III-11 define ≥1500 g; tabla III-12 imprime &gt;1500 g. Se prioriza la definición clasificatoria explícita.</t>
  </si>
  <si>
    <t>IMPLEMENTADO_CON_NOTA_DE_CONCORDANCIA</t>
  </si>
  <si>
    <t>Edad corregida MINSAL</t>
  </si>
  <si>
    <t>2021</t>
  </si>
  <si>
    <t>MINSAL NT N.º218, tabla III-12</t>
  </si>
  <si>
    <t>Cálculo diario con EG exacta y fecha equivalente a 40 semanas.</t>
  </si>
  <si>
    <t>Corrección por peso de nacimiento UDD</t>
  </si>
  <si>
    <t>Prematuros</t>
  </si>
  <si>
    <t>0–36 meses</t>
  </si>
  <si>
    <t>UDD TAB-11 / PRO-19, p.51</t>
  </si>
  <si>
    <t>Conflicta con motor oficial actualizado.</t>
  </si>
  <si>
    <t>NO_IMPLEMENTAR</t>
  </si>
  <si>
    <t>Notación de edad corregida del manual</t>
  </si>
  <si>
    <t>Manual UDD / fuente citada</t>
  </si>
  <si>
    <t>UDD EQ-07, p.52</t>
  </si>
  <si>
    <t>Notación ambigua; no transcribir.</t>
  </si>
  <si>
    <t>Clasificación nutricional del RN pretérmino</t>
  </si>
  <si>
    <t>Fuente primaria citada por UDD</t>
  </si>
  <si>
    <t>Milad et al. 2010</t>
  </si>
  <si>
    <t>Recién nacido pretérmino</t>
  </si>
  <si>
    <t>Neonatal</t>
  </si>
  <si>
    <t>UDD CUA-02, p.50</t>
  </si>
  <si>
    <t>Fuente primaria cotejada; curvas intrauterinas fuera de este módulo.</t>
  </si>
  <si>
    <t>PREM-006</t>
  </si>
  <si>
    <t>Índice ponderal neonatal</t>
  </si>
  <si>
    <t>Fuente histórica citada por UDD</t>
  </si>
  <si>
    <t>Delgado et al. 1996</t>
  </si>
  <si>
    <t>UDD EQ-06, p.51</t>
  </si>
  <si>
    <t>Fuente histórica identificada; punto de corte no automatizado.</t>
  </si>
  <si>
    <t>NUTRIMETRÍA · MÓDULO PERÍMETRO CEFÁLICO</t>
  </si>
  <si>
    <t>PCe/E usa tablas OMS 0–60 meses. MINSAL aplica límites exactos −2/+2; ante macrocefalia se ofrece corrección por talla transparente.</t>
  </si>
  <si>
    <t>PCE-001</t>
  </si>
  <si>
    <t>0–36 rutinario; 37–60 NANEAS</t>
  </si>
  <si>
    <t>OMS 2006; MINSAL II-35</t>
  </si>
  <si>
    <t>Z interpolado; extensión 37–60 requiere flag NANEAS.</t>
  </si>
  <si>
    <t>PCE-002</t>
  </si>
  <si>
    <t>Clasificación MINSAL</t>
  </si>
  <si>
    <t>NT N.º218/2021</t>
  </si>
  <si>
    <t>0–60 según aplicabilidad</t>
  </si>
  <si>
    <t>MINSAL II-35 p.132</t>
  </si>
  <si>
    <t>Normal &gt;−2 y &lt;+2; sin huecos.</t>
  </si>
  <si>
    <t>Medición occipitofrontal máxima</t>
  </si>
  <si>
    <t>Manual UDD secundario</t>
  </si>
  <si>
    <t>Lactantes/NANEAS</t>
  </si>
  <si>
    <t>0–5 años</t>
  </si>
  <si>
    <t>UDD PRO-13 + OMS/MINSAL</t>
  </si>
  <si>
    <t>Protocolo secundario.</t>
  </si>
  <si>
    <t>PCE-004</t>
  </si>
  <si>
    <t>Corrección por talla</t>
  </si>
  <si>
    <t>MINSAL 2021</t>
  </si>
  <si>
    <t>Macrocefalia</t>
  </si>
  <si>
    <t>MINSAL p.132</t>
  </si>
  <si>
    <t>Inversión/interpolación operacional; revisión clínica.</t>
  </si>
  <si>
    <t>NUTRIMETRÍA · MÓDULO SÍNDROME DE DOWN</t>
  </si>
  <si>
    <t>Módulo integrado según MINSAL: percentiles Zemel manuales para P/E, T/E y PCe/E; OMS 2006/2007 para P/T e IMC/E.</t>
  </si>
  <si>
    <t>2021 · Res. Ex. N.º55</t>
  </si>
  <si>
    <t>SINDROME_DOWN</t>
  </si>
  <si>
    <t>III-21 a III-24, pp.161–162</t>
  </si>
  <si>
    <t>Evaluación integrada OMS/Zemel.</t>
  </si>
  <si>
    <t>DOWN-002</t>
  </si>
  <si>
    <t>Percentiles específicos manuales</t>
  </si>
  <si>
    <t>Zemel et al.</t>
  </si>
  <si>
    <t>2015</t>
  </si>
  <si>
    <t>0–36 y 2–20 según gráfica</t>
  </si>
  <si>
    <t>CDC/Zemel 2015</t>
  </si>
  <si>
    <t>Profesional lee e ingresa percentil; no se redistribuyen gráficas.</t>
  </si>
  <si>
    <t>DOWN-003</t>
  </si>
  <si>
    <t>Evaluación UDD</t>
  </si>
  <si>
    <t>UDD PRO-24/POP-09</t>
  </si>
  <si>
    <t>MINSAL define integración final.</t>
  </si>
  <si>
    <t>DOWN-004</t>
  </si>
  <si>
    <t>Clasificación integrada</t>
  </si>
  <si>
    <t>MINSAL III-21</t>
  </si>
  <si>
    <t>No usar edad biológica en 5–19 años.</t>
  </si>
  <si>
    <t>NUTRIMETRÍA · MÓDULO PARÁLISIS CEREBRAL</t>
  </si>
  <si>
    <t>Fuentes primarias verificadas. GMFCS E&amp;R se registra como nivel informado; las curvas Brooks y ecuaciones segmentarias no se digitalizan en NMX-14.</t>
  </si>
  <si>
    <t>Brooks et al.</t>
  </si>
  <si>
    <t>2011</t>
  </si>
  <si>
    <t>2–20 años aprox.</t>
  </si>
  <si>
    <t>Por sexo y GMFCS</t>
  </si>
  <si>
    <t>Pediatrics 128:e299; DOI 10.1542/peds.2010-2801</t>
  </si>
  <si>
    <t>Curvas gráficas específicas; nivel V separado por alimentación por sonda.</t>
  </si>
  <si>
    <t>FUENTE_PRIMARIA_VERIFICADA_NO_AUTOMATIZADA</t>
  </si>
  <si>
    <t>GMFCS E&amp;R</t>
  </si>
  <si>
    <t>Expandido y revisado</t>
  </si>
  <si>
    <t>&lt;2 a 18 años</t>
  </si>
  <si>
    <t>CanChild GMFCS E&amp;R</t>
  </si>
  <si>
    <t>Nivel ingresado; instrumento completo no incorporado. Licencia requerida para EHR/comercial.</t>
  </si>
  <si>
    <t>FUENTE_OFICIAL_VERIFICADA</t>
  </si>
  <si>
    <t>Medidas segmentarias</t>
  </si>
  <si>
    <t>Amezquita y Hodgson</t>
  </si>
  <si>
    <t>2014</t>
  </si>
  <si>
    <t>3–15 años, muestra chilena</t>
  </si>
  <si>
    <t>Rev Chil Pediatr 85(1):22–30; DOI 10.4067/S0370-41062014000100003</t>
  </si>
  <si>
    <t>Valida talla estimada; ecuaciones permanecen en NMX-28.</t>
  </si>
  <si>
    <t>FUENTE_PRIMARIA_VERIFICADA</t>
  </si>
  <si>
    <t>PC-004</t>
  </si>
  <si>
    <t>Curvas específicas / composición corporal</t>
  </si>
  <si>
    <t>Curvas específicas</t>
  </si>
  <si>
    <t>Brooks 2011</t>
  </si>
  <si>
    <t>Según gráfica</t>
  </si>
  <si>
    <t>Por sexo/GMFCS</t>
  </si>
  <si>
    <t>Sitio de autores + artículo primario</t>
  </si>
  <si>
    <t>Sin tabla numérica aprobada para cálculo automático en NMX-14.</t>
  </si>
  <si>
    <t>MOTOR_GRÁFICO_NO_AUTOMATIZADO</t>
  </si>
  <si>
    <t>Fuente Brooks</t>
  </si>
  <si>
    <t>Gráficas de autores</t>
  </si>
  <si>
    <t>https://www.lifeexpectancy.org/articles/growthcharts.shtml</t>
  </si>
  <si>
    <t>Validación chilena talla</t>
  </si>
  <si>
    <t>NUTRIMETRÍA · MÓDULO EDAD BIOLÓGICA</t>
  </si>
  <si>
    <t>MINSAL NT N.º218/2021 recomienda considerar edad biológica en mujeres 8–14 y varones 10–15; usarla si difiere más de un año. La determinación debe ser profesional.</t>
  </si>
  <si>
    <t>MINSAL capítulo 2 p.129</t>
  </si>
  <si>
    <t>Estadio informado por profesional; sin imágenes en Excel.</t>
  </si>
  <si>
    <t>BIO-002</t>
  </si>
  <si>
    <t>Edad biológica automática</t>
  </si>
  <si>
    <t>Edad biológica profesional</t>
  </si>
  <si>
    <t>Entrada clínica</t>
  </si>
  <si>
    <t>Rangos oficiales</t>
  </si>
  <si>
    <t>No se deriva automáticamente desde Tanner.</t>
  </si>
  <si>
    <t>IMPLEMENTADO_COMO_ENTRADA</t>
  </si>
  <si>
    <t>BIO-003</t>
  </si>
  <si>
    <t>Sets fotográficos Tanner</t>
  </si>
  <si>
    <t>No incorporados</t>
  </si>
  <si>
    <t>Pediatría puberal</t>
  </si>
  <si>
    <t>Marshall y Tanner; Tanner 1962</t>
  </si>
  <si>
    <t>No reproducir imágenes; privacidad y derechos.</t>
  </si>
  <si>
    <t>NO_IMPLEMENTAR_IMÁGENES</t>
  </si>
  <si>
    <t>BIO-004</t>
  </si>
  <si>
    <t>Uso del dato</t>
  </si>
  <si>
    <t>Regla de uso</t>
  </si>
  <si>
    <t>&gt;1 año de diferencia</t>
  </si>
  <si>
    <t>Alerta profesional; no modifica el motor automáticamente.</t>
  </si>
  <si>
    <t>BIO-005</t>
  </si>
  <si>
    <t>Años</t>
  </si>
  <si>
    <t>PENDIENTE_DATO</t>
  </si>
  <si>
    <t>BIO-006</t>
  </si>
  <si>
    <t>Diferencia biológica-cronológica</t>
  </si>
  <si>
    <t>Usar edad biológica si diferencia &gt;1 año</t>
  </si>
  <si>
    <t>BIO-007</t>
  </si>
  <si>
    <t>Recomendación de edad</t>
  </si>
  <si>
    <t>Regla MINSAL</t>
  </si>
  <si>
    <t>No modifica automáticamente el motor</t>
  </si>
  <si>
    <t>BIO-008</t>
  </si>
  <si>
    <t>Sin corrección en síndrome de Down</t>
  </si>
  <si>
    <t>5 años 1 mes–19 años</t>
  </si>
  <si>
    <t>Tabla III-21, nota **</t>
  </si>
  <si>
    <t>No aplicar corrección biológica en SD</t>
  </si>
  <si>
    <t>NUTRIMETRÍA · TRAZABILIDAD DE INTEGRACIÓN PEDIÁTRICA UDD</t>
  </si>
  <si>
    <t>Solo se integran elementos aprobados como documentación, enrutamiento o bloqueo. El Manual UDD 2018 permanece como fuente secundaria.</t>
  </si>
  <si>
    <t>Elemento_ID</t>
  </si>
  <si>
    <t>Módulo NMX-14</t>
  </si>
  <si>
    <t>Acción aprobada</t>
  </si>
  <si>
    <t>Decisión en v3.0</t>
  </si>
  <si>
    <t>Fuente UDD</t>
  </si>
  <si>
    <t>Página PDF</t>
  </si>
  <si>
    <t>Rango</t>
  </si>
  <si>
    <t>Fuente original citada</t>
  </si>
  <si>
    <t>Estado fuente</t>
  </si>
  <si>
    <t>Estado integración</t>
  </si>
  <si>
    <t>CAP-06</t>
  </si>
  <si>
    <t>Recién nacido, lactantes y preescolares</t>
  </si>
  <si>
    <t>MOD_CICLO_PEDIATRICO</t>
  </si>
  <si>
    <t>DOCUMENTAR</t>
  </si>
  <si>
    <t>Estructura por curso de vida</t>
  </si>
  <si>
    <t>Manual UDD 2018</t>
  </si>
  <si>
    <t>Según etapa</t>
  </si>
  <si>
    <t>VERIFICADO_EN_PDF</t>
  </si>
  <si>
    <t>No es autoridad clínica</t>
  </si>
  <si>
    <t>CAP-07 / POP-02</t>
  </si>
  <si>
    <t>Recién nacido</t>
  </si>
  <si>
    <t>Módulo documental</t>
  </si>
  <si>
    <t>Manual UDD y fuentes específicas</t>
  </si>
  <si>
    <t>MAPEADA</t>
  </si>
  <si>
    <t>Sin algoritmo operacional nuevo</t>
  </si>
  <si>
    <t>POP-04</t>
  </si>
  <si>
    <t>Enrutamiento al dominio OMS 2006</t>
  </si>
  <si>
    <t>OMS/MINSAL mantienen prioridad</t>
  </si>
  <si>
    <t>UDD solo como mapa</t>
  </si>
  <si>
    <t>POP-05</t>
  </si>
  <si>
    <t>Enrutamiento al dominio OMS 2007</t>
  </si>
  <si>
    <t>PRO-01</t>
  </si>
  <si>
    <t>Peso corporal &lt;2 años</t>
  </si>
  <si>
    <t>Nota protocolaria secundaria</t>
  </si>
  <si>
    <t>RN/lactantes</t>
  </si>
  <si>
    <t>0–&lt;2 años</t>
  </si>
  <si>
    <t>MINSAL/OMS para medición pediátrica</t>
  </si>
  <si>
    <t>FUENTE_OFICIAL_SUSTITUTIVA_VERIFICADA</t>
  </si>
  <si>
    <t>El protocolo UDD permanece como nota secundaria.</t>
  </si>
  <si>
    <t>DOCUMENTADO_COMO_SECUNDARIO</t>
  </si>
  <si>
    <t>PRO-02</t>
  </si>
  <si>
    <t>Peso adolescente</t>
  </si>
  <si>
    <t>Adolescentes</t>
  </si>
  <si>
    <t>Adolescencia</t>
  </si>
  <si>
    <t>MINSAL 2018 / WHO 2007</t>
  </si>
  <si>
    <t>El protocolo UDD no gobierna el motor.</t>
  </si>
  <si>
    <t>PRO-03</t>
  </si>
  <si>
    <t>Longitud recumbente</t>
  </si>
  <si>
    <t>Lactantes</t>
  </si>
  <si>
    <t>&lt;2 años</t>
  </si>
  <si>
    <t>MINSAL 2013/2018 / OMS</t>
  </si>
  <si>
    <t>Longitud &lt;2 años y estatura desde 2 años ya están implementadas.</t>
  </si>
  <si>
    <t>IMPLEMENTADO_CON_FUENTE_OFICIAL</t>
  </si>
  <si>
    <t>PRO-13</t>
  </si>
  <si>
    <t>MOD_PERIMETRO_CEFALICO</t>
  </si>
  <si>
    <t>Nota de medición</t>
  </si>
  <si>
    <t>0–3 años aprox.</t>
  </si>
  <si>
    <t>MINSAL NT N.º218 / OMS 2006</t>
  </si>
  <si>
    <t>PCe oficial 0–60 y técnica secundaria documentada.</t>
  </si>
  <si>
    <t>TAB-11 / PRO-19</t>
  </si>
  <si>
    <t>Corrección por peso al nacer</t>
  </si>
  <si>
    <t>MOD_PREMATURIDAD</t>
  </si>
  <si>
    <t>NO IMPLEMENTAR</t>
  </si>
  <si>
    <t>Bloqueado</t>
  </si>
  <si>
    <t>Manual UDD/elaboración propia</t>
  </si>
  <si>
    <t>CONFLICTO_RESUELTO_CON_NT218</t>
  </si>
  <si>
    <t>Regla por peso no se usa.</t>
  </si>
  <si>
    <t>EQ-07</t>
  </si>
  <si>
    <t>Edad corregida del prematuro</t>
  </si>
  <si>
    <t>No transcribir</t>
  </si>
  <si>
    <t>MINSAL 2018 citado</t>
  </si>
  <si>
    <t>Notación ambigua sustituida por cálculo diario oficial.</t>
  </si>
  <si>
    <t>CUA-02</t>
  </si>
  <si>
    <t>Clasificación RN pretérmino</t>
  </si>
  <si>
    <t>COTEJAR Y VERSIONAR</t>
  </si>
  <si>
    <t>Módulo bloqueado</t>
  </si>
  <si>
    <t>Milad et al. 2010 citado por UDD</t>
  </si>
  <si>
    <t>FUENTE_PRIMARIA_IDENTIFICADA_FUERA_DE_ALCANCE</t>
  </si>
  <si>
    <t>Clasificación neonatal específica no se incorpora al motor postalta.</t>
  </si>
  <si>
    <t>FUENTE_IDENTIFICADA_NO_AUTOMATIZADA</t>
  </si>
  <si>
    <t>EQ-06</t>
  </si>
  <si>
    <t>Delgado et al. 1996 citado por UDD</t>
  </si>
  <si>
    <t>FUENTE_HISTÓRICA_IDENTIFICADA_FUERA_DE_ALCANCE</t>
  </si>
  <si>
    <t>Índice ponderal neonatal no se automatiza en NMX-14.</t>
  </si>
  <si>
    <t>PRO-24 / POP-09</t>
  </si>
  <si>
    <t>MOD_SINDROME_DOWN</t>
  </si>
  <si>
    <t>Enrutamiento y bloqueo</t>
  </si>
  <si>
    <t>MINSAL NT N.º218 + Zemel 2015</t>
  </si>
  <si>
    <t>FUENTES_PRIMARIAS_VERIFICADAS</t>
  </si>
  <si>
    <t>Percentiles manuales; no redistribuir gráficas.</t>
  </si>
  <si>
    <t>PRO-23 / POP-08</t>
  </si>
  <si>
    <t>MOD_PARALISIS_CEREBRAL</t>
  </si>
  <si>
    <t>Brooks 2011; CanChild; Amezquita 2014</t>
  </si>
  <si>
    <t>Motor gráfico no automatizado; ecuaciones en NMX-28.</t>
  </si>
  <si>
    <t>TAB-18 / TAB-19</t>
  </si>
  <si>
    <t>MOD_EDAD_BIOLOGICA</t>
  </si>
  <si>
    <t>Registro sin cálculo</t>
  </si>
  <si>
    <t>3–19 años</t>
  </si>
  <si>
    <t>MINSAL NT N.º218, p.129</t>
  </si>
  <si>
    <t>Entrada profesional, sin imágenes.</t>
  </si>
  <si>
    <t>FIG-13 / FIG-14 / INS-04</t>
  </si>
  <si>
    <t>REFERENCIAR/NO COPIAR</t>
  </si>
  <si>
    <t>No reproducidos</t>
  </si>
  <si>
    <t>Marshall/Tanner citados; material protegido</t>
  </si>
  <si>
    <t>DERECHOS_Y_GOBERNANZA_RESUELTOS</t>
  </si>
  <si>
    <t>No reproducir sets fotográficos.</t>
  </si>
  <si>
    <t>OMS CHILD GROWTH STANDARDS · PERÍMETRO CEFÁLICO/EDAD 0–60 MESES</t>
  </si>
  <si>
    <t>Importación directa de tablas oficiales OMS por sexo. Valores L, M, S y líneas Z sin modificación.</t>
  </si>
  <si>
    <t>Month</t>
  </si>
  <si>
    <t>L</t>
  </si>
  <si>
    <t>M</t>
  </si>
  <si>
    <t>S</t>
  </si>
  <si>
    <t>SD</t>
  </si>
  <si>
    <t>SD3neg</t>
  </si>
  <si>
    <t>SD2neg</t>
  </si>
  <si>
    <t>SD1neg</t>
  </si>
  <si>
    <t>SD0</t>
  </si>
  <si>
    <t>SD1</t>
  </si>
  <si>
    <t>SD2</t>
  </si>
  <si>
    <t>SD3</t>
  </si>
  <si>
    <t>Fuente niñas</t>
  </si>
  <si>
    <t>https://cdn.who.int/media/docs/default-source/child-growth/child-growth-standards/indicators/head-circumference-for-age/hcfa-girls-0-5-zscores.xlsx</t>
  </si>
  <si>
    <t>Fuente niños</t>
  </si>
  <si>
    <t>https://cdn.who.int/media/docs/default-source/child-growth/child-growth-standards/indicators/head-circumference-for-age/hcfa-boys-0-5-zscores.xlsx</t>
  </si>
  <si>
    <t>Página oficial</t>
  </si>
  <si>
    <t>https://www.who.int/tools/child-growth-standards/standards/head-circumference-for-age</t>
  </si>
  <si>
    <t>Fecha de verificación</t>
  </si>
  <si>
    <t>NUTRIMETRÍA · CORRECCIÓN DEL PCe POR TALLA</t>
  </si>
  <si>
    <t>Ante macrocefalia, MINSAL indica evaluar PCe con la edad en que la talla actual corresponde a la mediana. Se usa inversión e interpolación lineal mensual, claramente identificada como método operacional.</t>
  </si>
  <si>
    <t>Dato</t>
  </si>
  <si>
    <t>Valor</t>
  </si>
  <si>
    <t>Edad efectiva (meses)</t>
  </si>
  <si>
    <t>Talla actual (cm)</t>
  </si>
  <si>
    <t>PCe actual (cm)</t>
  </si>
  <si>
    <t>Clasificación PCe inicial</t>
  </si>
  <si>
    <t>T/E Z interpolado</t>
  </si>
  <si>
    <t>Corrección requerida</t>
  </si>
  <si>
    <t>Edad equivalente por talla (meses)</t>
  </si>
  <si>
    <t>Estado de inversión</t>
  </si>
  <si>
    <t>PCe −2 a edad equivalente</t>
  </si>
  <si>
    <t>PCe −1 a edad equivalente</t>
  </si>
  <si>
    <t>PCe mediana a edad equivalente</t>
  </si>
  <si>
    <t>PCe +1 a edad equivalente</t>
  </si>
  <si>
    <t>PCe +2 a edad equivalente</t>
  </si>
  <si>
    <t>Resultado corregido</t>
  </si>
  <si>
    <t>Puntaje Z PCe corregido</t>
  </si>
  <si>
    <t>Clasificación corregida</t>
  </si>
  <si>
    <t>Talla mediana</t>
  </si>
  <si>
    <t>PCe −2</t>
  </si>
  <si>
    <t>PCe −1</t>
  </si>
  <si>
    <t>PCe 0</t>
  </si>
  <si>
    <t>PCe +1</t>
  </si>
  <si>
    <t>PCe +2</t>
  </si>
  <si>
    <t>OMS Child Growth Standards 2006 + MINSAL NT N.º218/2021</t>
  </si>
  <si>
    <t>Regla oficial</t>
  </si>
  <si>
    <t>Ante macrocefalia, evaluar PCe usando la edad en que la talla actual corresponde a la mediana.</t>
  </si>
  <si>
    <t>Método operativo</t>
  </si>
  <si>
    <t>Inversión de la mediana mensual T/E e interpolación lineal.</t>
  </si>
  <si>
    <t>La interpolación es una implementación metodológica; sospecha de micro/macrocefalia requiere evaluación médica.</t>
  </si>
  <si>
    <t>NUTRIMETRÍA · EVALUACIÓN INTEGRADA EN SÍNDROME DE DOWN</t>
  </si>
  <si>
    <t>MINSAL NT N.º218 integra Zemel 2015 para P/E, T/E y PCe/E con OMS 2006/2007 para P/T e IMC/E. Los percentiles Zemel se ingresan manualmente desde las gráficas oficiales CDC.</t>
  </si>
  <si>
    <t>Dato / resultado</t>
  </si>
  <si>
    <t>Parámetro auxiliar</t>
  </si>
  <si>
    <t>Dominio</t>
  </si>
  <si>
    <t>Selector</t>
  </si>
  <si>
    <t>Ingreso NMX-14</t>
  </si>
  <si>
    <t>P/T M</t>
  </si>
  <si>
    <t>P/T L</t>
  </si>
  <si>
    <t>Edad cronológica/corregida</t>
  </si>
  <si>
    <t>P/T S</t>
  </si>
  <si>
    <t>P/T Z</t>
  </si>
  <si>
    <t>Talla (cm)</t>
  </si>
  <si>
    <t>IMC/E M</t>
  </si>
  <si>
    <t>IMC</t>
  </si>
  <si>
    <t>Cálculo directo</t>
  </si>
  <si>
    <t>IMC/E L</t>
  </si>
  <si>
    <t>Percentil P/E Zemel</t>
  </si>
  <si>
    <t>CDC/Zemel 2015; entrada manual</t>
  </si>
  <si>
    <t>IMC/E S</t>
  </si>
  <si>
    <t>Percentil T/E Zemel</t>
  </si>
  <si>
    <t>Percentil PCe/E Zemel</t>
  </si>
  <si>
    <t>IMC/E Z</t>
  </si>
  <si>
    <t>P/T OMS 2006, puntaje Z</t>
  </si>
  <si>
    <t>OMS 2006</t>
  </si>
  <si>
    <t>Talla normalizada 0,5 cm</t>
  </si>
  <si>
    <t>IMC/E OMS 2007, puntaje Z</t>
  </si>
  <si>
    <t>OMS 2007</t>
  </si>
  <si>
    <t>Clasificación &lt;1 año</t>
  </si>
  <si>
    <t>Calificación nutricional integrada</t>
  </si>
  <si>
    <t>MINSAL NT N.º218, tabla III-21</t>
  </si>
  <si>
    <t>Clasificación 1–5 años</t>
  </si>
  <si>
    <t>Calificación de peso</t>
  </si>
  <si>
    <t>MINSAL NT N.º218, tabla III-22</t>
  </si>
  <si>
    <t>Clasificación 5–19 años</t>
  </si>
  <si>
    <t>Calificación estatural</t>
  </si>
  <si>
    <t>MINSAL NT N.º218, tabla III-23</t>
  </si>
  <si>
    <t>Control interno</t>
  </si>
  <si>
    <t>No mostrar como diagnóstico</t>
  </si>
  <si>
    <t>Calificación PCe</t>
  </si>
  <si>
    <t>MINSAL NT N.º218, tabla III-24</t>
  </si>
  <si>
    <t>MINSAL/OMS/Zemel</t>
  </si>
  <si>
    <t>Motor seguro</t>
  </si>
  <si>
    <t>Criterio</t>
  </si>
  <si>
    <t>&lt;1 año</t>
  </si>
  <si>
    <t>P/E Zemel determina; si P/T OMS ≥+1, prima P/T para exceso.</t>
  </si>
  <si>
    <t>1 año–5 años 29 días</t>
  </si>
  <si>
    <t>P/T OMS 2006.</t>
  </si>
  <si>
    <t>IMC/E OMS 2007; no corregir edad biológica.</t>
  </si>
  <si>
    <t>Peso</t>
  </si>
  <si>
    <t>&lt;p5 bajo; p5–&lt;p95 normal; ≥p95 sobre lo normal.</t>
  </si>
  <si>
    <t>MINSAL III-22</t>
  </si>
  <si>
    <t>Talla</t>
  </si>
  <si>
    <t>&lt;p5 baja; p5–&lt;p95 normal; ≥p95 alta.</t>
  </si>
  <si>
    <t>MINSAL III-23</t>
  </si>
  <si>
    <t>PCe</t>
  </si>
  <si>
    <t>&lt;p5 micro; p5–&lt;p95 normal; ≥p95 macro; medir al menos hasta 5 años.</t>
  </si>
  <si>
    <t>MINSAL III-24</t>
  </si>
  <si>
    <t>Fuente oficial MINSAL</t>
  </si>
  <si>
    <t>Gráficas CDC/Zemel</t>
  </si>
  <si>
    <t>Los percentiles se leen manualmente; el libro no digitaliza ni redistribuye las gráficas.</t>
  </si>
  <si>
    <t>NUTRIMETRÍA · RESOLUCIÓN DE FUENTES PENDIENTES</t>
  </si>
  <si>
    <t>Cada decisión distingue fuente verificada, implementación clínica, limitación de licencia y estado del motor.</t>
  </si>
  <si>
    <t>ID</t>
  </si>
  <si>
    <t>Tema</t>
  </si>
  <si>
    <t>Estado previo</t>
  </si>
  <si>
    <t>Fuente resuelta</t>
  </si>
  <si>
    <t>Documento / versión</t>
  </si>
  <si>
    <t>Página / tabla</t>
  </si>
  <si>
    <t>Estado actual</t>
  </si>
  <si>
    <t>SRC-001</t>
  </si>
  <si>
    <t>1500 g exactos 32–33+6</t>
  </si>
  <si>
    <t>PENDIENTE_FUENTE</t>
  </si>
  <si>
    <t>NT218 2021 Res.Ex.55</t>
  </si>
  <si>
    <t>III-11/III-12</t>
  </si>
  <si>
    <t>Moderado, 12 meses</t>
  </si>
  <si>
    <t>Discordancia documentada</t>
  </si>
  <si>
    <t>RESUELTO_CON_NOTA</t>
  </si>
  <si>
    <t>SRC-002</t>
  </si>
  <si>
    <t>Límites PCe</t>
  </si>
  <si>
    <t>NT218 2021</t>
  </si>
  <si>
    <t>II-35 p.132</t>
  </si>
  <si>
    <t>≤−2 / normal / ≥+2</t>
  </si>
  <si>
    <t>Z interpolado</t>
  </si>
  <si>
    <t>SRC-003</t>
  </si>
  <si>
    <t>Corrección PCe talla</t>
  </si>
  <si>
    <t>NT218 + OMS 2006</t>
  </si>
  <si>
    <t>p.132 + tablas</t>
  </si>
  <si>
    <t>Edad equivalente</t>
  </si>
  <si>
    <t>Interpolación operacional</t>
  </si>
  <si>
    <t>SRC-004</t>
  </si>
  <si>
    <t>PCe NANEAS 3–5</t>
  </si>
  <si>
    <t>OMS + MINSAL</t>
  </si>
  <si>
    <t>WHO 2006</t>
  </si>
  <si>
    <t>PCe 0–60</t>
  </si>
  <si>
    <t>Tabla importada + flag</t>
  </si>
  <si>
    <t>Aplicabilidad clínica</t>
  </si>
  <si>
    <t>SRC-005</t>
  </si>
  <si>
    <t>REFERENCIA_NO_IMPLEMENTADA</t>
  </si>
  <si>
    <t>MINSAL + Zemel/CDC</t>
  </si>
  <si>
    <t>NT218 + Zemel 2015</t>
  </si>
  <si>
    <t>Percentil manual + OMS</t>
  </si>
  <si>
    <t>IMPLEMENTADO_ENTRADA_MANUAL</t>
  </si>
  <si>
    <t>SRC-006</t>
  </si>
  <si>
    <t>COTEJO_PENDIENTE</t>
  </si>
  <si>
    <t>2011/GMFCS/2014</t>
  </si>
  <si>
    <t>DOI y sitios</t>
  </si>
  <si>
    <t>Fuentes verificadas</t>
  </si>
  <si>
    <t>Sin motor tabular en NMX14</t>
  </si>
  <si>
    <t>SRC-007</t>
  </si>
  <si>
    <t>Entrada + alerta</t>
  </si>
  <si>
    <t>Sin imágenes/Tanner automático</t>
  </si>
  <si>
    <t>INFORME DE VALIDACIÓN INDEPENDIENTE — MOTOR PEDIÁTRICO NMX-14</t>
  </si>
  <si>
    <t>Auditoría OMS/MINSAL · esperados desde tablas oficiales · motor recalculado con hoja independiente (LibreOffice/UNO)</t>
  </si>
  <si>
    <t>Archivo auditado</t>
  </si>
  <si>
    <t>NMX-14_OMS_MINSAL_UDD_DIAGNOSTICO_FINAL.xlsx</t>
  </si>
  <si>
    <t>Fecha (UTC)</t>
  </si>
  <si>
    <t>2026-08-06T17:39:44+00:00</t>
  </si>
  <si>
    <t>Motor de recálculo</t>
  </si>
  <si>
    <t>LibreOffice Calc (soffice) vía UNO — celdas ORIGINALES del libro</t>
  </si>
  <si>
    <t>Nota Excel/COM</t>
  </si>
  <si>
    <t>Excel/COM no disponible en Linux; sustituido por LibreOffice (independiente)</t>
  </si>
  <si>
    <t>Fórmulas en el libro</t>
  </si>
  <si>
    <t>623 · recálculo base: 0 errores</t>
  </si>
  <si>
    <t>Integridad tablas OMS</t>
  </si>
  <si>
    <t>Anclas embebidas = OMS publicado (coinciden)</t>
  </si>
  <si>
    <t>Casos de prueba</t>
  </si>
  <si>
    <t>Verificaciones totales</t>
  </si>
  <si>
    <t xml:space="preserve">  PASS</t>
  </si>
  <si>
    <t xml:space="preserve">  FAIL</t>
  </si>
  <si>
    <t xml:space="preserve">  HALLAZGO</t>
  </si>
  <si>
    <t xml:space="preserve">  INFO</t>
  </si>
  <si>
    <t>VEREDICTO</t>
  </si>
  <si>
    <t>Motor LMS correcto en P/E, P/T, IMC/E (|Δz|&lt;0.01) y en clasificaciones OMS/MINSAL, aplicabilidad, prematuridad NT-218 y bloqueo de poblaciones especiales. Sin fallos. 2 limitaciones + 1 hallazgo de robustez (ver HALLAZGOS).</t>
  </si>
  <si>
    <t>NOTA</t>
  </si>
  <si>
    <t>Este libro conserva el MOTOR ORIGINAL COMPLETO y funcional (hojas Ingreso, Cálculos, Interpretación, GRÁFICO y tablas). Ingrese datos en la hoja "Ingreso" para calcular y diagnosticar.</t>
  </si>
  <si>
    <t>Categoría</t>
  </si>
  <si>
    <t>Edad efectiva (m)</t>
  </si>
  <si>
    <t>Prematuro</t>
  </si>
  <si>
    <t>Alerta esperada</t>
  </si>
  <si>
    <t>Alerta motor</t>
  </si>
  <si>
    <t>Z primario esp.</t>
  </si>
  <si>
    <t>Z primario motor</t>
  </si>
  <si>
    <t>Veredicto</t>
  </si>
  <si>
    <t>PE_M_0_0.0</t>
  </si>
  <si>
    <t>peso/edad</t>
  </si>
  <si>
    <t>OK</t>
  </si>
  <si>
    <t>-0.001</t>
  </si>
  <si>
    <t>PE_M_6_2.0</t>
  </si>
  <si>
    <t>2.651</t>
  </si>
  <si>
    <t>PE_M_12_-2.0</t>
  </si>
  <si>
    <t>-2.697</t>
  </si>
  <si>
    <t>PE_M_24_3.0</t>
  </si>
  <si>
    <t>3.989</t>
  </si>
  <si>
    <t>HALLAZGO</t>
  </si>
  <si>
    <t>PE_M_36_-3.0</t>
  </si>
  <si>
    <t>-4.696</t>
  </si>
  <si>
    <t>PE_M_60_0.0</t>
  </si>
  <si>
    <t>-0.110</t>
  </si>
  <si>
    <t>PE_F_0_0.0</t>
  </si>
  <si>
    <t>0.000</t>
  </si>
  <si>
    <t>PE_F_6_2.0</t>
  </si>
  <si>
    <t>2.719</t>
  </si>
  <si>
    <t>PE_F_12_-2.0</t>
  </si>
  <si>
    <t>-2.797</t>
  </si>
  <si>
    <t>PE_F_24_3.0</t>
  </si>
  <si>
    <t>4.073</t>
  </si>
  <si>
    <t>PE_F_36_-3.0</t>
  </si>
  <si>
    <t>-4.408</t>
  </si>
  <si>
    <t>PE_F_60_0.0</t>
  </si>
  <si>
    <t>-0.111</t>
  </si>
  <si>
    <t>PT_M_6_0.0</t>
  </si>
  <si>
    <t>peso/talla</t>
  </si>
  <si>
    <t>-0.229</t>
  </si>
  <si>
    <t>PT_M_6_2.0</t>
  </si>
  <si>
    <t>2.000</t>
  </si>
  <si>
    <t>PT_M_6_-2.0</t>
  </si>
  <si>
    <t>-1.667</t>
  </si>
  <si>
    <t>PT_M_30_0.0</t>
  </si>
  <si>
    <t>PT_M_30_3.0</t>
  </si>
  <si>
    <t>3.000</t>
  </si>
  <si>
    <t>PT_M_48_-3.0</t>
  </si>
  <si>
    <t>-3.000</t>
  </si>
  <si>
    <t>PT_F_6_0.0</t>
  </si>
  <si>
    <t>0.256</t>
  </si>
  <si>
    <t>PT_F_6_2.0</t>
  </si>
  <si>
    <t>PT_F_6_-2.0</t>
  </si>
  <si>
    <t>-1.192</t>
  </si>
  <si>
    <t>PT_F_30_0.0</t>
  </si>
  <si>
    <t>PT_F_30_3.0</t>
  </si>
  <si>
    <t>PT_F_48_-3.0</t>
  </si>
  <si>
    <t>IMC_M_61_0.0</t>
  </si>
  <si>
    <t>IMC/edad</t>
  </si>
  <si>
    <t>IMC_M_120_2.0</t>
  </si>
  <si>
    <t>IMC_M_120_-2.0</t>
  </si>
  <si>
    <t>-2.000</t>
  </si>
  <si>
    <t>IMC_M_180_3.0</t>
  </si>
  <si>
    <t>IMC_M_228_0.0</t>
  </si>
  <si>
    <t>IMC_M_228_-3.0</t>
  </si>
  <si>
    <t>IMC_F_61_0.0</t>
  </si>
  <si>
    <t>IMC_F_120_2.0</t>
  </si>
  <si>
    <t>IMC_F_120_-2.0</t>
  </si>
  <si>
    <t>IMC_F_180_3.0</t>
  </si>
  <si>
    <t>IMC_F_228_0.0</t>
  </si>
  <si>
    <t>IMC_F_228_-3.0</t>
  </si>
  <si>
    <t>TE_M_0_med</t>
  </si>
  <si>
    <t>talla/edad</t>
  </si>
  <si>
    <t>5.988</t>
  </si>
  <si>
    <t>TE_M_24_p2</t>
  </si>
  <si>
    <t>1.211</t>
  </si>
  <si>
    <t>TE_M_24_m2</t>
  </si>
  <si>
    <t>3.775</t>
  </si>
  <si>
    <t>TE_M_120_med</t>
  </si>
  <si>
    <t>TE_M_228_med</t>
  </si>
  <si>
    <t>TE_F_0_med</t>
  </si>
  <si>
    <t>6.285</t>
  </si>
  <si>
    <t>TE_F_24_p2</t>
  </si>
  <si>
    <t>1.444</t>
  </si>
  <si>
    <t>TE_F_24_m2</t>
  </si>
  <si>
    <t>4.078</t>
  </si>
  <si>
    <t>TE_F_120_med</t>
  </si>
  <si>
    <t>TE_F_228_med</t>
  </si>
  <si>
    <t>PCE_M_0_med</t>
  </si>
  <si>
    <t>perímetro cefálico</t>
  </si>
  <si>
    <t>PCE_M_12_p2</t>
  </si>
  <si>
    <t>2.581</t>
  </si>
  <si>
    <t>PCE_M_24_m2</t>
  </si>
  <si>
    <t>-0.169</t>
  </si>
  <si>
    <t>PCE_M_36_med</t>
  </si>
  <si>
    <t>-2.241</t>
  </si>
  <si>
    <t>PCE_M_48_med</t>
  </si>
  <si>
    <t>-3.912</t>
  </si>
  <si>
    <t>PCE_F_0_med</t>
  </si>
  <si>
    <t>PCE_F_12_p2</t>
  </si>
  <si>
    <t>3.065</t>
  </si>
  <si>
    <t>PCE_F_24_m2</t>
  </si>
  <si>
    <t>0.457</t>
  </si>
  <si>
    <t>PCE_F_36_med</t>
  </si>
  <si>
    <t>-1.677</t>
  </si>
  <si>
    <t>PCE_F_48_med</t>
  </si>
  <si>
    <t>-3.298</t>
  </si>
  <si>
    <t>LNEAR0_M_22</t>
  </si>
  <si>
    <t>L=0</t>
  </si>
  <si>
    <t>2.029</t>
  </si>
  <si>
    <t>EXTR_HIGH_M_12</t>
  </si>
  <si>
    <t>extremos</t>
  </si>
  <si>
    <t>5.000</t>
  </si>
  <si>
    <t>EXTR_LOW_F_6</t>
  </si>
  <si>
    <t>-4.999</t>
  </si>
  <si>
    <t>LIM_len_min45_M</t>
  </si>
  <si>
    <t>límites de tabla</t>
  </si>
  <si>
    <t>-9.998</t>
  </si>
  <si>
    <t>LIM_len_max110_F</t>
  </si>
  <si>
    <t>7.291</t>
  </si>
  <si>
    <t>LIM_est_min65_M</t>
  </si>
  <si>
    <t>LIM_est_max120_F</t>
  </si>
  <si>
    <t>BND_60_M</t>
  </si>
  <si>
    <t>BND_61_M</t>
  </si>
  <si>
    <t>ROUND_F_18</t>
  </si>
  <si>
    <t>ERR_SEXO</t>
  </si>
  <si>
    <t>sexo inválido</t>
  </si>
  <si>
    <t>Otro</t>
  </si>
  <si>
    <t>SEXO_INVÁLIDO</t>
  </si>
  <si>
    <t>ERR_FECHAS</t>
  </si>
  <si>
    <t>edad inexistente</t>
  </si>
  <si>
    <t>FECHAS_INVÁLIDAS</t>
  </si>
  <si>
    <t>ERR_EDADMAX</t>
  </si>
  <si>
    <t>EDAD_FUERA_DE_RANGO</t>
  </si>
  <si>
    <t>ERR_PESONEG</t>
  </si>
  <si>
    <t>peso negativo</t>
  </si>
  <si>
    <t>MEDICIÓN_INVÁLIDA</t>
  </si>
  <si>
    <t>#NUM</t>
  </si>
  <si>
    <t>ERR_TALLA0</t>
  </si>
  <si>
    <t>talla cero</t>
  </si>
  <si>
    <t>ERR_VACIO</t>
  </si>
  <si>
    <t>datos vacíos</t>
  </si>
  <si>
    <t>FALTAN_PESO_TALLA</t>
  </si>
  <si>
    <t>ERR_FECHAVACIA</t>
  </si>
  <si>
    <t>FALTAN_FECHAS</t>
  </si>
  <si>
    <t>PREM_TARDIO</t>
  </si>
  <si>
    <t>prematuridad</t>
  </si>
  <si>
    <t>Sí</t>
  </si>
  <si>
    <t>0.164</t>
  </si>
  <si>
    <t>PREM_RNMBP</t>
  </si>
  <si>
    <t>-0.724</t>
  </si>
  <si>
    <t>PREM_SELECTOR</t>
  </si>
  <si>
    <t>SELECTOR_NO_COINCIDE</t>
  </si>
  <si>
    <t>POB_DOWN</t>
  </si>
  <si>
    <t>población especial</t>
  </si>
  <si>
    <t>(ruteo DOWN)</t>
  </si>
  <si>
    <t>POB_PC</t>
  </si>
  <si>
    <t>PARALISIS_CEREBRAL</t>
  </si>
  <si>
    <t>FUENTE_VERIFICADA · MOTOR_NO_AUTOMATIZADO</t>
  </si>
  <si>
    <t>POB_OTRA</t>
  </si>
  <si>
    <t>OTRA</t>
  </si>
  <si>
    <t>Verificación</t>
  </si>
  <si>
    <t>Motor</t>
  </si>
  <si>
    <t>Δ</t>
  </si>
  <si>
    <t>Fila</t>
  </si>
  <si>
    <t>Columna</t>
  </si>
  <si>
    <t>-</t>
  </si>
  <si>
    <t>edad_efectiva_meses</t>
  </si>
  <si>
    <t>0</t>
  </si>
  <si>
    <t>0.00</t>
  </si>
  <si>
    <t>PASS</t>
  </si>
  <si>
    <t>alerta_C53</t>
  </si>
  <si>
    <t>PE</t>
  </si>
  <si>
    <t>-0.0008</t>
  </si>
  <si>
    <t>-2e-05</t>
  </si>
  <si>
    <t>OMS_TABLAS_OFICIALES</t>
  </si>
  <si>
    <t>PESO/EDAD OMS 2006</t>
  </si>
  <si>
    <t>A/F (mes)</t>
  </si>
  <si>
    <t>B-D niñas / G-I niños</t>
  </si>
  <si>
    <t>clasificación_OMS</t>
  </si>
  <si>
    <t>Normal</t>
  </si>
  <si>
    <t>clasificación_MINSAL</t>
  </si>
  <si>
    <t>Normal / eutrófico</t>
  </si>
  <si>
    <t>aplicabilidad</t>
  </si>
  <si>
    <t>APLICA</t>
  </si>
  <si>
    <t>param_L</t>
  </si>
  <si>
    <t>0.3487</t>
  </si>
  <si>
    <t>0.349</t>
  </si>
  <si>
    <t>param_M</t>
  </si>
  <si>
    <t>3.3464</t>
  </si>
  <si>
    <t>3.346</t>
  </si>
  <si>
    <t>param_S</t>
  </si>
  <si>
    <t>0.14602</t>
  </si>
  <si>
    <t>0.146</t>
  </si>
  <si>
    <t>aplicabilidad(fuera)</t>
  </si>
  <si>
    <t>FUERA_DE_DOMINIO</t>
  </si>
  <si>
    <t>IMC/EDAD OMS 2007</t>
  </si>
  <si>
    <t>PT</t>
  </si>
  <si>
    <t>0.0613</t>
  </si>
  <si>
    <t>-1e-05</t>
  </si>
  <si>
    <t>P/LONGITUD o P/ESTATURA OMS 2006</t>
  </si>
  <si>
    <t>K/P/U/Z (cm)</t>
  </si>
  <si>
    <t>L-N/Q-S/V-X/AA-AC</t>
  </si>
  <si>
    <t>-0.3521</t>
  </si>
  <si>
    <t>-0.352</t>
  </si>
  <si>
    <t>3.3278</t>
  </si>
  <si>
    <t>3.328</t>
  </si>
  <si>
    <t>0.0889</t>
  </si>
  <si>
    <t>0.089</t>
  </si>
  <si>
    <t>TE</t>
  </si>
  <si>
    <t>0.0526</t>
  </si>
  <si>
    <t>3e-05</t>
  </si>
  <si>
    <t>TALLA/EDAD OMS (cortes DE)</t>
  </si>
  <si>
    <t>U/AB (mes)</t>
  </si>
  <si>
    <t>V-Z niñas / AC-AG niños</t>
  </si>
  <si>
    <t>PCE</t>
  </si>
  <si>
    <t>NO_INGRESADO</t>
  </si>
  <si>
    <t>OMS_PCE_0_60</t>
  </si>
  <si>
    <t>PC/EDAD OMS 2006 (cortes DE)</t>
  </si>
  <si>
    <t>A/N (mes)</t>
  </si>
  <si>
    <t>G-K niñas / T-X niños</t>
  </si>
  <si>
    <t>6</t>
  </si>
  <si>
    <t>6.00</t>
  </si>
  <si>
    <t>2.0002</t>
  </si>
  <si>
    <t>-4e-05</t>
  </si>
  <si>
    <t>0.1257</t>
  </si>
  <si>
    <t>0.126</t>
  </si>
  <si>
    <t>7.934</t>
  </si>
  <si>
    <t>0.10958</t>
  </si>
  <si>
    <t>0.110</t>
  </si>
  <si>
    <t>2.6513</t>
  </si>
  <si>
    <t>Sobrepeso</t>
  </si>
  <si>
    <t>Obesidad</t>
  </si>
  <si>
    <t>7.8526</t>
  </si>
  <si>
    <t>7.853</t>
  </si>
  <si>
    <t>0.08212</t>
  </si>
  <si>
    <t>0.082</t>
  </si>
  <si>
    <t>-0.0476</t>
  </si>
  <si>
    <t>12</t>
  </si>
  <si>
    <t>12.00</t>
  </si>
  <si>
    <t>-2.0003</t>
  </si>
  <si>
    <t>4e-05</t>
  </si>
  <si>
    <t>Bajo peso</t>
  </si>
  <si>
    <t>Desnutrición</t>
  </si>
  <si>
    <t>0.0644</t>
  </si>
  <si>
    <t>0.064</t>
  </si>
  <si>
    <t>9.6479</t>
  </si>
  <si>
    <t>9.648</t>
  </si>
  <si>
    <t>0.10925</t>
  </si>
  <si>
    <t>0.109</t>
  </si>
  <si>
    <t>-2.6975</t>
  </si>
  <si>
    <t>1e-05</t>
  </si>
  <si>
    <t>Emaciación</t>
  </si>
  <si>
    <t>9.6041</t>
  </si>
  <si>
    <t>9.604</t>
  </si>
  <si>
    <t>0.08301</t>
  </si>
  <si>
    <t>0.083</t>
  </si>
  <si>
    <t>-0.087</t>
  </si>
  <si>
    <t>24</t>
  </si>
  <si>
    <t>24.00</t>
  </si>
  <si>
    <t>3.0002</t>
  </si>
  <si>
    <t>2e-05</t>
  </si>
  <si>
    <t>-0.0137</t>
  </si>
  <si>
    <t>-0.014</t>
  </si>
  <si>
    <t>12.1515</t>
  </si>
  <si>
    <t>12.152</t>
  </si>
  <si>
    <t>0.11426</t>
  </si>
  <si>
    <t>0.114</t>
  </si>
  <si>
    <t>3.9888</t>
  </si>
  <si>
    <t>12.1645</t>
  </si>
  <si>
    <t>12.165</t>
  </si>
  <si>
    <t>0.0809</t>
  </si>
  <si>
    <t>0.081</t>
  </si>
  <si>
    <t>z_ajustado_OMS(&gt;3DE)</t>
  </si>
  <si>
    <t>4.1137</t>
  </si>
  <si>
    <t>-0.1249</t>
  </si>
  <si>
    <t>-0.0333</t>
  </si>
  <si>
    <t>-3e-05</t>
  </si>
  <si>
    <t>36</t>
  </si>
  <si>
    <t>36.00</t>
  </si>
  <si>
    <t>-2.9997</t>
  </si>
  <si>
    <t>-0.0689</t>
  </si>
  <si>
    <t>-0.069</t>
  </si>
  <si>
    <t>14.3429</t>
  </si>
  <si>
    <t>14.343</t>
  </si>
  <si>
    <t>0.12116</t>
  </si>
  <si>
    <t>0.121</t>
  </si>
  <si>
    <t>-4.6955</t>
  </si>
  <si>
    <t>Emaciación severa</t>
  </si>
  <si>
    <t>14.3037</t>
  </si>
  <si>
    <t>14.304</t>
  </si>
  <si>
    <t>0.08083</t>
  </si>
  <si>
    <t>-4.4826</t>
  </si>
  <si>
    <t>-0.2129</t>
  </si>
  <si>
    <t>-0.027</t>
  </si>
  <si>
    <t>60</t>
  </si>
  <si>
    <t>60.00</t>
  </si>
  <si>
    <t>0.0002</t>
  </si>
  <si>
    <t>-0.1506</t>
  </si>
  <si>
    <t>-0.151</t>
  </si>
  <si>
    <t>18.3366</t>
  </si>
  <si>
    <t>18.337</t>
  </si>
  <si>
    <t>0.13517</t>
  </si>
  <si>
    <t>0.135</t>
  </si>
  <si>
    <t>-0.1105</t>
  </si>
  <si>
    <t>18.5158</t>
  </si>
  <si>
    <t>18.516</t>
  </si>
  <si>
    <t>0.088</t>
  </si>
  <si>
    <t>0.0</t>
  </si>
  <si>
    <t>-0.0004</t>
  </si>
  <si>
    <t>0.3809</t>
  </si>
  <si>
    <t>0.381</t>
  </si>
  <si>
    <t>3.2322</t>
  </si>
  <si>
    <t>3.232</t>
  </si>
  <si>
    <t>0.14171</t>
  </si>
  <si>
    <t>0.142</t>
  </si>
  <si>
    <t>0.2615</t>
  </si>
  <si>
    <t>-5e-05</t>
  </si>
  <si>
    <t>-0.3833</t>
  </si>
  <si>
    <t>-0.383</t>
  </si>
  <si>
    <t>3.156</t>
  </si>
  <si>
    <t>0.0906</t>
  </si>
  <si>
    <t>0.091</t>
  </si>
  <si>
    <t>-0.0556</t>
  </si>
  <si>
    <t>1.9996</t>
  </si>
  <si>
    <t>-0.0756</t>
  </si>
  <si>
    <t>-0.076</t>
  </si>
  <si>
    <t>7.297</t>
  </si>
  <si>
    <t>0.12204</t>
  </si>
  <si>
    <t>0.122</t>
  </si>
  <si>
    <t>2.7187</t>
  </si>
  <si>
    <t>7.195</t>
  </si>
  <si>
    <t>0.09115</t>
  </si>
  <si>
    <t>-0.0909</t>
  </si>
  <si>
    <t>-1.9995</t>
  </si>
  <si>
    <t>Riesgo de desnutrir</t>
  </si>
  <si>
    <t>-0.2024</t>
  </si>
  <si>
    <t>-0.202</t>
  </si>
  <si>
    <t>8.9481</t>
  </si>
  <si>
    <t>8.948</t>
  </si>
  <si>
    <t>0.12268</t>
  </si>
  <si>
    <t>0.123</t>
  </si>
  <si>
    <t>-2.7967</t>
  </si>
  <si>
    <t>8.9601</t>
  </si>
  <si>
    <t>8.960</t>
  </si>
  <si>
    <t>0.09018</t>
  </si>
  <si>
    <t>0.090</t>
  </si>
  <si>
    <t>3.0001</t>
  </si>
  <si>
    <t>-0.2941</t>
  </si>
  <si>
    <t>-0.294</t>
  </si>
  <si>
    <t>11.4775</t>
  </si>
  <si>
    <t>11.478</t>
  </si>
  <si>
    <t>0.1239</t>
  </si>
  <si>
    <t>0.124</t>
  </si>
  <si>
    <t>4.0732</t>
  </si>
  <si>
    <t>11.5186</t>
  </si>
  <si>
    <t>11.519</t>
  </si>
  <si>
    <t>0.08895</t>
  </si>
  <si>
    <t>4.2375</t>
  </si>
  <si>
    <t>-0.1643</t>
  </si>
  <si>
    <t>-0.0625</t>
  </si>
  <si>
    <t>-0.0</t>
  </si>
  <si>
    <t>-3.0004</t>
  </si>
  <si>
    <t>Bajo peso severo</t>
  </si>
  <si>
    <t>-0.3201</t>
  </si>
  <si>
    <t>-0.320</t>
  </si>
  <si>
    <t>13.8503</t>
  </si>
  <si>
    <t>13.850</t>
  </si>
  <si>
    <t>0.12919</t>
  </si>
  <si>
    <t>0.129</t>
  </si>
  <si>
    <t>-4.4082</t>
  </si>
  <si>
    <t>13.8914</t>
  </si>
  <si>
    <t>13.891</t>
  </si>
  <si>
    <t>0.08975</t>
  </si>
  <si>
    <t>-4.231</t>
  </si>
  <si>
    <t>-0.1772</t>
  </si>
  <si>
    <t>-0.0256</t>
  </si>
  <si>
    <t>-0.0001</t>
  </si>
  <si>
    <t>-0.3518</t>
  </si>
  <si>
    <t>18.2193</t>
  </si>
  <si>
    <t>18.219</t>
  </si>
  <si>
    <t>0.14821</t>
  </si>
  <si>
    <t>0.148</t>
  </si>
  <si>
    <t>-0.1108</t>
  </si>
  <si>
    <t>18.4096</t>
  </si>
  <si>
    <t>18.410</t>
  </si>
  <si>
    <t>0.09409</t>
  </si>
  <si>
    <t>0.094</t>
  </si>
  <si>
    <t>0.0208</t>
  </si>
  <si>
    <t>-0.2291</t>
  </si>
  <si>
    <t>7.737</t>
  </si>
  <si>
    <t>-0.2857</t>
  </si>
  <si>
    <t>1.3262</t>
  </si>
  <si>
    <t>1.9998</t>
  </si>
  <si>
    <t>Posible riesgo de sobrepeso</t>
  </si>
  <si>
    <t>-1.6674</t>
  </si>
  <si>
    <t>-2.0005</t>
  </si>
  <si>
    <t>30</t>
  </si>
  <si>
    <t>30.00</t>
  </si>
  <si>
    <t>-0.2686</t>
  </si>
  <si>
    <t>-0.0431</t>
  </si>
  <si>
    <t>-0.043</t>
  </si>
  <si>
    <t>13.3</t>
  </si>
  <si>
    <t>13.300</t>
  </si>
  <si>
    <t>0.11781</t>
  </si>
  <si>
    <t>0.118</t>
  </si>
  <si>
    <t>12.8864</t>
  </si>
  <si>
    <t>12.886</t>
  </si>
  <si>
    <t>0.08032</t>
  </si>
  <si>
    <t>0.080</t>
  </si>
  <si>
    <t>-0.5588</t>
  </si>
  <si>
    <t>1.8602</t>
  </si>
  <si>
    <t>2.9998</t>
  </si>
  <si>
    <t>48</t>
  </si>
  <si>
    <t>48.00</t>
  </si>
  <si>
    <t>-2.386</t>
  </si>
  <si>
    <t>-0.1131</t>
  </si>
  <si>
    <t>-0.113</t>
  </si>
  <si>
    <t>16.3489</t>
  </si>
  <si>
    <t>16.349</t>
  </si>
  <si>
    <t>0.12759</t>
  </si>
  <si>
    <t>0.128</t>
  </si>
  <si>
    <t>15.3576</t>
  </si>
  <si>
    <t>15.358</t>
  </si>
  <si>
    <t>0.08229</t>
  </si>
  <si>
    <t>-0.7857</t>
  </si>
  <si>
    <t>0.2562</t>
  </si>
  <si>
    <t>0.0003</t>
  </si>
  <si>
    <t>7.5288</t>
  </si>
  <si>
    <t>7.529</t>
  </si>
  <si>
    <t>0.09101</t>
  </si>
  <si>
    <t>0.5652</t>
  </si>
  <si>
    <t>1.7872</t>
  </si>
  <si>
    <t>-1.1921</t>
  </si>
  <si>
    <t>-2.0002</t>
  </si>
  <si>
    <t>-0.0373</t>
  </si>
  <si>
    <t>-0.3101</t>
  </si>
  <si>
    <t>-0.310</t>
  </si>
  <si>
    <t>12.7055</t>
  </si>
  <si>
    <t>12.706</t>
  </si>
  <si>
    <t>0.12587</t>
  </si>
  <si>
    <t>12.6461</t>
  </si>
  <si>
    <t>12.646</t>
  </si>
  <si>
    <t>0.08911</t>
  </si>
  <si>
    <t>-0.1944</t>
  </si>
  <si>
    <t>2.1116</t>
  </si>
  <si>
    <t>-2.3799</t>
  </si>
  <si>
    <t>-0.3361</t>
  </si>
  <si>
    <t>-0.336</t>
  </si>
  <si>
    <t>16.0697</t>
  </si>
  <si>
    <t>16.070</t>
  </si>
  <si>
    <t>0.13884</t>
  </si>
  <si>
    <t>0.139</t>
  </si>
  <si>
    <t>-3.0</t>
  </si>
  <si>
    <t>15.2246</t>
  </si>
  <si>
    <t>15.225</t>
  </si>
  <si>
    <t>0.09088</t>
  </si>
  <si>
    <t>-0.6279</t>
  </si>
  <si>
    <t>61</t>
  </si>
  <si>
    <t>61.00</t>
  </si>
  <si>
    <t>-0.0002</t>
  </si>
  <si>
    <t>-0.7387</t>
  </si>
  <si>
    <t>-0.739</t>
  </si>
  <si>
    <t>15.2641</t>
  </si>
  <si>
    <t>15.264</t>
  </si>
  <si>
    <t>0.0839</t>
  </si>
  <si>
    <t>0.084</t>
  </si>
  <si>
    <t>2.1333</t>
  </si>
  <si>
    <t>Talla alta</t>
  </si>
  <si>
    <t>120</t>
  </si>
  <si>
    <t>120.00</t>
  </si>
  <si>
    <t>2.0</t>
  </si>
  <si>
    <t>-1.7407</t>
  </si>
  <si>
    <t>-1.741</t>
  </si>
  <si>
    <t>16.4433</t>
  </si>
  <si>
    <t>16.443</t>
  </si>
  <si>
    <t>0.10566</t>
  </si>
  <si>
    <t>0.106</t>
  </si>
  <si>
    <t>-2.7812</t>
  </si>
  <si>
    <t>Talla baja</t>
  </si>
  <si>
    <t>-1.9999</t>
  </si>
  <si>
    <t>180</t>
  </si>
  <si>
    <t>180.00</t>
  </si>
  <si>
    <t>3.0</t>
  </si>
  <si>
    <t>-1.4961</t>
  </si>
  <si>
    <t>-1.496</t>
  </si>
  <si>
    <t>19.7744</t>
  </si>
  <si>
    <t>19.774</t>
  </si>
  <si>
    <t>0.12412</t>
  </si>
  <si>
    <t>-1.1538</t>
  </si>
  <si>
    <t>Talla normal baja</t>
  </si>
  <si>
    <t>228</t>
  </si>
  <si>
    <t>228.00</t>
  </si>
  <si>
    <t>-0.8419</t>
  </si>
  <si>
    <t>-0.842</t>
  </si>
  <si>
    <t>22.1883</t>
  </si>
  <si>
    <t>22.188</t>
  </si>
  <si>
    <t>0.12948</t>
  </si>
  <si>
    <t>-2.2603</t>
  </si>
  <si>
    <t>Delgadez severa</t>
  </si>
  <si>
    <t>-0.8886</t>
  </si>
  <si>
    <t>-0.889</t>
  </si>
  <si>
    <t>15.2441</t>
  </si>
  <si>
    <t>15.244</t>
  </si>
  <si>
    <t>0.09692</t>
  </si>
  <si>
    <t>0.097</t>
  </si>
  <si>
    <t>2.1915</t>
  </si>
  <si>
    <t>1.9999</t>
  </si>
  <si>
    <t>-1.4864</t>
  </si>
  <si>
    <t>-1.486</t>
  </si>
  <si>
    <t>16.6133</t>
  </si>
  <si>
    <t>16.613</t>
  </si>
  <si>
    <t>0.12307</t>
  </si>
  <si>
    <t>-2.9063</t>
  </si>
  <si>
    <t>5e-05</t>
  </si>
  <si>
    <t>Delgadez</t>
  </si>
  <si>
    <t>Obesidad severa</t>
  </si>
  <si>
    <t>-1.1311</t>
  </si>
  <si>
    <t>-1.131</t>
  </si>
  <si>
    <t>20.2125</t>
  </si>
  <si>
    <t>20.213</t>
  </si>
  <si>
    <t>0.13904</t>
  </si>
  <si>
    <t>-0.2464</t>
  </si>
  <si>
    <t>-0.7496</t>
  </si>
  <si>
    <t>-0.750</t>
  </si>
  <si>
    <t>21.4269</t>
  </si>
  <si>
    <t>21.427</t>
  </si>
  <si>
    <t>0.14441</t>
  </si>
  <si>
    <t>0.144</t>
  </si>
  <si>
    <t>-0.4848</t>
  </si>
  <si>
    <t>-2.9999</t>
  </si>
  <si>
    <t>4.4347</t>
  </si>
  <si>
    <t>4.5858</t>
  </si>
  <si>
    <t>-0.1511</t>
  </si>
  <si>
    <t>5.9876</t>
  </si>
  <si>
    <t>6.9432</t>
  </si>
  <si>
    <t>-0.9556</t>
  </si>
  <si>
    <t>1.8405</t>
  </si>
  <si>
    <t>1.2107</t>
  </si>
  <si>
    <t>13.587</t>
  </si>
  <si>
    <t>0.08031</t>
  </si>
  <si>
    <t>3.7752</t>
  </si>
  <si>
    <t>10.7718</t>
  </si>
  <si>
    <t>10.772</t>
  </si>
  <si>
    <t>0.08279</t>
  </si>
  <si>
    <t>3.8639</t>
  </si>
  <si>
    <t>-0.0887</t>
  </si>
  <si>
    <t>-2.0</t>
  </si>
  <si>
    <t>0.0001</t>
  </si>
  <si>
    <t>4.9224</t>
  </si>
  <si>
    <t>5.1447</t>
  </si>
  <si>
    <t>-0.2223</t>
  </si>
  <si>
    <t>6.2855</t>
  </si>
  <si>
    <t>7.5182</t>
  </si>
  <si>
    <t>-1.2327</t>
  </si>
  <si>
    <t>2.0775</t>
  </si>
  <si>
    <t>1.4442</t>
  </si>
  <si>
    <t>13.1415</t>
  </si>
  <si>
    <t>13.142</t>
  </si>
  <si>
    <t>0.08931</t>
  </si>
  <si>
    <t>4.0781</t>
  </si>
  <si>
    <t>10.1298</t>
  </si>
  <si>
    <t>10.130</t>
  </si>
  <si>
    <t>0.08937</t>
  </si>
  <si>
    <t>4.2445</t>
  </si>
  <si>
    <t>-0.1664</t>
  </si>
  <si>
    <t>2.011</t>
  </si>
  <si>
    <t>2.5805</t>
  </si>
  <si>
    <t>-0.1098</t>
  </si>
  <si>
    <t>-0.1687</t>
  </si>
  <si>
    <t>Microcefalia</t>
  </si>
  <si>
    <t>-1.4811</t>
  </si>
  <si>
    <t>-2.2412</t>
  </si>
  <si>
    <t>-2.4667</t>
  </si>
  <si>
    <t>16.3812</t>
  </si>
  <si>
    <t>16.381</t>
  </si>
  <si>
    <t>0.08408</t>
  </si>
  <si>
    <t>-3.8252</t>
  </si>
  <si>
    <t>-0.0868</t>
  </si>
  <si>
    <t>0.0476</t>
  </si>
  <si>
    <t>2.3225</t>
  </si>
  <si>
    <t>3.0646</t>
  </si>
  <si>
    <t>0.357</t>
  </si>
  <si>
    <t>0.4567</t>
  </si>
  <si>
    <t>-1.1359</t>
  </si>
  <si>
    <t>-1.6774</t>
  </si>
  <si>
    <t>-2.21</t>
  </si>
  <si>
    <t>-3.2976</t>
  </si>
  <si>
    <t>15.9707</t>
  </si>
  <si>
    <t>15.971</t>
  </si>
  <si>
    <t>0.09161</t>
  </si>
  <si>
    <t>0.092</t>
  </si>
  <si>
    <t>-3.276</t>
  </si>
  <si>
    <t>-0.0216</t>
  </si>
  <si>
    <t>-0.0465</t>
  </si>
  <si>
    <t>22</t>
  </si>
  <si>
    <t>22.00</t>
  </si>
  <si>
    <t>1.4998</t>
  </si>
  <si>
    <t>-0.0028</t>
  </si>
  <si>
    <t>-0.003</t>
  </si>
  <si>
    <t>11.7504</t>
  </si>
  <si>
    <t>11.750</t>
  </si>
  <si>
    <t>0.11314</t>
  </si>
  <si>
    <t>0.113</t>
  </si>
  <si>
    <t>2.0287</t>
  </si>
  <si>
    <t>11.7444</t>
  </si>
  <si>
    <t>11.744</t>
  </si>
  <si>
    <t>0.08145</t>
  </si>
  <si>
    <t>4.224</t>
  </si>
  <si>
    <t>4.3684</t>
  </si>
  <si>
    <t>-0.1444</t>
  </si>
  <si>
    <t>4.9998</t>
  </si>
  <si>
    <t>9.7033</t>
  </si>
  <si>
    <t>9.703</t>
  </si>
  <si>
    <t>0.08307</t>
  </si>
  <si>
    <t>5.4154</t>
  </si>
  <si>
    <t>-0.4156</t>
  </si>
  <si>
    <t>0.125</t>
  </si>
  <si>
    <t>-4.6548</t>
  </si>
  <si>
    <t>-0.3442</t>
  </si>
  <si>
    <t>-7.1582</t>
  </si>
  <si>
    <t>-6.1506</t>
  </si>
  <si>
    <t>-1.0076</t>
  </si>
  <si>
    <t>-7.7395</t>
  </si>
  <si>
    <t>-2.2585</t>
  </si>
  <si>
    <t>2.441</t>
  </si>
  <si>
    <t>0.09182</t>
  </si>
  <si>
    <t>-10.3182</t>
  </si>
  <si>
    <t>Talla baja severa</t>
  </si>
  <si>
    <t>7.2914</t>
  </si>
  <si>
    <t>9.2425</t>
  </si>
  <si>
    <t>-1.9511</t>
  </si>
  <si>
    <t>18.3324</t>
  </si>
  <si>
    <t>18.332</t>
  </si>
  <si>
    <t>0.09401</t>
  </si>
  <si>
    <t>19.2609</t>
  </si>
  <si>
    <t>-5.0012</t>
  </si>
  <si>
    <t>-4.6723</t>
  </si>
  <si>
    <t>-0.3289</t>
  </si>
  <si>
    <t>0.0005</t>
  </si>
  <si>
    <t>7.4327</t>
  </si>
  <si>
    <t>7.433</t>
  </si>
  <si>
    <t>0.08217</t>
  </si>
  <si>
    <t>-7.9118</t>
  </si>
  <si>
    <t>4.2536</t>
  </si>
  <si>
    <t>4.5502</t>
  </si>
  <si>
    <t>-0.2966</t>
  </si>
  <si>
    <t>22.8173</t>
  </si>
  <si>
    <t>22.817</t>
  </si>
  <si>
    <t>0.09828</t>
  </si>
  <si>
    <t>0.098</t>
  </si>
  <si>
    <t>8.3714</t>
  </si>
  <si>
    <t>0.072</t>
  </si>
  <si>
    <t>-0.0652</t>
  </si>
  <si>
    <t>18</t>
  </si>
  <si>
    <t>18.00</t>
  </si>
  <si>
    <t>-0.6743</t>
  </si>
  <si>
    <t>-0.2637</t>
  </si>
  <si>
    <t>-0.264</t>
  </si>
  <si>
    <t>10.2315</t>
  </si>
  <si>
    <t>10.232</t>
  </si>
  <si>
    <t>0.12309</t>
  </si>
  <si>
    <t>9.4252</t>
  </si>
  <si>
    <t>9.425</t>
  </si>
  <si>
    <t>0.08985</t>
  </si>
  <si>
    <t>-1.5172</t>
  </si>
  <si>
    <t>240</t>
  </si>
  <si>
    <t>240.00</t>
  </si>
  <si>
    <t>3</t>
  </si>
  <si>
    <t>3.00</t>
  </si>
  <si>
    <t>prem_clase_NT218</t>
  </si>
  <si>
    <t>PREMATURO_TARDÍO</t>
  </si>
  <si>
    <t>prem_limite_meses</t>
  </si>
  <si>
    <t>0.1643</t>
  </si>
  <si>
    <t>0.1738</t>
  </si>
  <si>
    <t>0.174</t>
  </si>
  <si>
    <t>6.3762</t>
  </si>
  <si>
    <t>6.376</t>
  </si>
  <si>
    <t>0.11727</t>
  </si>
  <si>
    <t>0.117</t>
  </si>
  <si>
    <t>-0.0466</t>
  </si>
  <si>
    <t>6.5251</t>
  </si>
  <si>
    <t>6.525</t>
  </si>
  <si>
    <t>0.2857</t>
  </si>
  <si>
    <t>7</t>
  </si>
  <si>
    <t>7.00</t>
  </si>
  <si>
    <t>RNMBP</t>
  </si>
  <si>
    <t>-0.7241</t>
  </si>
  <si>
    <t>-0.1039</t>
  </si>
  <si>
    <t>-0.104</t>
  </si>
  <si>
    <t>7.6422</t>
  </si>
  <si>
    <t>7.642</t>
  </si>
  <si>
    <t>0.12178</t>
  </si>
  <si>
    <t>-1.1342</t>
  </si>
  <si>
    <t>7.7448</t>
  </si>
  <si>
    <t>7.745</t>
  </si>
  <si>
    <t>0.0909</t>
  </si>
  <si>
    <t>0.3043</t>
  </si>
  <si>
    <t>INFO</t>
  </si>
  <si>
    <t>curvas_bloqueadas(z vacío)</t>
  </si>
  <si>
    <t>TODOS_VACÍOS</t>
  </si>
  <si>
    <t>VACÍOS</t>
  </si>
  <si>
    <t>celda_error_filtrada</t>
  </si>
  <si>
    <t>(sin error / vacío)</t>
  </si>
  <si>
    <t>Cálculos!C16=#NUM</t>
  </si>
  <si>
    <t>Cálculos!C33=#NUM</t>
  </si>
  <si>
    <t>Cálculos!C35=#NUM</t>
  </si>
  <si>
    <t>Interpretación!C4=#NUM</t>
  </si>
  <si>
    <t>Interpretación!C7=#NUM</t>
  </si>
  <si>
    <t>Interpretación!C9=#NUM</t>
  </si>
  <si>
    <t>Interpretación!D4=#NUM</t>
  </si>
  <si>
    <t>Interpretación!D7=#NUM</t>
  </si>
  <si>
    <t>Interpretación!E4=#NUM</t>
  </si>
  <si>
    <t>Interpretación!E7=#NUM</t>
  </si>
  <si>
    <t>Interpretación!E9=#NUM</t>
  </si>
  <si>
    <t>Interpretación!G4=#NUM</t>
  </si>
  <si>
    <t>Interpretación!G7=#NUM</t>
  </si>
  <si>
    <t>Interpretación!G9=#NUM</t>
  </si>
  <si>
    <t>Interpretación!H4=#NUM</t>
  </si>
  <si>
    <t>Interpretación!H7=#NUM</t>
  </si>
  <si>
    <t>Interpretación!H9=#NUM</t>
  </si>
  <si>
    <t>HALLAZGOS Y LIMITACIONES DOCUMENTADAS</t>
  </si>
  <si>
    <t>Tipo</t>
  </si>
  <si>
    <t>Título</t>
  </si>
  <si>
    <t>Descripción</t>
  </si>
  <si>
    <t>Severidad</t>
  </si>
  <si>
    <t>Recomendación</t>
  </si>
  <si>
    <t>H-1</t>
  </si>
  <si>
    <t>Robustez</t>
  </si>
  <si>
    <t>Peso negativo filtra error de cálculo a celdas de resultado</t>
  </si>
  <si>
    <t>Con peso ≤ 0, las fórmulas de Z de P/E (Cálculos!C16) y P/T (Cálculos!C33) sólo validan celda vacía, no valores no físicos. El error se propaga a Z integrado (C35) y a Interpretación (Z, clas. OMS/MINSAL, aplicabilidad, estado). La alerta global sí marca MEDICIÓN_INVÁLIDA. Talla=0 SÍ se maneja bien. Caso ERR_PESONEG.</t>
  </si>
  <si>
    <t>Media-baja</t>
  </si>
  <si>
    <t>Envolver C16/C33/C35 con IF(Ingreso!C8&lt;=0,"",…) o IFERROR, como ya hace IMC (C7) y talla clave (C54).</t>
  </si>
  <si>
    <t>H-2</t>
  </si>
  <si>
    <t>Metodología OMS</t>
  </si>
  <si>
    <t>Z no ajustado más allá de ±3 DE</t>
  </si>
  <si>
    <t>El motor entrega Z LMS bruto; no aplica la extrapolación WHO-Anthro para |Z|&gt;3. En extremos la diferencia numérica puede superar 1 Z, pero NO cambia la banda de clasificación. 24 verificaciones.</t>
  </si>
  <si>
    <t>Baja</t>
  </si>
  <si>
    <t>Documentar criterio Z bruto vs ajustado. Para paridad con WHO-Anthro, implementar ajuste &gt;±3 DE en P/E, P/T, IMC.</t>
  </si>
  <si>
    <t>H-3</t>
  </si>
  <si>
    <t>Metodología declarada</t>
  </si>
  <si>
    <t>T/E y perímetro cefálico por interpolación lineal</t>
  </si>
  <si>
    <t>Z de talla/edad y perímetro cefálico se interpola entre líneas DE impresas, no con L,M,S completos. Desviación máx. ≈0.03 Z. El archivo lo declara (OK_CON_LIMITACIÓN_Z_INTERPOLADO).</t>
  </si>
  <si>
    <t>Informativa</t>
  </si>
  <si>
    <t>Aceptable para tamizaje; para Z de precisión, usar L,M,S completos.</t>
  </si>
  <si>
    <t>H-4</t>
  </si>
  <si>
    <t>Rama L=0 no alcanzable con datos oficiales</t>
  </si>
  <si>
    <t>Ninguna fila OMS tiene L=0 exacto (mín |L|≈0.0028). Verificado con LNEAR0_M_22 (L≈-0.003): Z motor=1.500 vs 1.4998.</t>
  </si>
  <si>
    <t>Sin acción; rama defensiva consistente.</t>
  </si>
  <si>
    <t>AUDITORÍA DE INTEGRIDAD — TABLAS EMBEBIDAS vs OMS PUBLICADO</t>
  </si>
  <si>
    <t>Clave</t>
  </si>
  <si>
    <t>Embebido</t>
  </si>
  <si>
    <t>Oficial OMS</t>
  </si>
  <si>
    <t>Resultado</t>
  </si>
  <si>
    <t>PE_F</t>
  </si>
  <si>
    <t>[0.3809, 3.2322, 0.14171]</t>
  </si>
  <si>
    <t>IGUAL</t>
  </si>
  <si>
    <t>PE_M</t>
  </si>
  <si>
    <t>[0.3487, 3.3464, 0.14602]</t>
  </si>
  <si>
    <t>PL_F</t>
  </si>
  <si>
    <t>[-0.3833, 2.4607, 0.09029]</t>
  </si>
  <si>
    <t>IMC_F</t>
  </si>
  <si>
    <t>[-0.8886, 15.2441, 0.09692]</t>
  </si>
  <si>
    <t>IMC_M</t>
  </si>
  <si>
    <t>[-0.7387, 15.2641, 0.0839]</t>
  </si>
  <si>
    <t>TE_M</t>
  </si>
  <si>
    <t>[46.1, 48.0, 49.9, 51.8, 53.7]</t>
  </si>
  <si>
    <t>PCE_F</t>
  </si>
  <si>
    <t>[31.5, 32.7, 33.9, 35.1, 36.2]</t>
  </si>
  <si>
    <t>LOG DE RECÁLCULO</t>
  </si>
  <si>
    <t>LOG DE RECÁLCULO — VALIDACIÓN INDEPENDIENTE NMX-14</t>
  </si>
  <si>
    <t xml:space="preserve"> ================================================================</t>
  </si>
  <si>
    <t>Fecha de ejecución (UTC): 2026-08-06T08:35:22</t>
  </si>
  <si>
    <t>Archivo auditado: NMX-14_OMS_MINSAL_UDD_DIAGNOSTICO_FINAL.xlsx</t>
  </si>
  <si>
    <t>MOTOR DE RECÁLCULO EMPLEADO</t>
  </si>
  <si>
    <t>----------------------------------------------------------------</t>
  </si>
  <si>
    <t>Solicitado: Microsoft Excel vía COM (win32com).</t>
  </si>
  <si>
    <t>Entorno real de ejecución: Linux (Ubuntu 24). No hay Microsoft Excel</t>
  </si>
  <si>
    <t>ni interfaz COM de Windows disponibles en este entorno (win32com no</t>
  </si>
  <si>
    <t>existe; COM es exclusivo de Windows).</t>
  </si>
  <si>
    <t>Sustituto empleado: LibreOffice Calc (soffice) vía puente UNO,</t>
  </si>
  <si>
    <t>motor de hoja de cálculo INDEPENDIENTE del propio libro. Se abrió el</t>
  </si>
  <si>
    <t>libro real y se recalcularon sus CELDAS ORIGINALES (no una</t>
  </si>
  <si>
    <t>reimplementación) para cada caso.</t>
  </si>
  <si>
    <t>PROCEDIMIENTO</t>
  </si>
  <si>
    <t>1. Verificación de integridad: recálculo completo del libro base.</t>
  </si>
  <si>
    <t xml:space="preserve">   -&gt; status=success, total_formulas=623, total_errors=0.</t>
  </si>
  <si>
    <t>2. Auditoría de tablas embebidas vs anclas OMS publicadas: COINCIDEN.</t>
  </si>
  <si>
    <t>3. Sesión UNO persistente: por cada caso se fijaron las celdas de</t>
  </si>
  <si>
    <t xml:space="preserve">   'Ingreso', se ejecutó calculateAll() y se leyeron las salidas de</t>
  </si>
  <si>
    <t xml:space="preserve">   'Cálculos' e 'Interpretación'.</t>
  </si>
  <si>
    <t>4. Los ESPERADOS provienen del método LMS oficial OMS y de las reglas</t>
  </si>
  <si>
    <t xml:space="preserve">   OMS 2006/2007 y MINSAL 2018/NT-218, calculados en Python de forma</t>
  </si>
  <si>
    <t xml:space="preserve">   independiente del motor.</t>
  </si>
  <si>
    <t>RESULTADOS AGREGADOS</t>
  </si>
  <si>
    <t>Casos de prueba: 79</t>
  </si>
  <si>
    <t>Verificaciones totales: 1508</t>
  </si>
  <si>
    <t xml:space="preserve">  PASS     : 1466</t>
  </si>
  <si>
    <t xml:space="preserve">  FAIL     : 0</t>
  </si>
  <si>
    <t xml:space="preserve">  HALLAZGO : 41</t>
  </si>
  <si>
    <t xml:space="preserve">  INFO     : 1</t>
  </si>
  <si>
    <t>DETALLE DE CELDAS CON ERROR EXCEL FILTRADO</t>
  </si>
  <si>
    <t xml:space="preserve">  ERR_PESONEG    Cálculos!C16 -&gt; #NUM</t>
  </si>
  <si>
    <t xml:space="preserve">  ERR_PESONEG    Cálculos!C33 -&gt; #NUM</t>
  </si>
  <si>
    <t xml:space="preserve">  ERR_PESONEG    Cálculos!C35 -&gt; #NUM</t>
  </si>
  <si>
    <t xml:space="preserve">  ERR_PESONEG    Interpretación!C4 -&gt; #NUM</t>
  </si>
  <si>
    <t xml:space="preserve">  ERR_PESONEG    Interpretación!C7 -&gt; #NUM</t>
  </si>
  <si>
    <t xml:space="preserve">  ERR_PESONEG    Interpretación!C9 -&gt; #NUM</t>
  </si>
  <si>
    <t xml:space="preserve">  ERR_PESONEG    Interpretación!D4 -&gt; #NUM</t>
  </si>
  <si>
    <t xml:space="preserve">  ERR_PESONEG    Interpretación!D7 -&gt; #NUM</t>
  </si>
  <si>
    <t xml:space="preserve">  ERR_PESONEG    Interpretación!E4 -&gt; #NUM</t>
  </si>
  <si>
    <t xml:space="preserve">  ERR_PESONEG    Interpretación!E7 -&gt; #NUM</t>
  </si>
  <si>
    <t xml:space="preserve">  ERR_PESONEG    Interpretación!E9 -&gt; #NUM</t>
  </si>
  <si>
    <t xml:space="preserve">  ERR_PESONEG    Interpretación!G4 -&gt; #NUM</t>
  </si>
  <si>
    <t xml:space="preserve">  ERR_PESONEG    Interpretación!G7 -&gt; #NUM</t>
  </si>
  <si>
    <t xml:space="preserve">  ERR_PESONEG    Interpretación!G9 -&gt; #NUM</t>
  </si>
  <si>
    <t xml:space="preserve">  ERR_PESONEG    Interpretación!H4 -&gt; #NUM</t>
  </si>
  <si>
    <t xml:space="preserve">  ERR_PESONEG    Interpretación!H7 -&gt; #NUM</t>
  </si>
  <si>
    <t xml:space="preserve">  ERR_PESONEG    Interpretación!H9 -&gt; #NUM</t>
  </si>
  <si>
    <t>FIN DEL LOG</t>
  </si>
  <si>
    <t>PACIENTE-X01</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</si>
</sst>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8">
    <numFmt numFmtId="164" formatCode="_ * #,##0.00_ ;_ * \-#,##0.00_ ;_ * \-??_ ;_ @_ "/>
    <numFmt numFmtId="165" formatCode="_ * #,##0_ ;_ * \-#,##0_ ;_ * \-_ ;_ @_ "/>
    <numFmt numFmtId="166" formatCode="_ \$* #,##0.00_ ;_ \$* \-#,##0.00_ ;_ \$* \-??_ ;_ @_ "/>
    <numFmt numFmtId="167" formatCode="_ \$* #,##0_ ;_ \$* \-#,##0_ ;_ \$* \-_ ;_ @_ "/>
    <numFmt numFmtId="168" formatCode="m/d/yyyy"/>
    <numFmt numFmtId="169" formatCode="0.0"/>
    <numFmt numFmtId="170" formatCode="0.000"/>
    <numFmt numFmtId="171" formatCode="0.00000"/>
  </numFmts>
  <fonts count="69">
    <font>
      <sz val="11"/>
      <color theme="1"/>
      <name val="Calibri"/>
      <charset val="1"/>
    </font>
    <font>
      <sz val="10"/>
      <name val="Arial"/>
      <family val="2"/>
      <charset val="1"/>
    </font>
    <font>
      <b/>
      <sz val="16"/>
      <color rgb="FFFFFFFF"/>
      <name val="Aptos"/>
      <charset val="1"/>
    </font>
    <font>
      <b/>
      <sz val="12"/>
      <color rgb="FFFFFFFF"/>
      <name val="Aptos"/>
      <charset val="1"/>
    </font>
    <font>
      <b/>
      <sz val="10"/>
      <color rgb="FF1A1A1A"/>
      <name val="Aptos"/>
      <charset val="1"/>
    </font>
    <font>
      <b/>
      <sz val="10"/>
      <color rgb="FF12323D"/>
      <name val="Aptos"/>
      <charset val="1"/>
    </font>
    <font>
      <sz val="10"/>
      <color rgb="FF12323D"/>
      <name val="Aptos"/>
      <charset val="1"/>
    </font>
    <font>
      <sz val="10"/>
      <color rgb="FF1A1A1A"/>
      <name val="Aptos"/>
      <charset val="1"/>
    </font>
    <font>
      <b/>
      <sz val="11"/>
      <color rgb="FFFFFFFF"/>
      <name val="Calibri"/>
      <family val="2"/>
      <charset val="1"/>
    </font>
    <font>
      <b/>
      <sz val="11"/>
      <color rgb="FFFFFFFF"/>
      <name val="Aptos"/>
      <charset val="1"/>
    </font>
    <font>
      <sz val="11"/>
      <color rgb="FF12323D"/>
      <name val="Calibri"/>
      <family val="2"/>
      <charset val="1"/>
    </font>
    <font>
      <b/>
      <sz val="10"/>
      <color rgb="FFC65911"/>
      <name val="Aptos"/>
      <charset val="1"/>
    </font>
    <font>
      <b/>
      <sz val="11"/>
      <color rgb="FFB45309"/>
      <name val="Calibri"/>
      <family val="2"/>
      <charset val="1"/>
    </font>
    <font>
      <b/>
      <sz val="10"/>
      <color rgb="FF24726B"/>
      <name val="Aptos"/>
      <charset val="1"/>
    </font>
    <font>
      <b/>
      <sz val="10"/>
      <color rgb="FF0B5F59"/>
      <name val="Aptos"/>
      <charset val="1"/>
    </font>
    <font>
      <b/>
      <sz val="11"/>
      <color rgb="FF0B5F59"/>
      <name val="Calibri"/>
      <family val="2"/>
      <charset val="1"/>
    </font>
    <font>
      <b/>
      <sz val="14"/>
      <color rgb="FFFFFFFF"/>
      <name val="Aptos"/>
      <charset val="1"/>
    </font>
    <font>
      <sz val="10"/>
      <color rgb="FF0000CC"/>
      <name val="Aptos"/>
      <charset val="1"/>
    </font>
    <font>
      <sz val="9"/>
      <color rgb="FF586A6C"/>
      <name val="Aptos"/>
      <charset val="1"/>
    </font>
    <font>
      <b/>
      <sz val="10"/>
      <color rgb="FF176D68"/>
      <name val="Aptos"/>
      <charset val="1"/>
    </font>
    <font>
      <b/>
      <sz val="11"/>
      <color rgb="FF176D68"/>
      <name val="Calibri"/>
      <family val="2"/>
      <charset val="1"/>
    </font>
    <font>
      <sz val="11"/>
      <color rgb="FF0000CC"/>
      <name val="Calibri"/>
      <family val="2"/>
      <charset val="1"/>
    </font>
    <font>
      <i/>
      <sz val="9"/>
      <color rgb="FF586A6C"/>
      <name val="Aptos"/>
      <charset val="1"/>
    </font>
    <font>
      <b/>
      <sz val="9"/>
      <color rgb="FF0F766E"/>
      <name val="Aptos"/>
      <charset val="1"/>
    </font>
    <font>
      <b/>
      <sz val="11"/>
      <color rgb="FF0F766E"/>
      <name val="Calibri"/>
      <family val="2"/>
      <charset val="1"/>
    </font>
    <font>
      <sz val="11"/>
      <color rgb="FF0000FF"/>
      <name val="Calibri"/>
      <family val="2"/>
      <charset val="1"/>
    </font>
    <font>
      <b/>
      <i/>
      <sz val="11"/>
      <color rgb="FF0B5F59"/>
      <name val="Calibri"/>
      <family val="2"/>
      <charset val="1"/>
    </font>
    <font>
      <i/>
      <sz val="11"/>
      <color rgb="FF5B6770"/>
      <name val="Calibri"/>
      <family val="2"/>
      <charset val="1"/>
    </font>
    <font>
      <b/>
      <sz val="10"/>
      <color rgb="FFFFFFFF"/>
      <name val="Aptos"/>
      <charset val="1"/>
    </font>
    <font>
      <b/>
      <sz val="11"/>
      <color theme="1"/>
      <name val="Calibri"/>
      <family val="2"/>
      <charset val="1"/>
    </font>
    <font>
      <sz val="9"/>
      <color rgb="FF1A1A1A"/>
      <name val="Aptos"/>
      <charset val="1"/>
    </font>
    <font>
      <sz val="11"/>
      <color theme="0"/>
      <name val="Calibri"/>
      <family val="2"/>
      <charset val="1"/>
    </font>
    <font>
      <b/>
      <sz val="11"/>
      <color rgb="FF12323D"/>
      <name val="Calibri"/>
      <family val="2"/>
      <charset val="1"/>
    </font>
    <font>
      <b/>
      <sz val="15"/>
      <color rgb="FFFFFFFF"/>
      <name val="Aptos"/>
      <charset val="1"/>
    </font>
    <font>
      <b/>
      <sz val="9"/>
      <color rgb="FF12323D"/>
      <name val="Aptos"/>
      <charset val="1"/>
    </font>
    <font>
      <sz val="9"/>
      <color rgb="FF12323D"/>
      <name val="Aptos"/>
      <charset val="1"/>
    </font>
    <font>
      <b/>
      <sz val="10"/>
      <color rgb="FF20343B"/>
      <name val="Aptos"/>
      <charset val="1"/>
    </font>
    <font>
      <b/>
      <sz val="12"/>
      <color rgb="FFFFFFFF"/>
      <name val="Calibri"/>
      <family val="2"/>
      <charset val="1"/>
    </font>
    <font>
      <b/>
      <sz val="10"/>
      <color rgb="FF0B5F59"/>
      <name val="Calibri"/>
      <family val="2"/>
      <charset val="1"/>
    </font>
    <font>
      <sz val="10"/>
      <color rgb="FF20343B"/>
      <name val="Calibri"/>
      <family val="2"/>
      <charset val="1"/>
    </font>
    <font>
      <b/>
      <sz val="12"/>
      <color rgb="FF334155"/>
      <name val="Calibri"/>
      <family val="2"/>
      <charset val="1"/>
    </font>
    <font>
      <b/>
      <sz val="12"/>
      <color rgb="FF24726B"/>
      <name val="Aptos"/>
      <charset val="1"/>
    </font>
    <font>
      <b/>
      <sz val="9"/>
      <color rgb="FF586A6C"/>
      <name val="Aptos"/>
      <charset val="1"/>
    </font>
    <font>
      <b/>
      <sz val="10"/>
      <color theme="0"/>
      <name val="Aptos"/>
      <charset val="1"/>
    </font>
    <font>
      <b/>
      <i/>
      <sz val="10"/>
      <color theme="0"/>
      <name val="Aptos"/>
      <charset val="1"/>
    </font>
    <font>
      <b/>
      <sz val="9"/>
      <color rgb="FFFFFFFF"/>
      <name val="Aptos"/>
      <charset val="1"/>
    </font>
    <font>
      <b/>
      <sz val="9"/>
      <color rgb="FF24726B"/>
      <name val="Aptos"/>
      <charset val="1"/>
    </font>
    <font>
      <b/>
      <sz val="10"/>
      <color rgb="FFFFFFFF"/>
      <name val="Calibri"/>
      <family val="2"/>
      <charset val="1"/>
    </font>
    <font>
      <b/>
      <sz val="8"/>
      <color rgb="FFFFFFFF"/>
      <name val="Aptos"/>
      <charset val="1"/>
    </font>
    <font>
      <sz val="11"/>
      <color rgb="FF1F1F1F"/>
      <name val="Arial"/>
      <family val="2"/>
      <charset val="1"/>
    </font>
    <font>
      <sz val="9"/>
      <color theme="1"/>
      <name val="Calibri"/>
      <family val="2"/>
      <charset val="1"/>
    </font>
    <font>
      <b/>
      <sz val="14"/>
      <color theme="1"/>
      <name val="Calibri"/>
      <family val="2"/>
      <charset val="1"/>
    </font>
    <font>
      <b/>
      <sz val="15"/>
      <color rgb="FFFFFFFF"/>
      <name val="Calibri"/>
      <family val="2"/>
      <charset val="1"/>
    </font>
    <font>
      <i/>
      <sz val="11"/>
      <color rgb="FF12323D"/>
      <name val="Calibri"/>
      <family val="2"/>
      <charset val="1"/>
    </font>
    <font>
      <b/>
      <sz val="16"/>
      <color rgb="FFFFFFFF"/>
      <name val="Calibri"/>
      <family val="2"/>
      <charset val="1"/>
    </font>
    <font>
      <i/>
      <sz val="10"/>
      <color rgb="FFDCE7EA"/>
      <name val="Calibri"/>
      <family val="2"/>
      <charset val="1"/>
    </font>
    <font>
      <b/>
      <sz val="10"/>
      <color rgb="FF20343B"/>
      <name val="Calibri"/>
      <family val="2"/>
      <charset val="1"/>
    </font>
    <font>
      <b/>
      <sz val="13"/>
      <color theme="1"/>
      <name val="Calibri"/>
      <family val="2"/>
    </font>
    <font>
      <b/>
      <sz val="11"/>
      <color theme="1"/>
      <name val="Calibri"/>
      <family val="2"/>
    </font>
    <font>
      <u/>
      <sz val="11"/>
      <color theme="10"/>
      <name val="Calibri"/>
      <family val="2"/>
    </font>
    <font>
      <b/>
      <i/>
      <sz val="10"/>
      <name val="Calibri"/>
      <family val="2"/>
    </font>
    <font>
      <sz val="9"/>
      <name val="Aptos"/>
    </font>
    <font>
      <b/>
      <sz val="12"/>
      <color rgb="FF14343D"/>
      <name val="Calibri"/>
      <family val="2"/>
      <charset val="1"/>
    </font>
    <font>
      <b/>
      <sz val="12"/>
      <color rgb="FF0B5F59"/>
      <name val="Calibri"/>
      <family val="2"/>
      <charset val="1"/>
    </font>
    <font>
      <sz val="12"/>
      <color rgb="FF20343B"/>
      <name val="Calibri"/>
      <family val="2"/>
      <charset val="1"/>
    </font>
    <font>
      <b/>
      <sz val="10"/>
      <color rgb="FFFFFFFF"/>
      <name val="Arial"/>
      <family val="2"/>
    </font>
    <font>
      <b/>
      <sz val="11"/>
      <color theme="0"/>
      <name val="Calibri"/>
      <family val="2"/>
    </font>
    <font>
      <b/>
      <u/>
      <sz val="16"/>
      <color rgb="FFFFFFFF"/>
      <name val="Aptos"/>
      <charset val="1"/>
    </font>
    <font>
      <b/>
      <i/>
      <u/>
      <sz val="14"/>
      <color rgb="FF12323D"/>
      <name val="Aptos"/>
      <charset val="1"/>
    </font>
  </fonts>
  <fills count="31">
    <fill>
      <patternFill patternType="none"/>
    </fill>
    <fill>
      <patternFill patternType="gray125"/>
    </fill>
    <fill>
      <patternFill patternType="solid">
        <fgColor rgb="FF12323D"/>
        <bgColor rgb="FF14343D"/>
      </patternFill>
    </fill>
    <fill>
      <patternFill patternType="solid">
        <fgColor rgb="FF0F766E"/>
        <bgColor rgb="FF176D68"/>
      </patternFill>
    </fill>
    <fill>
      <patternFill patternType="solid">
        <fgColor rgb="FFD8E7E2"/>
        <bgColor rgb="FFD6E7E3"/>
      </patternFill>
    </fill>
    <fill>
      <patternFill patternType="solid">
        <fgColor rgb="FFDCEDEA"/>
        <bgColor rgb="FFDCEBE9"/>
      </patternFill>
    </fill>
    <fill>
      <patternFill patternType="solid">
        <fgColor rgb="FFF7FAFA"/>
        <bgColor rgb="FFFAFAFA"/>
      </patternFill>
    </fill>
    <fill>
      <patternFill patternType="solid">
        <fgColor rgb="FF24726B"/>
        <bgColor rgb="FF176D68"/>
      </patternFill>
    </fill>
    <fill>
      <patternFill patternType="solid">
        <fgColor rgb="FFF3F6F5"/>
        <bgColor rgb="FFF4F7F6"/>
      </patternFill>
    </fill>
    <fill>
      <patternFill patternType="solid">
        <fgColor rgb="FFFFFFFF"/>
        <bgColor rgb="FFFAFAFA"/>
      </patternFill>
    </fill>
    <fill>
      <patternFill patternType="solid">
        <fgColor rgb="FFE7E2F2"/>
        <bgColor rgb="FFD9E2F3"/>
      </patternFill>
    </fill>
    <fill>
      <patternFill patternType="solid">
        <fgColor rgb="FFF7E2D2"/>
        <bgColor rgb="FFFCE4D6"/>
      </patternFill>
    </fill>
    <fill>
      <patternFill patternType="solid">
        <fgColor rgb="FFFCE4D6"/>
        <bgColor rgb="FFF7E2D2"/>
      </patternFill>
    </fill>
    <fill>
      <patternFill patternType="solid">
        <fgColor rgb="FFFFF7ED"/>
        <bgColor rgb="FFFFF9EC"/>
      </patternFill>
    </fill>
    <fill>
      <patternFill patternType="solid">
        <fgColor rgb="FF15303A"/>
        <bgColor rgb="FF12323D"/>
      </patternFill>
    </fill>
    <fill>
      <patternFill patternType="solid">
        <fgColor rgb="FFFCEFCE"/>
        <bgColor rgb="FFFFF2CC"/>
      </patternFill>
    </fill>
    <fill>
      <patternFill patternType="solid">
        <fgColor rgb="FFD6E7E3"/>
        <bgColor rgb="FFD8E7E2"/>
      </patternFill>
    </fill>
    <fill>
      <patternFill patternType="solid">
        <fgColor rgb="FFFFF2CC"/>
        <bgColor rgb="FFFEF3C7"/>
      </patternFill>
    </fill>
    <fill>
      <patternFill patternType="solid">
        <fgColor rgb="FFDCEBE9"/>
        <bgColor rgb="FFDCEDEA"/>
      </patternFill>
    </fill>
    <fill>
      <patternFill patternType="solid">
        <fgColor rgb="FF002060"/>
        <bgColor rgb="FF12323D"/>
      </patternFill>
    </fill>
    <fill>
      <patternFill patternType="solid">
        <fgColor rgb="FFF1F5F6"/>
        <bgColor rgb="FFF3F6F5"/>
      </patternFill>
    </fill>
    <fill>
      <patternFill patternType="solid">
        <fgColor rgb="FFFAFAFA"/>
        <bgColor rgb="FFF7FAFA"/>
      </patternFill>
    </fill>
    <fill>
      <patternFill patternType="solid">
        <fgColor rgb="FFFFF9EC"/>
        <bgColor rgb="FFFFF7ED"/>
      </patternFill>
    </fill>
    <fill>
      <patternFill patternType="solid">
        <fgColor rgb="FF14343D"/>
        <bgColor rgb="FF12323D"/>
      </patternFill>
    </fill>
    <fill>
      <patternFill patternType="solid">
        <fgColor rgb="FFF4F7F6"/>
        <bgColor rgb="FFF3F6F5"/>
      </patternFill>
    </fill>
    <fill>
      <patternFill patternType="solid">
        <fgColor rgb="FFDCEEDD"/>
        <bgColor rgb="FFDCEDEA"/>
      </patternFill>
    </fill>
    <fill>
      <patternFill patternType="solid">
        <fgColor rgb="FF0070C0"/>
        <bgColor rgb="FF0F766E"/>
      </patternFill>
    </fill>
    <fill>
      <patternFill patternType="solid">
        <fgColor rgb="FF2F5597"/>
        <bgColor rgb="FF1F4E78"/>
      </patternFill>
    </fill>
    <fill>
      <patternFill patternType="solid">
        <fgColor rgb="FF1F4E78"/>
        <bgColor rgb="FF2F5597"/>
      </patternFill>
    </fill>
    <fill>
      <patternFill patternType="solid">
        <fgColor rgb="FF17324D"/>
      </patternFill>
    </fill>
    <fill>
      <patternFill patternType="solid">
        <fgColor rgb="FF1C6B72"/>
      </patternFill>
    </fill>
  </fills>
  <borders count="44">
    <border>
      <left/>
      <right/>
      <top/>
      <bottom/>
      <diagonal/>
    </border>
    <border>
      <left style="thin">
        <color rgb="FFC4D2CE"/>
      </left>
      <right style="thin">
        <color rgb="FFC4D2CE"/>
      </right>
      <top style="thin">
        <color rgb="FFC4D2CE"/>
      </top>
      <bottom style="thin">
        <color rgb="FFC4D2CE"/>
      </bottom>
      <diagonal/>
    </border>
    <border>
      <left style="thin">
        <color rgb="FFB5C7D4"/>
      </left>
      <right style="thin">
        <color rgb="FFC4D2CE"/>
      </right>
      <top style="thin">
        <color rgb="FFB5C7D4"/>
      </top>
      <bottom style="thin">
        <color rgb="FFC4D2CE"/>
      </bottom>
      <diagonal/>
    </border>
    <border>
      <left style="thin">
        <color rgb="FFC4D2CE"/>
      </left>
      <right style="thin">
        <color rgb="FFB5C7D4"/>
      </right>
      <top style="thin">
        <color rgb="FFB5C7D4"/>
      </top>
      <bottom style="thin">
        <color rgb="FFC4D2CE"/>
      </bottom>
      <diagonal/>
    </border>
    <border>
      <left style="thin">
        <color rgb="FFB5C7D4"/>
      </left>
      <right style="thin">
        <color rgb="FFC4D2CE"/>
      </right>
      <top style="thin">
        <color rgb="FFC4D2CE"/>
      </top>
      <bottom style="thin">
        <color rgb="FFC4D2CE"/>
      </bottom>
      <diagonal/>
    </border>
    <border>
      <left style="thin">
        <color rgb="FFC4D2CE"/>
      </left>
      <right style="thin">
        <color rgb="FFB5C7D4"/>
      </right>
      <top style="thin">
        <color rgb="FFC4D2CE"/>
      </top>
      <bottom style="thin">
        <color rgb="FFC4D2CE"/>
      </bottom>
      <diagonal/>
    </border>
    <border>
      <left style="thin">
        <color rgb="FFB5C7D4"/>
      </left>
      <right style="thin">
        <color rgb="FFC4D2CE"/>
      </right>
      <top style="thin">
        <color rgb="FFC4D2CE"/>
      </top>
      <bottom style="thin">
        <color rgb="FFB5C7D4"/>
      </bottom>
      <diagonal/>
    </border>
    <border>
      <left style="thin">
        <color rgb="FFC4D2CE"/>
      </left>
      <right style="thin">
        <color rgb="FFB5C7D4"/>
      </right>
      <top style="thin">
        <color rgb="FFC4D2CE"/>
      </top>
      <bottom style="thin">
        <color rgb="FFB5C7D4"/>
      </bottom>
      <diagonal/>
    </border>
    <border>
      <left style="thin">
        <color rgb="FFB5C7D4"/>
      </left>
      <right style="thin">
        <color rgb="FFB5C7D4"/>
      </right>
      <top style="thin">
        <color rgb="FFB5C7D4"/>
      </top>
      <bottom/>
      <diagonal/>
    </border>
    <border>
      <left style="thin">
        <color rgb="FFB5C7D4"/>
      </left>
      <right style="thin">
        <color rgb="FFB5C7D4"/>
      </right>
      <top/>
      <bottom/>
      <diagonal/>
    </border>
    <border>
      <left style="thin">
        <color rgb="FFB5C7D4"/>
      </left>
      <right style="thin">
        <color rgb="FFB5C7D4"/>
      </right>
      <top style="thin">
        <color rgb="FFC4D2CE"/>
      </top>
      <bottom style="thin">
        <color rgb="FFB5C7D4"/>
      </bottom>
      <diagonal/>
    </border>
    <border>
      <left style="thin">
        <color rgb="FFC4D2CE"/>
      </left>
      <right/>
      <top style="thin">
        <color rgb="FFC4D2CE"/>
      </top>
      <bottom style="thin">
        <color rgb="FFC4D2CE"/>
      </bottom>
      <diagonal/>
    </border>
    <border>
      <left style="thin">
        <color rgb="FFB5C7D4"/>
      </left>
      <right style="thin">
        <color rgb="FFB5C7D4"/>
      </right>
      <top style="thin">
        <color rgb="FFB5C7D4"/>
      </top>
      <bottom style="thin">
        <color rgb="FFC4D2CE"/>
      </bottom>
      <diagonal/>
    </border>
    <border>
      <left style="thin">
        <color rgb="FFB5C7D4"/>
      </left>
      <right style="thin">
        <color rgb="FFB5C7D4"/>
      </right>
      <top style="thin">
        <color rgb="FFC4D2CE"/>
      </top>
      <bottom style="thin">
        <color rgb="FFC4D2CE"/>
      </bottom>
      <diagonal/>
    </border>
    <border>
      <left style="thin">
        <color rgb="FFB5C7D4"/>
      </left>
      <right style="thin">
        <color rgb="FFB5C7D4"/>
      </right>
      <top style="thin">
        <color rgb="FFB5C7D4"/>
      </top>
      <bottom style="thin">
        <color rgb="FFB5C7D4"/>
      </bottom>
      <diagonal/>
    </border>
    <border>
      <left/>
      <right style="thin">
        <color rgb="FFC4D2CE"/>
      </right>
      <top/>
      <bottom style="thin">
        <color rgb="FFC4D2CE"/>
      </bottom>
      <diagonal/>
    </border>
    <border>
      <left style="thin">
        <color rgb="FFC4D2CE"/>
      </left>
      <right style="thin">
        <color rgb="FFC4D2CE"/>
      </right>
      <top/>
      <bottom/>
      <diagonal/>
    </border>
    <border>
      <left style="thin">
        <color auto="1"/>
      </left>
      <right style="thin">
        <color auto="1"/>
      </right>
      <top style="thin">
        <color auto="1"/>
      </top>
      <bottom style="thin">
        <color auto="1"/>
      </bottom>
      <diagonal/>
    </border>
    <border>
      <left/>
      <right/>
      <top style="thin">
        <color auto="1"/>
      </top>
      <bottom style="thin">
        <color auto="1"/>
      </bottom>
      <diagonal/>
    </border>
    <border>
      <left style="thin">
        <color rgb="FF375D6A"/>
      </left>
      <right style="thin">
        <color auto="1"/>
      </right>
      <top style="thin">
        <color rgb="FF375D6A"/>
      </top>
      <bottom style="thin">
        <color auto="1"/>
      </bottom>
      <diagonal/>
    </border>
    <border>
      <left style="thin">
        <color auto="1"/>
      </left>
      <right style="thin">
        <color auto="1"/>
      </right>
      <top style="thin">
        <color rgb="FF375D6A"/>
      </top>
      <bottom style="thin">
        <color auto="1"/>
      </bottom>
      <diagonal/>
    </border>
    <border>
      <left/>
      <right/>
      <top style="thin">
        <color rgb="FF375D6A"/>
      </top>
      <bottom style="thin">
        <color auto="1"/>
      </bottom>
      <diagonal/>
    </border>
    <border>
      <left/>
      <right style="thin">
        <color rgb="FF375D6A"/>
      </right>
      <top style="thin">
        <color rgb="FF375D6A"/>
      </top>
      <bottom style="thin">
        <color auto="1"/>
      </bottom>
      <diagonal/>
    </border>
    <border>
      <left style="thin">
        <color theme="4" tint="-0.249977111117893"/>
      </left>
      <right style="thin">
        <color theme="4" tint="-0.249977111117893"/>
      </right>
      <top style="thin">
        <color theme="4" tint="-0.249977111117893"/>
      </top>
      <bottom style="thin">
        <color theme="4" tint="-0.249977111117893"/>
      </bottom>
      <diagonal/>
    </border>
    <border>
      <left/>
      <right/>
      <top style="thin">
        <color theme="4" tint="-0.249977111117893"/>
      </top>
      <bottom/>
      <diagonal/>
    </border>
    <border>
      <left style="thin">
        <color auto="1"/>
      </left>
      <right style="thin">
        <color auto="1"/>
      </right>
      <top/>
      <bottom style="thin">
        <color auto="1"/>
      </bottom>
      <diagonal/>
    </border>
    <border>
      <left style="thin">
        <color auto="1"/>
      </left>
      <right style="thin">
        <color auto="1"/>
      </right>
      <top style="thin">
        <color auto="1"/>
      </top>
      <bottom/>
      <diagonal/>
    </border>
    <border>
      <left style="thin">
        <color rgb="FFD9E2F3"/>
      </left>
      <right/>
      <top style="thin">
        <color rgb="FFD9E2F3"/>
      </top>
      <bottom/>
      <diagonal/>
    </border>
    <border>
      <left/>
      <right/>
      <top style="thin">
        <color rgb="FFD9E2F3"/>
      </top>
      <bottom/>
      <diagonal/>
    </border>
    <border>
      <left/>
      <right style="thin">
        <color rgb="FFD9E2F3"/>
      </right>
      <top style="thin">
        <color rgb="FFD9E2F3"/>
      </top>
      <bottom/>
      <diagonal/>
    </border>
    <border>
      <left style="thin">
        <color rgb="FFD9E2F3"/>
      </left>
      <right/>
      <top/>
      <bottom/>
      <diagonal/>
    </border>
    <border>
      <left/>
      <right style="thin">
        <color rgb="FFD9E2F3"/>
      </right>
      <top/>
      <bottom/>
      <diagonal/>
    </border>
    <border>
      <left style="thin">
        <color rgb="FFD9E2F3"/>
      </left>
      <right/>
      <top/>
      <bottom style="thin">
        <color rgb="FFD9E2F3"/>
      </bottom>
      <diagonal/>
    </border>
    <border>
      <left/>
      <right/>
      <top/>
      <bottom style="thin">
        <color rgb="FFD9E2F3"/>
      </bottom>
      <diagonal/>
    </border>
    <border>
      <left/>
      <right style="thin">
        <color rgb="FFD9E2F3"/>
      </right>
      <top/>
      <bottom style="thin">
        <color rgb="FFD9E2F3"/>
      </bottom>
      <diagonal/>
    </border>
    <border>
      <left style="thin">
        <color rgb="FFC4D2CE"/>
      </left>
      <right/>
      <top style="thin">
        <color rgb="FFB5C7D4"/>
      </top>
      <bottom style="thin">
        <color rgb="FFC4D2CE"/>
      </bottom>
      <diagonal/>
    </border>
    <border>
      <left/>
      <right/>
      <top style="thin">
        <color rgb="FFB5C7D4"/>
      </top>
      <bottom style="thin">
        <color rgb="FFC4D2CE"/>
      </bottom>
      <diagonal/>
    </border>
    <border>
      <left style="thin">
        <color theme="0"/>
      </left>
      <right style="thin">
        <color theme="0"/>
      </right>
      <top style="thin">
        <color theme="0"/>
      </top>
      <bottom style="thin">
        <color theme="0"/>
      </bottom>
      <diagonal/>
    </border>
    <border>
      <left style="thin">
        <color auto="1"/>
      </left>
      <right/>
      <top style="thin">
        <color auto="1"/>
      </top>
      <bottom style="thin">
        <color auto="1"/>
      </bottom>
      <diagonal/>
    </border>
    <border>
      <left/>
      <right style="thin">
        <color auto="1"/>
      </right>
      <top style="thin">
        <color auto="1"/>
      </top>
      <bottom style="thin">
        <color auto="1"/>
      </bottom>
      <diagonal/>
    </border>
    <border>
      <left style="thin">
        <color rgb="FFC4D2CE"/>
      </left>
      <right style="thin">
        <color rgb="FFC4D2CE"/>
      </right>
      <top style="thin">
        <color rgb="FFC4D2CE"/>
      </top>
      <bottom/>
      <diagonal/>
    </border>
    <border>
      <left/>
      <right/>
      <top/>
      <bottom style="thin">
        <color theme="0"/>
      </bottom>
      <diagonal/>
    </border>
    <border>
      <left style="thin">
        <color rgb="FFC4D2CE"/>
      </left>
      <right/>
      <top style="thin">
        <color rgb="FFB5C7D4"/>
      </top>
      <bottom style="thin">
        <color rgb="FFB5C7D4"/>
      </bottom>
      <diagonal/>
    </border>
    <border>
      <left/>
      <right/>
      <top style="thin">
        <color rgb="FFB5C7D4"/>
      </top>
      <bottom style="thin">
        <color rgb="FFB5C7D4"/>
      </bottom>
      <diagonal/>
    </border>
  </borders>
  <cellStyleXfs count="7">
    <xf numFmtId="0" fontId="0" fillId="0" borderId="0"/>
    <xf numFmtId="0" fontId="59" fillId="0" borderId="0" applyNumberFormat="0" applyFill="0" applyBorder="0" applyAlignment="0" applyProtection="0"/>
    <xf numFmtId="164" fontId="1" fillId="0" borderId="0" applyBorder="0" applyProtection="0"/>
    <xf numFmtId="165" fontId="1" fillId="0" borderId="0" applyBorder="0" applyProtection="0"/>
    <xf numFmtId="166" fontId="1" fillId="0" borderId="0" applyBorder="0" applyProtection="0"/>
    <xf numFmtId="167" fontId="1" fillId="0" borderId="0" applyBorder="0" applyProtection="0"/>
    <xf numFmtId="9" fontId="1" fillId="0" borderId="0" applyBorder="0" applyProtection="0"/>
  </cellStyleXfs>
  <cellXfs count="191">
    <xf numFmtId="0" fontId="0" fillId="0" borderId="0" xfId="0"/>
    <xf numFmtId="0" fontId="0" fillId="0" borderId="0" xfId="0" applyAlignment="1" applyProtection="1"/>
    <xf numFmtId="0" fontId="4" fillId="4" borderId="1" xfId="0" applyFont="1" applyFill="1" applyBorder="1" applyAlignment="1" applyProtection="1">
      <alignment horizontal="left" vertical="center"/>
    </xf>
    <xf numFmtId="0" fontId="5" fillId="5" borderId="2" xfId="0" applyFont="1" applyFill="1" applyBorder="1" applyAlignment="1" applyProtection="1">
      <alignment horizontal="left" vertical="center"/>
    </xf>
    <xf numFmtId="0" fontId="5" fillId="5" borderId="4" xfId="0" applyFont="1" applyFill="1" applyBorder="1" applyAlignment="1" applyProtection="1">
      <alignment horizontal="left" vertical="center"/>
    </xf>
    <xf numFmtId="0" fontId="5" fillId="5" borderId="6" xfId="0" applyFont="1" applyFill="1" applyBorder="1" applyAlignment="1" applyProtection="1">
      <alignment horizontal="left" vertical="center"/>
    </xf>
    <xf numFmtId="0" fontId="7" fillId="0" borderId="1" xfId="0" applyFont="1" applyBorder="1" applyAlignment="1" applyProtection="1">
      <alignment horizontal="left" vertical="center"/>
    </xf>
    <xf numFmtId="0" fontId="12" fillId="13" borderId="15" xfId="0" applyFont="1" applyFill="1" applyBorder="1" applyAlignment="1" applyProtection="1">
      <alignment vertical="center" wrapText="1"/>
    </xf>
    <xf numFmtId="0" fontId="13" fillId="4" borderId="1" xfId="0" applyFont="1" applyFill="1" applyBorder="1" applyAlignment="1" applyProtection="1">
      <alignment horizontal="left" vertical="center"/>
    </xf>
    <xf numFmtId="0" fontId="15" fillId="0" borderId="0" xfId="0" applyFont="1" applyBorder="1" applyAlignment="1" applyProtection="1"/>
    <xf numFmtId="0" fontId="16" fillId="14" borderId="0" xfId="0" applyFont="1" applyFill="1" applyAlignment="1" applyProtection="1">
      <alignment horizontal="left" vertical="center"/>
    </xf>
    <xf numFmtId="0" fontId="17" fillId="15" borderId="1" xfId="0" applyFont="1" applyFill="1" applyBorder="1" applyAlignment="1" applyProtection="1">
      <alignment horizontal="center" vertical="center"/>
    </xf>
    <xf numFmtId="168" fontId="17" fillId="15" borderId="1" xfId="0" applyNumberFormat="1" applyFont="1" applyFill="1" applyBorder="1" applyAlignment="1" applyProtection="1">
      <alignment horizontal="center" vertical="center"/>
    </xf>
    <xf numFmtId="0" fontId="19" fillId="16" borderId="1" xfId="0" applyFont="1" applyFill="1" applyBorder="1" applyAlignment="1" applyProtection="1">
      <alignment horizontal="left" vertical="center" wrapText="1"/>
    </xf>
    <xf numFmtId="0" fontId="17" fillId="17" borderId="1" xfId="0" applyFont="1" applyFill="1" applyBorder="1" applyAlignment="1" applyProtection="1">
      <alignment horizontal="center" vertical="center"/>
    </xf>
    <xf numFmtId="0" fontId="20" fillId="16" borderId="16" xfId="0" applyFont="1" applyFill="1" applyBorder="1" applyAlignment="1" applyProtection="1">
      <alignment wrapText="1"/>
    </xf>
    <xf numFmtId="0" fontId="22" fillId="0" borderId="0" xfId="0" applyFont="1" applyBorder="1" applyAlignment="1" applyProtection="1">
      <alignment horizontal="left" vertical="center"/>
    </xf>
    <xf numFmtId="0" fontId="27" fillId="0" borderId="0" xfId="0" applyFont="1" applyBorder="1" applyAlignment="1" applyProtection="1">
      <alignment vertical="center" wrapText="1"/>
    </xf>
    <xf numFmtId="0" fontId="15" fillId="18" borderId="0" xfId="0" applyFont="1" applyFill="1" applyBorder="1" applyAlignment="1" applyProtection="1">
      <alignment vertical="center" wrapText="1"/>
    </xf>
    <xf numFmtId="0" fontId="18" fillId="0" borderId="17" xfId="0" applyFont="1" applyBorder="1" applyAlignment="1" applyProtection="1">
      <alignment horizontal="left" vertical="center"/>
    </xf>
    <xf numFmtId="2" fontId="30" fillId="8" borderId="17" xfId="0" applyNumberFormat="1" applyFont="1" applyFill="1" applyBorder="1" applyAlignment="1" applyProtection="1">
      <alignment horizontal="center" vertical="center"/>
    </xf>
    <xf numFmtId="0" fontId="0" fillId="0" borderId="17" xfId="0" applyFont="1" applyBorder="1" applyAlignment="1" applyProtection="1"/>
    <xf numFmtId="170" fontId="0" fillId="0" borderId="17" xfId="0" applyNumberFormat="1" applyFont="1" applyBorder="1" applyAlignment="1" applyProtection="1"/>
    <xf numFmtId="170" fontId="30" fillId="8" borderId="17" xfId="0" applyNumberFormat="1" applyFont="1" applyFill="1" applyBorder="1" applyAlignment="1" applyProtection="1">
      <alignment horizontal="center" vertical="center"/>
    </xf>
    <xf numFmtId="170" fontId="0" fillId="0" borderId="0" xfId="0" applyNumberFormat="1" applyFont="1" applyBorder="1" applyAlignment="1" applyProtection="1"/>
    <xf numFmtId="1" fontId="30" fillId="8" borderId="17" xfId="0" applyNumberFormat="1" applyFont="1" applyFill="1" applyBorder="1" applyAlignment="1" applyProtection="1">
      <alignment horizontal="center" vertical="center"/>
    </xf>
    <xf numFmtId="0" fontId="32" fillId="5" borderId="0" xfId="0" applyFont="1" applyFill="1" applyBorder="1" applyAlignment="1" applyProtection="1">
      <alignment wrapText="1"/>
    </xf>
    <xf numFmtId="1" fontId="0" fillId="6" borderId="0" xfId="0" applyNumberFormat="1" applyFont="1" applyFill="1" applyBorder="1" applyAlignment="1" applyProtection="1">
      <alignment wrapText="1"/>
    </xf>
    <xf numFmtId="0" fontId="27" fillId="0" borderId="0" xfId="0" applyFont="1" applyBorder="1" applyAlignment="1" applyProtection="1">
      <alignment wrapText="1"/>
    </xf>
    <xf numFmtId="168" fontId="0" fillId="6" borderId="0" xfId="0" applyNumberFormat="1" applyFont="1" applyFill="1" applyBorder="1" applyAlignment="1" applyProtection="1">
      <alignment wrapText="1"/>
    </xf>
    <xf numFmtId="2" fontId="0" fillId="6" borderId="0" xfId="0" applyNumberFormat="1" applyFont="1" applyFill="1" applyBorder="1" applyAlignment="1" applyProtection="1">
      <alignment wrapText="1"/>
    </xf>
    <xf numFmtId="0" fontId="0" fillId="6" borderId="0" xfId="0" applyFont="1" applyFill="1" applyBorder="1" applyAlignment="1" applyProtection="1">
      <alignment wrapText="1"/>
    </xf>
    <xf numFmtId="169" fontId="0" fillId="6" borderId="0" xfId="0" applyNumberFormat="1" applyFont="1" applyFill="1" applyBorder="1" applyAlignment="1" applyProtection="1">
      <alignment wrapText="1"/>
    </xf>
    <xf numFmtId="0" fontId="16" fillId="3" borderId="19" xfId="0" applyFont="1" applyFill="1" applyBorder="1" applyAlignment="1" applyProtection="1">
      <alignment horizontal="center" vertical="center" wrapText="1"/>
    </xf>
    <xf numFmtId="0" fontId="16" fillId="3" borderId="20" xfId="0" applyFont="1" applyFill="1" applyBorder="1" applyAlignment="1" applyProtection="1">
      <alignment horizontal="center" vertical="center" wrapText="1"/>
    </xf>
    <xf numFmtId="0" fontId="8" fillId="3" borderId="21" xfId="0" applyFont="1" applyFill="1" applyBorder="1" applyAlignment="1" applyProtection="1">
      <alignment horizontal="center" vertical="center" wrapText="1"/>
    </xf>
    <xf numFmtId="0" fontId="8" fillId="3" borderId="22" xfId="0" applyFont="1" applyFill="1" applyBorder="1" applyAlignment="1" applyProtection="1">
      <alignment horizontal="center" vertical="center" wrapText="1"/>
    </xf>
    <xf numFmtId="2" fontId="29" fillId="0" borderId="17" xfId="0" applyNumberFormat="1" applyFont="1" applyBorder="1" applyAlignment="1" applyProtection="1"/>
    <xf numFmtId="0" fontId="33" fillId="14" borderId="0" xfId="0" applyFont="1" applyFill="1" applyAlignment="1" applyProtection="1">
      <alignment horizontal="left" vertical="center"/>
    </xf>
    <xf numFmtId="0" fontId="7" fillId="14" borderId="0" xfId="0" applyFont="1" applyFill="1" applyAlignment="1" applyProtection="1">
      <alignment horizontal="left" vertical="center"/>
    </xf>
    <xf numFmtId="0" fontId="41" fillId="0" borderId="0" xfId="0" applyFont="1" applyAlignment="1" applyProtection="1">
      <alignment horizontal="left" vertical="center"/>
    </xf>
    <xf numFmtId="0" fontId="13" fillId="4" borderId="0" xfId="0" applyFont="1" applyFill="1" applyAlignment="1" applyProtection="1">
      <alignment horizontal="center" vertical="center"/>
    </xf>
    <xf numFmtId="0" fontId="28" fillId="7" borderId="1" xfId="0" applyFont="1" applyFill="1" applyBorder="1" applyAlignment="1" applyProtection="1">
      <alignment horizontal="left" vertical="center"/>
    </xf>
    <xf numFmtId="2" fontId="7" fillId="8" borderId="1" xfId="0" applyNumberFormat="1" applyFont="1" applyFill="1" applyBorder="1" applyAlignment="1" applyProtection="1">
      <alignment horizontal="center" vertical="center"/>
    </xf>
    <xf numFmtId="0" fontId="7" fillId="8" borderId="1" xfId="0" applyFont="1" applyFill="1" applyBorder="1" applyAlignment="1" applyProtection="1">
      <alignment horizontal="center" vertical="center"/>
    </xf>
    <xf numFmtId="0" fontId="42" fillId="0" borderId="0" xfId="0" applyFont="1" applyAlignment="1" applyProtection="1">
      <alignment horizontal="left" vertical="center"/>
    </xf>
    <xf numFmtId="0" fontId="30" fillId="0" borderId="1" xfId="0" applyFont="1" applyBorder="1" applyAlignment="1" applyProtection="1">
      <alignment horizontal="left" vertical="center"/>
    </xf>
    <xf numFmtId="2" fontId="7" fillId="0" borderId="1" xfId="0" applyNumberFormat="1" applyFont="1" applyBorder="1" applyAlignment="1" applyProtection="1">
      <alignment horizontal="left" vertical="center"/>
    </xf>
    <xf numFmtId="0" fontId="13" fillId="0" borderId="23" xfId="0" applyFont="1" applyBorder="1" applyAlignment="1" applyProtection="1">
      <alignment horizontal="left" vertical="center" wrapText="1"/>
    </xf>
    <xf numFmtId="0" fontId="13" fillId="26" borderId="23" xfId="0" applyFont="1" applyFill="1" applyBorder="1" applyAlignment="1" applyProtection="1">
      <alignment horizontal="left" vertical="center" wrapText="1"/>
    </xf>
    <xf numFmtId="170" fontId="4" fillId="8" borderId="23" xfId="0" applyNumberFormat="1" applyFont="1" applyFill="1" applyBorder="1" applyAlignment="1" applyProtection="1">
      <alignment horizontal="center" vertical="center"/>
    </xf>
    <xf numFmtId="0" fontId="28" fillId="7" borderId="1" xfId="0" applyFont="1" applyFill="1" applyBorder="1" applyAlignment="1" applyProtection="1">
      <alignment horizontal="left" vertical="top" wrapText="1"/>
    </xf>
    <xf numFmtId="0" fontId="28" fillId="7" borderId="1" xfId="0" applyFont="1" applyFill="1" applyBorder="1" applyAlignment="1" applyProtection="1">
      <alignment horizontal="left" vertical="center" wrapText="1"/>
    </xf>
    <xf numFmtId="0" fontId="30" fillId="0" borderId="1" xfId="0" applyFont="1" applyBorder="1" applyAlignment="1" applyProtection="1">
      <alignment horizontal="left" vertical="top" wrapText="1"/>
    </xf>
    <xf numFmtId="0" fontId="30" fillId="0" borderId="1" xfId="0" applyFont="1" applyBorder="1" applyAlignment="1" applyProtection="1">
      <alignment horizontal="left" vertical="center" wrapText="1"/>
    </xf>
    <xf numFmtId="0" fontId="46" fillId="0" borderId="1" xfId="0" applyFont="1" applyBorder="1" applyAlignment="1" applyProtection="1">
      <alignment horizontal="left" vertical="center" wrapText="1"/>
    </xf>
    <xf numFmtId="0" fontId="0" fillId="0" borderId="0" xfId="0" applyFont="1" applyBorder="1" applyAlignment="1" applyProtection="1">
      <alignment wrapText="1"/>
    </xf>
    <xf numFmtId="0" fontId="39" fillId="0" borderId="0" xfId="0" applyFont="1" applyBorder="1" applyAlignment="1" applyProtection="1">
      <alignment vertical="top" wrapText="1"/>
    </xf>
    <xf numFmtId="0" fontId="47" fillId="3" borderId="0" xfId="0" applyFont="1" applyFill="1" applyBorder="1" applyAlignment="1" applyProtection="1">
      <alignment horizontal="center" vertical="center" wrapText="1"/>
    </xf>
    <xf numFmtId="0" fontId="48" fillId="7" borderId="17" xfId="0" applyFont="1" applyFill="1" applyBorder="1" applyAlignment="1" applyProtection="1">
      <alignment horizontal="center" vertical="center"/>
    </xf>
    <xf numFmtId="0" fontId="49" fillId="0" borderId="17" xfId="0" applyFont="1" applyBorder="1" applyAlignment="1" applyProtection="1">
      <alignment horizontal="left" vertical="center" wrapText="1"/>
    </xf>
    <xf numFmtId="0" fontId="49" fillId="0" borderId="26" xfId="0" applyFont="1" applyBorder="1" applyAlignment="1" applyProtection="1">
      <alignment horizontal="left" vertical="center" wrapText="1"/>
    </xf>
    <xf numFmtId="0" fontId="7" fillId="0" borderId="1" xfId="0" applyFont="1" applyBorder="1" applyAlignment="1" applyProtection="1">
      <alignment horizontal="center" vertical="center"/>
    </xf>
    <xf numFmtId="0" fontId="50" fillId="0" borderId="0" xfId="0" applyFont="1" applyBorder="1" applyAlignment="1" applyProtection="1">
      <alignment vertical="top" wrapText="1"/>
    </xf>
    <xf numFmtId="0" fontId="8" fillId="27" borderId="0" xfId="0" applyFont="1" applyFill="1" applyAlignment="1" applyProtection="1">
      <alignment horizontal="center" vertical="center" wrapText="1"/>
    </xf>
    <xf numFmtId="0" fontId="0" fillId="0" borderId="0" xfId="0" applyAlignment="1" applyProtection="1">
      <alignment horizontal="center" vertical="center"/>
    </xf>
    <xf numFmtId="0" fontId="0" fillId="0" borderId="0" xfId="0" applyFont="1" applyAlignment="1" applyProtection="1">
      <alignment horizontal="left" vertical="center" wrapText="1"/>
    </xf>
    <xf numFmtId="0" fontId="32" fillId="5" borderId="0" xfId="0" applyFont="1" applyFill="1" applyBorder="1" applyAlignment="1" applyProtection="1">
      <alignment horizontal="center"/>
    </xf>
    <xf numFmtId="1" fontId="50" fillId="9" borderId="0" xfId="0" applyNumberFormat="1" applyFont="1" applyFill="1" applyBorder="1" applyAlignment="1" applyProtection="1"/>
    <xf numFmtId="171" fontId="50" fillId="9" borderId="0" xfId="0" applyNumberFormat="1" applyFont="1" applyFill="1" applyBorder="1" applyAlignment="1" applyProtection="1"/>
    <xf numFmtId="171" fontId="0" fillId="0" borderId="0" xfId="0" applyNumberFormat="1" applyFont="1" applyBorder="1" applyAlignment="1" applyProtection="1"/>
    <xf numFmtId="169" fontId="50" fillId="9" borderId="0" xfId="0" applyNumberFormat="1" applyFont="1" applyFill="1" applyBorder="1" applyAlignment="1" applyProtection="1"/>
    <xf numFmtId="0" fontId="50" fillId="0" borderId="27" xfId="0" applyFont="1" applyBorder="1" applyAlignment="1" applyProtection="1">
      <alignment horizontal="center" vertical="center"/>
    </xf>
    <xf numFmtId="0" fontId="50" fillId="0" borderId="28" xfId="0" applyFont="1" applyBorder="1" applyAlignment="1" applyProtection="1">
      <alignment horizontal="center" vertical="center"/>
    </xf>
    <xf numFmtId="0" fontId="50" fillId="0" borderId="29" xfId="0" applyFont="1" applyBorder="1" applyAlignment="1" applyProtection="1">
      <alignment horizontal="center" vertical="center"/>
    </xf>
    <xf numFmtId="0" fontId="50" fillId="0" borderId="30" xfId="0" applyFont="1" applyBorder="1" applyAlignment="1" applyProtection="1">
      <alignment horizontal="center" vertical="center"/>
    </xf>
    <xf numFmtId="0" fontId="50" fillId="0" borderId="0" xfId="0" applyFont="1" applyBorder="1" applyAlignment="1" applyProtection="1">
      <alignment horizontal="center" vertical="center"/>
    </xf>
    <xf numFmtId="0" fontId="50" fillId="0" borderId="31" xfId="0" applyFont="1" applyBorder="1" applyAlignment="1" applyProtection="1">
      <alignment horizontal="center" vertical="center"/>
    </xf>
    <xf numFmtId="0" fontId="50" fillId="0" borderId="32" xfId="0" applyFont="1" applyBorder="1" applyAlignment="1" applyProtection="1">
      <alignment horizontal="center" vertical="center"/>
    </xf>
    <xf numFmtId="0" fontId="50" fillId="0" borderId="33" xfId="0" applyFont="1" applyBorder="1" applyAlignment="1" applyProtection="1">
      <alignment horizontal="center" vertical="center"/>
    </xf>
    <xf numFmtId="0" fontId="50" fillId="0" borderId="34" xfId="0" applyFont="1" applyBorder="1" applyAlignment="1" applyProtection="1">
      <alignment horizontal="center" vertical="center"/>
    </xf>
    <xf numFmtId="0" fontId="8" fillId="3" borderId="0" xfId="0" applyFont="1" applyFill="1" applyBorder="1" applyAlignment="1" applyProtection="1">
      <alignment horizontal="center" vertical="center" wrapText="1"/>
    </xf>
    <xf numFmtId="0" fontId="0" fillId="0" borderId="0" xfId="0" applyFont="1" applyBorder="1" applyAlignment="1" applyProtection="1">
      <alignment vertical="top" wrapText="1"/>
    </xf>
    <xf numFmtId="0" fontId="8" fillId="3" borderId="0" xfId="0" applyFont="1" applyFill="1" applyBorder="1" applyAlignment="1" applyProtection="1">
      <alignment horizontal="center" wrapText="1"/>
    </xf>
    <xf numFmtId="0" fontId="38" fillId="0" borderId="0" xfId="0" applyFont="1" applyBorder="1" applyAlignment="1" applyProtection="1">
      <alignment vertical="top" wrapText="1"/>
    </xf>
    <xf numFmtId="0" fontId="56" fillId="0" borderId="0" xfId="0" applyFont="1" applyBorder="1" applyAlignment="1" applyProtection="1">
      <alignment vertical="top" wrapText="1"/>
    </xf>
    <xf numFmtId="2" fontId="39" fillId="0" borderId="0" xfId="0" applyNumberFormat="1" applyFont="1" applyBorder="1" applyAlignment="1" applyProtection="1">
      <alignment vertical="top" wrapText="1"/>
    </xf>
    <xf numFmtId="170" fontId="39" fillId="0" borderId="0" xfId="0" applyNumberFormat="1" applyFont="1" applyBorder="1" applyAlignment="1" applyProtection="1">
      <alignment vertical="top" wrapText="1"/>
    </xf>
    <xf numFmtId="0" fontId="0" fillId="0" borderId="0" xfId="0" applyFont="1" applyAlignment="1" applyProtection="1"/>
    <xf numFmtId="0" fontId="57" fillId="0" borderId="0" xfId="0" applyFont="1" applyAlignment="1" applyProtection="1"/>
    <xf numFmtId="0" fontId="58" fillId="0" borderId="0" xfId="0" applyFont="1" applyAlignment="1" applyProtection="1"/>
    <xf numFmtId="0" fontId="58" fillId="28" borderId="0" xfId="0" applyFont="1" applyFill="1" applyAlignment="1" applyProtection="1"/>
    <xf numFmtId="49" fontId="0" fillId="0" borderId="0" xfId="0" applyNumberFormat="1" applyFont="1" applyAlignment="1" applyProtection="1"/>
    <xf numFmtId="0" fontId="61" fillId="0" borderId="17" xfId="0" applyFont="1" applyBorder="1" applyAlignment="1">
      <alignment horizontal="left" vertical="center" wrapText="1"/>
    </xf>
    <xf numFmtId="0" fontId="61" fillId="0" borderId="26" xfId="0" applyFont="1" applyBorder="1" applyAlignment="1">
      <alignment horizontal="left" vertical="center" wrapText="1"/>
    </xf>
    <xf numFmtId="0" fontId="61" fillId="0" borderId="25" xfId="0" applyFont="1" applyBorder="1" applyAlignment="1">
      <alignment horizontal="left" vertical="center" wrapText="1"/>
    </xf>
    <xf numFmtId="0" fontId="17" fillId="17" borderId="40" xfId="0" applyFont="1" applyFill="1" applyBorder="1" applyAlignment="1" applyProtection="1">
      <alignment horizontal="center" vertical="center"/>
    </xf>
    <xf numFmtId="0" fontId="23" fillId="5" borderId="17" xfId="0" applyFont="1" applyFill="1" applyBorder="1" applyAlignment="1" applyProtection="1">
      <alignment horizontal="left" vertical="center" wrapText="1"/>
    </xf>
    <xf numFmtId="0" fontId="17" fillId="17" borderId="17" xfId="0" applyFont="1" applyFill="1" applyBorder="1" applyAlignment="1" applyProtection="1">
      <alignment horizontal="center" vertical="center"/>
    </xf>
    <xf numFmtId="0" fontId="24" fillId="5" borderId="17" xfId="0" applyFont="1" applyFill="1" applyBorder="1" applyAlignment="1" applyProtection="1">
      <alignment vertical="center" wrapText="1"/>
    </xf>
    <xf numFmtId="0" fontId="25" fillId="17" borderId="17" xfId="0" applyFont="1" applyFill="1" applyBorder="1" applyAlignment="1" applyProtection="1">
      <alignment horizontal="center" vertical="center"/>
    </xf>
    <xf numFmtId="0" fontId="26" fillId="18" borderId="17" xfId="0" applyFont="1" applyFill="1" applyBorder="1" applyAlignment="1" applyProtection="1">
      <alignment vertical="center" wrapText="1"/>
    </xf>
    <xf numFmtId="0" fontId="17" fillId="15" borderId="17" xfId="0" applyFont="1" applyFill="1" applyBorder="1" applyAlignment="1" applyProtection="1">
      <alignment horizontal="center" vertical="center"/>
    </xf>
    <xf numFmtId="0" fontId="15" fillId="18" borderId="17" xfId="0" applyFont="1" applyFill="1" applyBorder="1" applyAlignment="1" applyProtection="1">
      <alignment vertical="center" wrapText="1"/>
    </xf>
    <xf numFmtId="0" fontId="21" fillId="17" borderId="17" xfId="0" applyFont="1" applyFill="1" applyBorder="1" applyAlignment="1" applyProtection="1">
      <alignment horizontal="center" vertical="center"/>
    </xf>
    <xf numFmtId="0" fontId="13" fillId="4" borderId="1" xfId="0" applyFont="1" applyFill="1" applyBorder="1" applyAlignment="1" applyProtection="1">
      <alignment horizontal="left" vertical="center" wrapText="1"/>
    </xf>
    <xf numFmtId="0" fontId="0" fillId="0" borderId="39" xfId="0" applyFont="1" applyBorder="1" applyAlignment="1" applyProtection="1"/>
    <xf numFmtId="2" fontId="6" fillId="6" borderId="17" xfId="0" applyNumberFormat="1" applyFont="1" applyFill="1" applyBorder="1" applyAlignment="1" applyProtection="1">
      <alignment horizontal="center" vertical="center" wrapText="1"/>
    </xf>
    <xf numFmtId="2" fontId="5" fillId="6" borderId="17" xfId="0" applyNumberFormat="1" applyFont="1" applyFill="1" applyBorder="1" applyAlignment="1" applyProtection="1">
      <alignment horizontal="center" vertical="center" wrapText="1"/>
    </xf>
    <xf numFmtId="0" fontId="6" fillId="6" borderId="17" xfId="0" applyFont="1" applyFill="1" applyBorder="1" applyAlignment="1" applyProtection="1">
      <alignment horizontal="center" vertical="center" wrapText="1"/>
    </xf>
    <xf numFmtId="0" fontId="5" fillId="6" borderId="17" xfId="0" applyFont="1" applyFill="1" applyBorder="1" applyAlignment="1" applyProtection="1">
      <alignment horizontal="center" vertical="center" wrapText="1"/>
    </xf>
    <xf numFmtId="0" fontId="34" fillId="5" borderId="17" xfId="0" applyFont="1" applyFill="1" applyBorder="1" applyAlignment="1" applyProtection="1">
      <alignment horizontal="center" vertical="center" wrapText="1"/>
    </xf>
    <xf numFmtId="0" fontId="34" fillId="9" borderId="17" xfId="0" applyFont="1" applyFill="1" applyBorder="1" applyAlignment="1" applyProtection="1">
      <alignment horizontal="center" vertical="center" wrapText="1"/>
    </xf>
    <xf numFmtId="0" fontId="6" fillId="9" borderId="17" xfId="0" applyFont="1" applyFill="1" applyBorder="1" applyAlignment="1" applyProtection="1">
      <alignment horizontal="center" vertical="center" wrapText="1"/>
    </xf>
    <xf numFmtId="0" fontId="10" fillId="21" borderId="17" xfId="0" applyFont="1" applyFill="1" applyBorder="1" applyAlignment="1" applyProtection="1">
      <alignment horizontal="center" vertical="center" wrapText="1"/>
    </xf>
    <xf numFmtId="0" fontId="35" fillId="20" borderId="17" xfId="0" applyFont="1" applyFill="1" applyBorder="1" applyAlignment="1" applyProtection="1">
      <alignment horizontal="center" vertical="center" wrapText="1"/>
    </xf>
    <xf numFmtId="0" fontId="6" fillId="21" borderId="17" xfId="0" applyFont="1" applyFill="1" applyBorder="1" applyAlignment="1" applyProtection="1">
      <alignment horizontal="center" vertical="center" wrapText="1"/>
    </xf>
    <xf numFmtId="0" fontId="5" fillId="9" borderId="17" xfId="0" applyFont="1" applyFill="1" applyBorder="1" applyAlignment="1" applyProtection="1">
      <alignment horizontal="center" vertical="center" wrapText="1"/>
    </xf>
    <xf numFmtId="0" fontId="34" fillId="20" borderId="17" xfId="0" applyFont="1" applyFill="1" applyBorder="1" applyAlignment="1" applyProtection="1">
      <alignment horizontal="center" vertical="center" wrapText="1"/>
    </xf>
    <xf numFmtId="0" fontId="5" fillId="21" borderId="17" xfId="0" applyFont="1" applyFill="1" applyBorder="1" applyAlignment="1" applyProtection="1">
      <alignment horizontal="center" vertical="center" wrapText="1"/>
    </xf>
    <xf numFmtId="0" fontId="14" fillId="0" borderId="17" xfId="0" applyFont="1" applyBorder="1" applyAlignment="1" applyProtection="1">
      <alignment horizontal="center" vertical="top" wrapText="1"/>
    </xf>
    <xf numFmtId="0" fontId="36" fillId="11" borderId="17" xfId="0" applyFont="1" applyFill="1" applyBorder="1" applyAlignment="1" applyProtection="1">
      <alignment horizontal="center" vertical="top" wrapText="1"/>
    </xf>
    <xf numFmtId="0" fontId="66" fillId="30" borderId="37" xfId="1" applyFont="1" applyFill="1" applyBorder="1" applyAlignment="1">
      <alignment horizontal="center" vertical="center" wrapText="1"/>
    </xf>
    <xf numFmtId="0" fontId="66" fillId="30" borderId="37" xfId="1" applyFont="1" applyFill="1" applyBorder="1" applyAlignment="1">
      <alignment horizontal="center" vertical="center"/>
    </xf>
    <xf numFmtId="0" fontId="65" fillId="29" borderId="37" xfId="0" applyFont="1" applyFill="1" applyBorder="1" applyAlignment="1">
      <alignment horizontal="center" vertical="center"/>
    </xf>
    <xf numFmtId="0" fontId="7" fillId="0" borderId="1" xfId="0" applyFont="1" applyBorder="1" applyAlignment="1" applyProtection="1">
      <alignment horizontal="center" vertical="center" wrapText="1"/>
    </xf>
    <xf numFmtId="0" fontId="0" fillId="0" borderId="0" xfId="0" applyAlignment="1">
      <alignment wrapText="1"/>
    </xf>
    <xf numFmtId="0" fontId="7" fillId="0" borderId="1" xfId="0" applyFont="1" applyBorder="1" applyAlignment="1" applyProtection="1">
      <alignment horizontal="left" vertical="center" wrapText="1"/>
    </xf>
    <xf numFmtId="0" fontId="7" fillId="10" borderId="35" xfId="0" applyFont="1" applyFill="1" applyBorder="1" applyAlignment="1" applyProtection="1">
      <alignment horizontal="left" vertical="center" wrapText="1"/>
    </xf>
    <xf numFmtId="0" fontId="7" fillId="10" borderId="36" xfId="0" applyFont="1" applyFill="1" applyBorder="1" applyAlignment="1" applyProtection="1">
      <alignment horizontal="left" vertical="center" wrapText="1"/>
    </xf>
    <xf numFmtId="0" fontId="2" fillId="2" borderId="0" xfId="0" applyFont="1" applyFill="1" applyBorder="1" applyAlignment="1" applyProtection="1">
      <alignment horizontal="left" vertical="center"/>
    </xf>
    <xf numFmtId="0" fontId="3" fillId="3" borderId="41" xfId="0" applyFont="1" applyFill="1" applyBorder="1" applyAlignment="1" applyProtection="1">
      <alignment horizontal="left" vertical="center"/>
    </xf>
    <xf numFmtId="0" fontId="7" fillId="11" borderId="42" xfId="0" applyFont="1" applyFill="1" applyBorder="1" applyAlignment="1" applyProtection="1">
      <alignment horizontal="left" vertical="center" wrapText="1"/>
    </xf>
    <xf numFmtId="0" fontId="7" fillId="11" borderId="43" xfId="0" applyFont="1" applyFill="1" applyBorder="1" applyAlignment="1" applyProtection="1">
      <alignment horizontal="left" vertical="center" wrapText="1"/>
    </xf>
    <xf numFmtId="0" fontId="11" fillId="12" borderId="14" xfId="0" applyFont="1" applyFill="1" applyBorder="1" applyAlignment="1" applyProtection="1">
      <alignment horizontal="left" vertical="center" wrapText="1"/>
    </xf>
    <xf numFmtId="0" fontId="6" fillId="9" borderId="12" xfId="0" applyFont="1" applyFill="1" applyBorder="1" applyAlignment="1" applyProtection="1">
      <alignment horizontal="left" vertical="center" wrapText="1"/>
    </xf>
    <xf numFmtId="0" fontId="10" fillId="6" borderId="9" xfId="0" applyFont="1" applyFill="1" applyBorder="1" applyAlignment="1" applyProtection="1">
      <alignment vertical="center" wrapText="1"/>
    </xf>
    <xf numFmtId="0" fontId="6" fillId="9" borderId="9" xfId="0" applyFont="1" applyFill="1" applyBorder="1" applyAlignment="1" applyProtection="1">
      <alignment horizontal="left" vertical="center" wrapText="1"/>
    </xf>
    <xf numFmtId="0" fontId="6" fillId="6" borderId="13" xfId="0" applyFont="1" applyFill="1" applyBorder="1" applyAlignment="1" applyProtection="1">
      <alignment horizontal="left" vertical="center" wrapText="1"/>
    </xf>
    <xf numFmtId="0" fontId="6" fillId="9" borderId="10" xfId="0" applyFont="1" applyFill="1" applyBorder="1" applyAlignment="1" applyProtection="1">
      <alignment horizontal="left" vertical="center" wrapText="1"/>
    </xf>
    <xf numFmtId="0" fontId="6" fillId="6" borderId="10" xfId="0" applyFont="1" applyFill="1" applyBorder="1" applyAlignment="1" applyProtection="1">
      <alignment horizontal="left" vertical="center" wrapText="1"/>
    </xf>
    <xf numFmtId="0" fontId="9" fillId="2" borderId="11" xfId="0" applyFont="1" applyFill="1" applyBorder="1" applyAlignment="1" applyProtection="1">
      <alignment horizontal="left" vertical="center" wrapText="1"/>
    </xf>
    <xf numFmtId="0" fontId="6" fillId="6" borderId="5" xfId="0" applyFont="1" applyFill="1" applyBorder="1" applyAlignment="1" applyProtection="1">
      <alignment horizontal="left" vertical="center" wrapText="1"/>
    </xf>
    <xf numFmtId="0" fontId="6" fillId="6" borderId="7" xfId="0" applyFont="1" applyFill="1" applyBorder="1" applyAlignment="1" applyProtection="1">
      <alignment horizontal="left" vertical="center" wrapText="1"/>
    </xf>
    <xf numFmtId="0" fontId="8" fillId="2" borderId="0" xfId="0" applyFont="1" applyFill="1" applyBorder="1" applyAlignment="1" applyProtection="1">
      <alignment vertical="center"/>
    </xf>
    <xf numFmtId="0" fontId="6" fillId="6" borderId="8" xfId="0" applyFont="1" applyFill="1" applyBorder="1" applyAlignment="1" applyProtection="1">
      <alignment horizontal="left" vertical="center" wrapText="1"/>
    </xf>
    <xf numFmtId="0" fontId="6" fillId="6" borderId="3" xfId="0" applyFont="1" applyFill="1" applyBorder="1" applyAlignment="1" applyProtection="1">
      <alignment horizontal="left" vertical="center" wrapText="1"/>
    </xf>
    <xf numFmtId="0" fontId="60" fillId="0" borderId="38" xfId="0" applyFont="1" applyBorder="1" applyAlignment="1" applyProtection="1">
      <alignment horizontal="center" vertical="center" wrapText="1"/>
    </xf>
    <xf numFmtId="0" fontId="60" fillId="0" borderId="18" xfId="0" applyFont="1" applyBorder="1" applyAlignment="1" applyProtection="1">
      <alignment horizontal="center" vertical="center" wrapText="1"/>
    </xf>
    <xf numFmtId="0" fontId="60" fillId="0" borderId="39" xfId="0" applyFont="1" applyBorder="1" applyAlignment="1" applyProtection="1">
      <alignment horizontal="center" vertical="center" wrapText="1"/>
    </xf>
    <xf numFmtId="0" fontId="29" fillId="0" borderId="17" xfId="0" applyFont="1" applyBorder="1" applyAlignment="1" applyProtection="1">
      <alignment horizontal="center"/>
    </xf>
    <xf numFmtId="0" fontId="29" fillId="0" borderId="17" xfId="0" applyFont="1" applyBorder="1" applyAlignment="1" applyProtection="1">
      <alignment horizontal="center" vertical="center"/>
    </xf>
    <xf numFmtId="0" fontId="8" fillId="2" borderId="0" xfId="0" applyFont="1" applyFill="1" applyBorder="1" applyAlignment="1" applyProtection="1"/>
    <xf numFmtId="0" fontId="18" fillId="0" borderId="17" xfId="0" applyFont="1" applyBorder="1" applyAlignment="1" applyProtection="1">
      <alignment horizontal="left" vertical="center"/>
    </xf>
    <xf numFmtId="0" fontId="29" fillId="0" borderId="17" xfId="0" applyFont="1" applyBorder="1" applyAlignment="1" applyProtection="1">
      <alignment horizontal="center" vertical="center" wrapText="1"/>
    </xf>
    <xf numFmtId="0" fontId="28" fillId="7" borderId="0" xfId="0" applyFont="1" applyFill="1" applyBorder="1" applyAlignment="1" applyProtection="1">
      <alignment horizontal="left" vertical="center"/>
    </xf>
    <xf numFmtId="0" fontId="0" fillId="0" borderId="0" xfId="0" applyFont="1" applyBorder="1" applyAlignment="1" applyProtection="1">
      <alignment horizontal="center" vertical="center" wrapText="1"/>
    </xf>
    <xf numFmtId="0" fontId="31" fillId="19" borderId="17" xfId="0" applyFont="1" applyFill="1" applyBorder="1" applyAlignment="1" applyProtection="1">
      <alignment horizontal="center" wrapText="1"/>
    </xf>
    <xf numFmtId="0" fontId="18" fillId="19" borderId="18" xfId="0" applyFont="1" applyFill="1" applyBorder="1" applyAlignment="1" applyProtection="1">
      <alignment horizontal="left" vertical="center"/>
    </xf>
    <xf numFmtId="0" fontId="28" fillId="7" borderId="17" xfId="0" applyFont="1" applyFill="1" applyBorder="1" applyAlignment="1" applyProtection="1">
      <alignment horizontal="left" vertical="center"/>
    </xf>
    <xf numFmtId="0" fontId="28" fillId="7" borderId="18" xfId="0" applyFont="1" applyFill="1" applyBorder="1" applyAlignment="1" applyProtection="1">
      <alignment horizontal="left" vertical="center"/>
    </xf>
    <xf numFmtId="0" fontId="64" fillId="22" borderId="0" xfId="0" applyFont="1" applyFill="1" applyBorder="1" applyAlignment="1" applyProtection="1">
      <alignment vertical="top" wrapText="1"/>
    </xf>
    <xf numFmtId="0" fontId="8" fillId="23" borderId="0" xfId="0" applyFont="1" applyFill="1" applyBorder="1" applyAlignment="1" applyProtection="1">
      <alignment horizontal="left" vertical="center"/>
    </xf>
    <xf numFmtId="0" fontId="40" fillId="24" borderId="17" xfId="0" applyFont="1" applyFill="1" applyBorder="1" applyAlignment="1" applyProtection="1">
      <alignment horizontal="left" vertical="top" wrapText="1"/>
    </xf>
    <xf numFmtId="0" fontId="33" fillId="2" borderId="0" xfId="0" applyFont="1" applyFill="1" applyBorder="1" applyAlignment="1" applyProtection="1">
      <alignment horizontal="left" vertical="center"/>
    </xf>
    <xf numFmtId="0" fontId="37" fillId="3" borderId="0" xfId="0" applyFont="1" applyFill="1" applyBorder="1" applyAlignment="1" applyProtection="1">
      <alignment horizontal="left" vertical="center"/>
    </xf>
    <xf numFmtId="0" fontId="62" fillId="22" borderId="0" xfId="0" applyFont="1" applyFill="1" applyBorder="1" applyAlignment="1" applyProtection="1">
      <alignment vertical="top" wrapText="1"/>
    </xf>
    <xf numFmtId="0" fontId="63" fillId="22" borderId="0" xfId="0" applyFont="1" applyFill="1" applyBorder="1" applyAlignment="1" applyProtection="1">
      <alignment vertical="top" wrapText="1"/>
    </xf>
    <xf numFmtId="0" fontId="18" fillId="10" borderId="0" xfId="0" applyFont="1" applyFill="1" applyBorder="1" applyAlignment="1" applyProtection="1">
      <alignment horizontal="left" vertical="center" wrapText="1"/>
    </xf>
    <xf numFmtId="0" fontId="44" fillId="19" borderId="23" xfId="0" applyFont="1" applyFill="1" applyBorder="1" applyAlignment="1" applyProtection="1">
      <alignment horizontal="left" vertical="center" wrapText="1"/>
    </xf>
    <xf numFmtId="0" fontId="22" fillId="0" borderId="0" xfId="0" applyFont="1" applyBorder="1" applyAlignment="1" applyProtection="1">
      <alignment horizontal="left" vertical="center" wrapText="1"/>
    </xf>
    <xf numFmtId="0" fontId="4" fillId="25" borderId="0" xfId="0" applyFont="1" applyFill="1" applyBorder="1" applyAlignment="1" applyProtection="1">
      <alignment horizontal="center" vertical="center" wrapText="1"/>
    </xf>
    <xf numFmtId="0" fontId="13" fillId="0" borderId="24" xfId="0" applyFont="1" applyBorder="1" applyAlignment="1" applyProtection="1">
      <alignment horizontal="center" vertical="center" wrapText="1"/>
    </xf>
    <xf numFmtId="0" fontId="13" fillId="0" borderId="0" xfId="0" applyFont="1" applyBorder="1" applyAlignment="1" applyProtection="1">
      <alignment horizontal="center" vertical="center" wrapText="1"/>
    </xf>
    <xf numFmtId="0" fontId="7" fillId="8" borderId="23" xfId="0" applyFont="1" applyFill="1" applyBorder="1" applyAlignment="1" applyProtection="1">
      <alignment horizontal="left" vertical="center"/>
    </xf>
    <xf numFmtId="0" fontId="43" fillId="19" borderId="23" xfId="0" applyFont="1" applyFill="1" applyBorder="1" applyAlignment="1" applyProtection="1">
      <alignment horizontal="left" vertical="center" wrapText="1"/>
    </xf>
    <xf numFmtId="0" fontId="68" fillId="5" borderId="0" xfId="0" applyFont="1" applyFill="1" applyBorder="1" applyAlignment="1" applyProtection="1">
      <alignment horizontal="left" vertical="center" wrapText="1"/>
    </xf>
    <xf numFmtId="0" fontId="67" fillId="3" borderId="0" xfId="0" applyFont="1" applyFill="1" applyBorder="1" applyAlignment="1" applyProtection="1">
      <alignment horizontal="left" vertical="center" wrapText="1" indent="1"/>
    </xf>
    <xf numFmtId="0" fontId="45" fillId="2" borderId="1" xfId="0" applyFont="1" applyFill="1" applyBorder="1" applyAlignment="1" applyProtection="1">
      <alignment horizontal="left" vertical="center" wrapText="1"/>
    </xf>
    <xf numFmtId="0" fontId="51" fillId="0" borderId="0" xfId="0" applyFont="1" applyBorder="1" applyAlignment="1" applyProtection="1">
      <alignment vertical="center"/>
    </xf>
    <xf numFmtId="0" fontId="0" fillId="0" borderId="0" xfId="0" applyFont="1" applyBorder="1" applyAlignment="1" applyProtection="1">
      <alignment horizontal="left" vertical="center" wrapText="1"/>
    </xf>
    <xf numFmtId="0" fontId="8" fillId="2" borderId="0" xfId="0" applyFont="1" applyFill="1" applyBorder="1" applyAlignment="1" applyProtection="1">
      <alignment horizontal="center" vertical="center"/>
    </xf>
    <xf numFmtId="0" fontId="52" fillId="2" borderId="0" xfId="0" applyFont="1" applyFill="1" applyBorder="1" applyAlignment="1" applyProtection="1">
      <alignment vertical="center"/>
    </xf>
    <xf numFmtId="0" fontId="53" fillId="5" borderId="0" xfId="0" applyFont="1" applyFill="1" applyBorder="1" applyAlignment="1" applyProtection="1">
      <alignment wrapText="1"/>
    </xf>
    <xf numFmtId="0" fontId="8" fillId="3" borderId="0" xfId="0" applyFont="1" applyFill="1" applyBorder="1" applyAlignment="1" applyProtection="1">
      <alignment horizontal="center" vertical="center"/>
    </xf>
    <xf numFmtId="0" fontId="52" fillId="2" borderId="0" xfId="0" applyFont="1" applyFill="1" applyBorder="1" applyAlignment="1" applyProtection="1"/>
    <xf numFmtId="0" fontId="54" fillId="2" borderId="0" xfId="0" applyFont="1" applyFill="1" applyBorder="1" applyAlignment="1" applyProtection="1">
      <alignment horizontal="left" vertical="center" wrapText="1"/>
    </xf>
    <xf numFmtId="0" fontId="53" fillId="6" borderId="0" xfId="0" applyFont="1" applyFill="1" applyBorder="1" applyAlignment="1" applyProtection="1">
      <alignment vertical="center" wrapText="1"/>
    </xf>
    <xf numFmtId="0" fontId="52" fillId="23" borderId="0" xfId="0" applyFont="1" applyFill="1" applyBorder="1" applyAlignment="1" applyProtection="1">
      <alignment horizontal="left" vertical="center"/>
    </xf>
    <xf numFmtId="0" fontId="55" fillId="23" borderId="0" xfId="0" applyFont="1" applyFill="1" applyBorder="1" applyAlignment="1" applyProtection="1">
      <alignment horizontal="left" vertical="center"/>
    </xf>
    <xf numFmtId="0" fontId="55" fillId="23" borderId="0" xfId="0" applyFont="1" applyFill="1" applyBorder="1" applyAlignment="1" applyProtection="1">
      <alignment horizontal="left" vertical="center" wrapText="1"/>
    </xf>
  </cellXfs>
  <cellStyles count="7">
    <cellStyle name="Comma" xfId="2" xr:uid="{00000000-0005-0000-0000-000006000000}"/>
    <cellStyle name="Comma [0]" xfId="3" xr:uid="{00000000-0005-0000-0000-000007000000}"/>
    <cellStyle name="Currency" xfId="4" xr:uid="{00000000-0005-0000-0000-000008000000}"/>
    <cellStyle name="Currency [0]" xfId="5" xr:uid="{00000000-0005-0000-0000-000009000000}"/>
    <cellStyle name="Hipervínculo" xfId="1" builtinId="8"/>
    <cellStyle name="Normal" xfId="0" builtinId="0"/>
    <cellStyle name="Percent" xfId="6" xr:uid="{00000000-0005-0000-0000-00000A000000}"/>
  </cellStyles>
  <dxfs count="35">
    <dxf>
      <font>
        <b/>
        <color rgb="FF991B1B"/>
      </font>
      <fill>
        <patternFill>
          <bgColor rgb="FFFCE8E6"/>
        </patternFill>
      </fill>
    </dxf>
    <dxf>
      <font>
        <b/>
        <color rgb="FF166534"/>
      </font>
      <fill>
        <patternFill>
          <bgColor rgb="FFE7F4EC"/>
        </patternFill>
      </fill>
    </dxf>
    <dxf>
      <font>
        <b/>
        <color rgb="FF991B1B"/>
      </font>
      <fill>
        <patternFill>
          <bgColor rgb="FFFCE8E6"/>
        </patternFill>
      </fill>
    </dxf>
    <dxf>
      <font>
        <b/>
        <color rgb="FF166534"/>
      </font>
      <fill>
        <patternFill>
          <bgColor rgb="FFE7F4EC"/>
        </patternFill>
      </fill>
    </dxf>
    <dxf>
      <font>
        <b/>
        <color rgb="FF991B1B"/>
      </font>
      <fill>
        <patternFill>
          <bgColor rgb="FFFCE8E6"/>
        </patternFill>
      </fill>
    </dxf>
    <dxf>
      <font>
        <b/>
        <color rgb="FF166534"/>
      </font>
      <fill>
        <patternFill>
          <bgColor rgb="FFE7F4EC"/>
        </patternFill>
      </fill>
    </dxf>
    <dxf>
      <font>
        <b/>
        <color rgb="FF991B1B"/>
      </font>
      <fill>
        <patternFill>
          <bgColor rgb="FFFCE8E6"/>
        </patternFill>
      </fill>
    </dxf>
    <dxf>
      <font>
        <b/>
        <color rgb="FF166534"/>
      </font>
      <fill>
        <patternFill>
          <bgColor rgb="FFE7F4EC"/>
        </patternFill>
      </fill>
    </dxf>
    <dxf>
      <font>
        <b/>
        <color rgb="FF991B1B"/>
      </font>
      <fill>
        <patternFill>
          <bgColor rgb="FFFCE8E6"/>
        </patternFill>
      </fill>
    </dxf>
    <dxf>
      <font>
        <b/>
        <color rgb="FF166534"/>
      </font>
      <fill>
        <patternFill>
          <bgColor rgb="FFE7F4EC"/>
        </patternFill>
      </fill>
    </dxf>
    <dxf>
      <font>
        <b/>
        <color rgb="FF991B1B"/>
      </font>
      <fill>
        <patternFill>
          <bgColor rgb="FFFCE8E6"/>
        </patternFill>
      </fill>
    </dxf>
    <dxf>
      <font>
        <b/>
        <color rgb="FF166534"/>
      </font>
      <fill>
        <patternFill>
          <bgColor rgb="FFE7F4EC"/>
        </patternFill>
      </fill>
    </dxf>
    <dxf>
      <font>
        <b/>
        <color rgb="FF991B1B"/>
      </font>
      <fill>
        <patternFill>
          <bgColor rgb="FFFCE8E6"/>
        </patternFill>
      </fill>
    </dxf>
    <dxf>
      <font>
        <b/>
        <color rgb="FF166534"/>
      </font>
      <fill>
        <patternFill>
          <bgColor rgb="FFDCFCE7"/>
        </patternFill>
      </fill>
    </dxf>
    <dxf>
      <font>
        <b/>
        <color rgb="FF991B1B"/>
      </font>
      <fill>
        <patternFill>
          <bgColor rgb="FFFEE2E2"/>
        </patternFill>
      </fill>
    </dxf>
    <dxf>
      <font>
        <b/>
        <color rgb="FF166534"/>
      </font>
      <fill>
        <patternFill>
          <bgColor rgb="FFDCFCE7"/>
        </patternFill>
      </fill>
    </dxf>
    <dxf>
      <font>
        <b/>
        <color rgb="FF991B1B"/>
      </font>
      <fill>
        <patternFill>
          <bgColor rgb="FFFEE2E2"/>
        </patternFill>
      </fill>
    </dxf>
    <dxf>
      <font>
        <b/>
        <color rgb="FF991B1B"/>
      </font>
      <fill>
        <patternFill>
          <bgColor rgb="FFFCE8E6"/>
        </patternFill>
      </fill>
    </dxf>
    <dxf>
      <font>
        <color rgb="FF047857"/>
      </font>
      <fill>
        <patternFill>
          <bgColor rgb="FFDCFCE7"/>
        </patternFill>
      </fill>
    </dxf>
    <dxf>
      <font>
        <b/>
        <color rgb="FFB91C1C"/>
      </font>
      <fill>
        <patternFill>
          <bgColor rgb="FFFEE2E2"/>
        </patternFill>
      </fill>
    </dxf>
    <dxf>
      <font>
        <b/>
        <color rgb="FF166534"/>
      </font>
      <fill>
        <patternFill>
          <bgColor rgb="FFDCFCE7"/>
        </patternFill>
      </fill>
    </dxf>
    <dxf>
      <font>
        <b/>
        <color rgb="FF991B1B"/>
      </font>
      <fill>
        <patternFill>
          <bgColor rgb="FFFEE2E2"/>
        </patternFill>
      </fill>
    </dxf>
    <dxf>
      <font>
        <color rgb="FF047857"/>
      </font>
      <fill>
        <patternFill>
          <bgColor rgb="FFDCFCE7"/>
        </patternFill>
      </fill>
    </dxf>
    <dxf>
      <font>
        <b/>
        <color rgb="FFB91C1C"/>
      </font>
      <fill>
        <patternFill>
          <bgColor rgb="FFFEE2E2"/>
        </patternFill>
      </fill>
    </dxf>
    <dxf>
      <font>
        <color rgb="FFB45309"/>
      </font>
      <fill>
        <patternFill>
          <bgColor rgb="FFFEF3C7"/>
        </patternFill>
      </fill>
    </dxf>
    <dxf>
      <font>
        <color rgb="FF047857"/>
      </font>
      <fill>
        <patternFill>
          <bgColor rgb="FFDCFCE7"/>
        </patternFill>
      </fill>
    </dxf>
    <dxf>
      <fill>
        <patternFill>
          <bgColor rgb="FFF6D4D0"/>
        </patternFill>
      </fill>
    </dxf>
    <dxf>
      <fill>
        <patternFill>
          <bgColor rgb="FF00B050"/>
        </patternFill>
      </fill>
    </dxf>
    <dxf>
      <fill>
        <patternFill>
          <bgColor rgb="FF00B050"/>
        </patternFill>
      </fill>
    </dxf>
    <dxf>
      <fill>
        <patternFill>
          <bgColor rgb="FFFFC000"/>
        </patternFill>
      </fill>
    </dxf>
    <dxf>
      <fill>
        <patternFill>
          <bgColor rgb="FFFFC000"/>
        </patternFill>
      </fill>
    </dxf>
    <dxf>
      <fill>
        <patternFill>
          <bgColor rgb="FFC00000"/>
        </patternFill>
      </fill>
    </dxf>
    <dxf>
      <fill>
        <patternFill>
          <bgColor rgb="FFC00000"/>
        </patternFill>
      </fill>
    </dxf>
    <dxf>
      <fill>
        <patternFill>
          <bgColor rgb="FFC00000"/>
        </patternFill>
      </fill>
    </dxf>
    <dxf>
      <fill>
        <patternFill>
          <bgColor rgb="FFC00000"/>
        </patternFill>
      </fill>
    </dxf>
  </dxfs>
  <tableStyles count="0" defaultTableStyle="TableStyleMedium2" defaultPivotStyle="PivotStyleLight16"/>
  <colors>
    <indexedColors>
      <rgbColor rgb="FF000000"/>
      <rgbColor rgb="FFFFFFFF"/>
      <rgbColor rgb="FFC00000"/>
      <rgbColor rgb="FFE7E2F2"/>
      <rgbColor rgb="FF0000FF"/>
      <rgbColor rgb="FFFCEFCE"/>
      <rgbColor rgb="FFF1F5F6"/>
      <rgbColor rgb="FFDCEBE9"/>
      <rgbColor rgb="FFFFF9EC"/>
      <rgbColor rgb="FF166534"/>
      <rgbColor rgb="FF15303A"/>
      <rgbColor rgb="FF375D6A"/>
      <rgbColor rgb="FFF4F7F6"/>
      <rgbColor rgb="FF0F766E"/>
      <rgbColor rgb="FFB5C7D4"/>
      <rgbColor rgb="FF586A6D"/>
      <rgbColor rgb="FFD6E7E3"/>
      <rgbColor rgb="FFB91C1C"/>
      <rgbColor rgb="FFFEF3C7"/>
      <rgbColor rgb="FFDCFCE7"/>
      <rgbColor rgb="FF0B5F59"/>
      <rgbColor rgb="FFFEE2E2"/>
      <rgbColor rgb="FF0070C0"/>
      <rgbColor rgb="FFD4D8DB"/>
      <rgbColor rgb="FF14343D"/>
      <rgbColor rgb="FFF3F6F5"/>
      <rgbColor rgb="FFFCE4D6"/>
      <rgbColor rgb="FFE7F4EC"/>
      <rgbColor rgb="FFFFF7ED"/>
      <rgbColor rgb="FFF7FAFA"/>
      <rgbColor rgb="FF047857"/>
      <rgbColor rgb="FFFAFAFA"/>
      <rgbColor rgb="FF176D68"/>
      <rgbColor rgb="FFDCEDEA"/>
      <rgbColor rgb="FFDCEEDD"/>
      <rgbColor rgb="FFFFF2CC"/>
      <rgbColor rgb="FFC4D2CE"/>
      <rgbColor rgb="FFF7E2D2"/>
      <rgbColor rgb="FFD9E2F3"/>
      <rgbColor rgb="FFF6D4D0"/>
      <rgbColor rgb="FF1D4ED8"/>
      <rgbColor rgb="FF00B050"/>
      <rgbColor rgb="FFD8E7E2"/>
      <rgbColor rgb="FFFFBE02"/>
      <rgbColor rgb="FFFCE8E6"/>
      <rgbColor rgb="FFC1560A"/>
      <rgbColor rgb="FF5B646B"/>
      <rgbColor rgb="FF4B7BCA"/>
      <rgbColor rgb="FF002060"/>
      <rgbColor rgb="FF24726B"/>
      <rgbColor rgb="FF12323D"/>
      <rgbColor rgb="FF1B1B1B"/>
      <rgbColor rgb="FF991B1B"/>
      <rgbColor rgb="FF2F5597"/>
      <rgbColor rgb="FF1F4E78"/>
      <rgbColor rgb="FF22363F"/>
      <rgbColor rgb="00003366"/>
      <rgbColor rgb="00339966"/>
      <rgbColor rgb="00003300"/>
      <rgbColor rgb="00333300"/>
      <rgbColor rgb="00993300"/>
      <rgbColor rgb="00993366"/>
      <rgbColor rgb="00333399"/>
      <rgbColor rgb="00333333"/>
    </indexed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3" Type="http://schemas.openxmlformats.org/officeDocument/2006/relationships/worksheet" Target="worksheets/sheet13.xml"/><Relationship Id="rId18" Type="http://schemas.openxmlformats.org/officeDocument/2006/relationships/worksheet" Target="worksheets/sheet18.xml"/><Relationship Id="rId26" Type="http://schemas.openxmlformats.org/officeDocument/2006/relationships/worksheet" Target="worksheets/sheet26.xml"/><Relationship Id="rId3" Type="http://schemas.openxmlformats.org/officeDocument/2006/relationships/worksheet" Target="worksheets/sheet3.xml"/><Relationship Id="rId21" Type="http://schemas.openxmlformats.org/officeDocument/2006/relationships/worksheet" Target="worksheets/sheet21.xml"/><Relationship Id="rId34" Type="http://schemas.openxmlformats.org/officeDocument/2006/relationships/sharedStrings" Target="sharedStrings.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worksheet" Target="worksheets/sheet17.xml"/><Relationship Id="rId25" Type="http://schemas.openxmlformats.org/officeDocument/2006/relationships/worksheet" Target="worksheets/sheet25.xml"/><Relationship Id="rId33" Type="http://schemas.openxmlformats.org/officeDocument/2006/relationships/styles" Target="styles.xml"/><Relationship Id="rId2" Type="http://schemas.openxmlformats.org/officeDocument/2006/relationships/worksheet" Target="worksheets/sheet2.xml"/><Relationship Id="rId16" Type="http://schemas.openxmlformats.org/officeDocument/2006/relationships/worksheet" Target="worksheets/sheet16.xml"/><Relationship Id="rId20" Type="http://schemas.openxmlformats.org/officeDocument/2006/relationships/worksheet" Target="worksheets/sheet20.xml"/><Relationship Id="rId29" Type="http://schemas.openxmlformats.org/officeDocument/2006/relationships/worksheet" Target="worksheets/sheet29.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24" Type="http://schemas.openxmlformats.org/officeDocument/2006/relationships/worksheet" Target="worksheets/sheet24.xml"/><Relationship Id="rId32" Type="http://schemas.openxmlformats.org/officeDocument/2006/relationships/theme" Target="theme/theme1.xml"/><Relationship Id="rId5" Type="http://schemas.openxmlformats.org/officeDocument/2006/relationships/worksheet" Target="worksheets/sheet5.xml"/><Relationship Id="rId15" Type="http://schemas.openxmlformats.org/officeDocument/2006/relationships/worksheet" Target="worksheets/sheet15.xml"/><Relationship Id="rId23" Type="http://schemas.openxmlformats.org/officeDocument/2006/relationships/worksheet" Target="worksheets/sheet23.xml"/><Relationship Id="rId28" Type="http://schemas.openxmlformats.org/officeDocument/2006/relationships/worksheet" Target="worksheets/sheet28.xml"/><Relationship Id="rId10" Type="http://schemas.openxmlformats.org/officeDocument/2006/relationships/worksheet" Target="worksheets/sheet10.xml"/><Relationship Id="rId19" Type="http://schemas.openxmlformats.org/officeDocument/2006/relationships/worksheet" Target="worksheets/sheet19.xml"/><Relationship Id="rId31" Type="http://schemas.openxmlformats.org/officeDocument/2006/relationships/worksheet" Target="worksheets/sheet31.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worksheet" Target="worksheets/sheet22.xml"/><Relationship Id="rId27" Type="http://schemas.openxmlformats.org/officeDocument/2006/relationships/worksheet" Target="worksheets/sheet27.xml"/><Relationship Id="rId30" Type="http://schemas.openxmlformats.org/officeDocument/2006/relationships/worksheet" Target="worksheets/sheet30.xml"/><Relationship Id="rId35" Type="http://schemas.openxmlformats.org/officeDocument/2006/relationships/calcChain" Target="calcChain.xml"/><Relationship Id="rId8" Type="http://schemas.openxmlformats.org/officeDocument/2006/relationships/worksheet" Target="worksheets/sheet8.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0"/>
  <c:style val="2"/>
  <c:chart>
    <c:title>
      <c:tx>
        <c:rich>
          <a:bodyPr rot="0"/>
          <a:lstStyle/>
          <a:p>
            <a:pPr>
              <a:defRPr lang="es-CL" sz="1600" b="1" strike="noStrike" spc="-1">
                <a:solidFill>
                  <a:srgbClr val="F2F2F2"/>
                </a:solidFill>
                <a:latin typeface="Calibri"/>
                <a:ea typeface="Calibri"/>
              </a:defRPr>
            </a:pPr>
            <a:r>
              <a:rPr lang="es-CL" sz="1600" b="1" strike="noStrike" spc="-1">
                <a:solidFill>
                  <a:srgbClr val="F2F2F2"/>
                </a:solidFill>
                <a:latin typeface="Calibri"/>
                <a:ea typeface="Calibri"/>
              </a:rPr>
              <a:t>Perfil de puntajes z</a:t>
            </a:r>
          </a:p>
        </c:rich>
      </c:tx>
      <c:overlay val="0"/>
      <c:spPr>
        <a:noFill/>
        <a:ln w="0">
          <a:noFill/>
        </a:ln>
      </c:spPr>
    </c:title>
    <c:autoTitleDeleted val="0"/>
    <c:plotArea>
      <c:layout>
        <c:manualLayout>
          <c:layoutTarget val="inner"/>
          <c:xMode val="edge"/>
          <c:yMode val="edge"/>
          <c:x val="8.1070302239399039E-2"/>
          <c:y val="0.13028265899568509"/>
          <c:w val="0.881625946563795"/>
          <c:h val="0.84309924332436992"/>
        </c:manualLayout>
      </c:layout>
      <c:barChart>
        <c:barDir val="col"/>
        <c:grouping val="clustered"/>
        <c:varyColors val="1"/>
        <c:ser>
          <c:idx val="0"/>
          <c:order val="0"/>
          <c:tx>
            <c:strRef>
              <c:f>GRÁFICO!$B$14</c:f>
              <c:strCache>
                <c:ptCount val="1"/>
                <c:pt idx="0">
                  <c:v>z</c:v>
                </c:pt>
              </c:strCache>
            </c:strRef>
          </c:tx>
          <c:spPr>
            <a:solidFill>
              <a:srgbClr val="4472C4"/>
            </a:solidFill>
            <a:ln w="0">
              <a:noFill/>
            </a:ln>
          </c:spPr>
          <c:invertIfNegative val="0"/>
          <c:dPt>
            <c:idx val="0"/>
            <c:invertIfNegative val="1"/>
            <c:bubble3D val="0"/>
            <c:spPr>
              <a:gradFill>
                <a:gsLst>
                  <a:gs pos="0">
                    <a:srgbClr val="6082CA"/>
                  </a:gs>
                  <a:gs pos="50000">
                    <a:srgbClr val="3D6FC9"/>
                  </a:gs>
                  <a:gs pos="100000">
                    <a:srgbClr val="2F61BA"/>
                  </a:gs>
                </a:gsLst>
                <a:lin ang="5400000"/>
              </a:gradFill>
              <a:ln w="0">
                <a:noFill/>
              </a:ln>
            </c:spPr>
            <c:extLst>
              <c:ext xmlns:c16="http://schemas.microsoft.com/office/drawing/2014/chart" uri="{C3380CC4-5D6E-409C-BE32-E72D297353CC}">
                <c16:uniqueId val="{00000001-9875-415B-B1C7-DFA867BF1A58}"/>
              </c:ext>
            </c:extLst>
          </c:dPt>
          <c:dPt>
            <c:idx val="1"/>
            <c:invertIfNegative val="1"/>
            <c:bubble3D val="0"/>
            <c:spPr>
              <a:gradFill>
                <a:gsLst>
                  <a:gs pos="0">
                    <a:srgbClr val="F08C56"/>
                  </a:gs>
                  <a:gs pos="50000">
                    <a:srgbClr val="F57A27"/>
                  </a:gs>
                  <a:gs pos="100000">
                    <a:srgbClr val="E46B19"/>
                  </a:gs>
                </a:gsLst>
                <a:lin ang="5400000"/>
              </a:gradFill>
              <a:ln w="0">
                <a:noFill/>
              </a:ln>
            </c:spPr>
            <c:extLst>
              <c:ext xmlns:c16="http://schemas.microsoft.com/office/drawing/2014/chart" uri="{C3380CC4-5D6E-409C-BE32-E72D297353CC}">
                <c16:uniqueId val="{00000003-9875-415B-B1C7-DFA867BF1A58}"/>
              </c:ext>
            </c:extLst>
          </c:dPt>
          <c:dPt>
            <c:idx val="2"/>
            <c:invertIfNegative val="1"/>
            <c:bubble3D val="0"/>
            <c:spPr>
              <a:gradFill>
                <a:gsLst>
                  <a:gs pos="0">
                    <a:srgbClr val="AEAEAE"/>
                  </a:gs>
                  <a:gs pos="50000">
                    <a:srgbClr val="A4A4A4"/>
                  </a:gs>
                  <a:gs pos="100000">
                    <a:srgbClr val="929292"/>
                  </a:gs>
                </a:gsLst>
                <a:lin ang="5400000"/>
              </a:gradFill>
              <a:ln w="0">
                <a:noFill/>
              </a:ln>
            </c:spPr>
            <c:extLst>
              <c:ext xmlns:c16="http://schemas.microsoft.com/office/drawing/2014/chart" uri="{C3380CC4-5D6E-409C-BE32-E72D297353CC}">
                <c16:uniqueId val="{00000005-9875-415B-B1C7-DFA867BF1A58}"/>
              </c:ext>
            </c:extLst>
          </c:dPt>
          <c:dPt>
            <c:idx val="3"/>
            <c:invertIfNegative val="1"/>
            <c:bubble3D val="0"/>
            <c:spPr>
              <a:gradFill>
                <a:gsLst>
                  <a:gs pos="0">
                    <a:srgbClr val="FFC54B"/>
                  </a:gs>
                  <a:gs pos="50000">
                    <a:srgbClr val="FFBF00"/>
                  </a:gs>
                  <a:gs pos="100000">
                    <a:srgbClr val="E2AA00"/>
                  </a:gs>
                </a:gsLst>
                <a:lin ang="5400000"/>
              </a:gradFill>
              <a:ln w="0">
                <a:noFill/>
              </a:ln>
            </c:spPr>
            <c:extLst>
              <c:ext xmlns:c16="http://schemas.microsoft.com/office/drawing/2014/chart" uri="{C3380CC4-5D6E-409C-BE32-E72D297353CC}">
                <c16:uniqueId val="{00000007-9875-415B-B1C7-DFA867BF1A58}"/>
              </c:ext>
            </c:extLst>
          </c:dPt>
          <c:dPt>
            <c:idx val="4"/>
            <c:invertIfNegative val="1"/>
            <c:bubble3D val="0"/>
            <c:spPr>
              <a:gradFill>
                <a:gsLst>
                  <a:gs pos="0">
                    <a:srgbClr val="71A6DA"/>
                  </a:gs>
                  <a:gs pos="50000">
                    <a:srgbClr val="549ADA"/>
                  </a:gs>
                  <a:gs pos="100000">
                    <a:srgbClr val="448AC9"/>
                  </a:gs>
                </a:gsLst>
                <a:lin ang="5400000"/>
              </a:gradFill>
              <a:ln w="0">
                <a:noFill/>
              </a:ln>
            </c:spPr>
            <c:extLst>
              <c:ext xmlns:c16="http://schemas.microsoft.com/office/drawing/2014/chart" uri="{C3380CC4-5D6E-409C-BE32-E72D297353CC}">
                <c16:uniqueId val="{00000009-9875-415B-B1C7-DFA867BF1A58}"/>
              </c:ext>
            </c:extLst>
          </c:dPt>
          <c:dLbls>
            <c:dLbl>
              <c:idx val="0"/>
              <c:spPr/>
              <c:txPr>
                <a:bodyPr wrap="square"/>
                <a:lstStyle/>
                <a:p>
                  <a:pPr>
                    <a:defRPr sz="1000" b="0" strike="noStrike" spc="-1">
                      <a:solidFill>
                        <a:srgbClr val="000000"/>
                      </a:solidFill>
                      <a:latin typeface="Calibri"/>
                      <a:ea typeface="Calibri"/>
                    </a:defRPr>
                  </a:pPr>
                  <a:endParaRPr lang="es-CL"/>
                </a:p>
              </c:txPr>
              <c:dLblPos val="outEnd"/>
              <c:showLegendKey val="0"/>
              <c:showVal val="0"/>
              <c:showCatName val="0"/>
              <c:showSerName val="0"/>
              <c:showPercent val="0"/>
              <c:showBubbleSize val="1"/>
              <c:extLst>
                <c:ext xmlns:c15="http://schemas.microsoft.com/office/drawing/2012/chart" uri="{CE6537A1-D6FC-4f65-9D91-7224C49458BB}"/>
                <c:ext xmlns:c16="http://schemas.microsoft.com/office/drawing/2014/chart" uri="{C3380CC4-5D6E-409C-BE32-E72D297353CC}">
                  <c16:uniqueId val="{00000001-9875-415B-B1C7-DFA867BF1A58}"/>
                </c:ext>
              </c:extLst>
            </c:dLbl>
            <c:dLbl>
              <c:idx val="1"/>
              <c:spPr/>
              <c:txPr>
                <a:bodyPr wrap="square"/>
                <a:lstStyle/>
                <a:p>
                  <a:pPr>
                    <a:defRPr sz="1000" b="0" strike="noStrike" spc="-1">
                      <a:solidFill>
                        <a:srgbClr val="000000"/>
                      </a:solidFill>
                      <a:latin typeface="Calibri"/>
                      <a:ea typeface="Calibri"/>
                    </a:defRPr>
                  </a:pPr>
                  <a:endParaRPr lang="es-CL"/>
                </a:p>
              </c:txPr>
              <c:dLblPos val="outEnd"/>
              <c:showLegendKey val="0"/>
              <c:showVal val="0"/>
              <c:showCatName val="0"/>
              <c:showSerName val="0"/>
              <c:showPercent val="0"/>
              <c:showBubbleSize val="1"/>
              <c:extLst>
                <c:ext xmlns:c15="http://schemas.microsoft.com/office/drawing/2012/chart" uri="{CE6537A1-D6FC-4f65-9D91-7224C49458BB}"/>
                <c:ext xmlns:c16="http://schemas.microsoft.com/office/drawing/2014/chart" uri="{C3380CC4-5D6E-409C-BE32-E72D297353CC}">
                  <c16:uniqueId val="{00000003-9875-415B-B1C7-DFA867BF1A58}"/>
                </c:ext>
              </c:extLst>
            </c:dLbl>
            <c:dLbl>
              <c:idx val="2"/>
              <c:spPr/>
              <c:txPr>
                <a:bodyPr wrap="square"/>
                <a:lstStyle/>
                <a:p>
                  <a:pPr>
                    <a:defRPr sz="1000" b="0" strike="noStrike" spc="-1">
                      <a:solidFill>
                        <a:srgbClr val="000000"/>
                      </a:solidFill>
                      <a:latin typeface="Calibri"/>
                      <a:ea typeface="Calibri"/>
                    </a:defRPr>
                  </a:pPr>
                  <a:endParaRPr lang="es-CL"/>
                </a:p>
              </c:txPr>
              <c:dLblPos val="outEnd"/>
              <c:showLegendKey val="0"/>
              <c:showVal val="0"/>
              <c:showCatName val="0"/>
              <c:showSerName val="0"/>
              <c:showPercent val="0"/>
              <c:showBubbleSize val="1"/>
              <c:extLst>
                <c:ext xmlns:c15="http://schemas.microsoft.com/office/drawing/2012/chart" uri="{CE6537A1-D6FC-4f65-9D91-7224C49458BB}"/>
                <c:ext xmlns:c16="http://schemas.microsoft.com/office/drawing/2014/chart" uri="{C3380CC4-5D6E-409C-BE32-E72D297353CC}">
                  <c16:uniqueId val="{00000005-9875-415B-B1C7-DFA867BF1A58}"/>
                </c:ext>
              </c:extLst>
            </c:dLbl>
            <c:dLbl>
              <c:idx val="3"/>
              <c:spPr/>
              <c:txPr>
                <a:bodyPr wrap="square"/>
                <a:lstStyle/>
                <a:p>
                  <a:pPr>
                    <a:defRPr sz="1000" b="0" strike="noStrike" spc="-1">
                      <a:solidFill>
                        <a:srgbClr val="000000"/>
                      </a:solidFill>
                      <a:latin typeface="Calibri"/>
                      <a:ea typeface="Calibri"/>
                    </a:defRPr>
                  </a:pPr>
                  <a:endParaRPr lang="es-CL"/>
                </a:p>
              </c:txPr>
              <c:dLblPos val="outEnd"/>
              <c:showLegendKey val="0"/>
              <c:showVal val="0"/>
              <c:showCatName val="0"/>
              <c:showSerName val="0"/>
              <c:showPercent val="0"/>
              <c:showBubbleSize val="1"/>
              <c:extLst>
                <c:ext xmlns:c15="http://schemas.microsoft.com/office/drawing/2012/chart" uri="{CE6537A1-D6FC-4f65-9D91-7224C49458BB}"/>
                <c:ext xmlns:c16="http://schemas.microsoft.com/office/drawing/2014/chart" uri="{C3380CC4-5D6E-409C-BE32-E72D297353CC}">
                  <c16:uniqueId val="{00000007-9875-415B-B1C7-DFA867BF1A58}"/>
                </c:ext>
              </c:extLst>
            </c:dLbl>
            <c:dLbl>
              <c:idx val="4"/>
              <c:spPr/>
              <c:txPr>
                <a:bodyPr wrap="square"/>
                <a:lstStyle/>
                <a:p>
                  <a:pPr>
                    <a:defRPr sz="1000" b="0" strike="noStrike" spc="-1">
                      <a:solidFill>
                        <a:srgbClr val="000000"/>
                      </a:solidFill>
                      <a:latin typeface="Calibri"/>
                      <a:ea typeface="Calibri"/>
                    </a:defRPr>
                  </a:pPr>
                  <a:endParaRPr lang="es-CL"/>
                </a:p>
              </c:txPr>
              <c:dLblPos val="outEnd"/>
              <c:showLegendKey val="0"/>
              <c:showVal val="0"/>
              <c:showCatName val="0"/>
              <c:showSerName val="0"/>
              <c:showPercent val="0"/>
              <c:showBubbleSize val="1"/>
              <c:extLst>
                <c:ext xmlns:c15="http://schemas.microsoft.com/office/drawing/2012/chart" uri="{CE6537A1-D6FC-4f65-9D91-7224C49458BB}"/>
                <c:ext xmlns:c16="http://schemas.microsoft.com/office/drawing/2014/chart" uri="{C3380CC4-5D6E-409C-BE32-E72D297353CC}">
                  <c16:uniqueId val="{00000009-9875-415B-B1C7-DFA867BF1A58}"/>
                </c:ext>
              </c:extLst>
            </c:dLbl>
            <c:spPr>
              <a:noFill/>
              <a:ln>
                <a:noFill/>
              </a:ln>
              <a:effectLst/>
            </c:spPr>
            <c:txPr>
              <a:bodyPr wrap="square"/>
              <a:lstStyle/>
              <a:p>
                <a:pPr>
                  <a:defRPr sz="1000" b="0" strike="noStrike" spc="-1">
                    <a:solidFill>
                      <a:srgbClr val="000000"/>
                    </a:solidFill>
                    <a:latin typeface="Calibri"/>
                    <a:ea typeface="Calibri"/>
                  </a:defRPr>
                </a:pPr>
                <a:endParaRPr lang="es-CL"/>
              </a:p>
            </c:txPr>
            <c:dLblPos val="outEnd"/>
            <c:showLegendKey val="0"/>
            <c:showVal val="0"/>
            <c:showCatName val="0"/>
            <c:showSerName val="0"/>
            <c:showPercent val="0"/>
            <c:showBubbleSize val="1"/>
            <c:separator>; </c:separator>
            <c:showLeaderLines val="0"/>
            <c:extLst>
              <c:ext xmlns:c15="http://schemas.microsoft.com/office/drawing/2012/chart" uri="{CE6537A1-D6FC-4f65-9D91-7224C49458BB}">
                <c15:showLeaderLines val="1"/>
              </c:ext>
            </c:extLst>
          </c:dLbls>
          <c:cat>
            <c:strRef>
              <c:f>GRÁFICO!$A$15:$A$19</c:f>
              <c:strCache>
                <c:ptCount val="5"/>
                <c:pt idx="0">
                  <c:v>IMC / edad</c:v>
                </c:pt>
                <c:pt idx="1">
                  <c:v>Peso / edad</c:v>
                </c:pt>
                <c:pt idx="2">
                  <c:v>Talla / edad</c:v>
                </c:pt>
                <c:pt idx="3">
                  <c:v>Peso / talla</c:v>
                </c:pt>
                <c:pt idx="4">
                  <c:v>INTEGRADO (primario)</c:v>
                </c:pt>
              </c:strCache>
            </c:strRef>
          </c:cat>
          <c:val>
            <c:numRef>
              <c:f>GRÁFICO!$B$15:$B$19</c:f>
              <c:numCache>
                <c:formatCode>0.00</c:formatCode>
                <c:ptCount val="5"/>
                <c:pt idx="0">
                  <c:v>0.52632206984289309</c:v>
                </c:pt>
                <c:pt idx="1">
                  <c:v>0</c:v>
                </c:pt>
                <c:pt idx="2">
                  <c:v>-0.62820512820512797</c:v>
                </c:pt>
                <c:pt idx="3">
                  <c:v>0</c:v>
                </c:pt>
                <c:pt idx="4">
                  <c:v>0.52632206984289309</c:v>
                </c:pt>
              </c:numCache>
            </c:numRef>
          </c:val>
          <c:extLst>
            <c:ext xmlns:c16="http://schemas.microsoft.com/office/drawing/2014/chart" uri="{C3380CC4-5D6E-409C-BE32-E72D297353CC}">
              <c16:uniqueId val="{0000000A-9875-415B-B1C7-DFA867BF1A58}"/>
            </c:ext>
          </c:extLst>
        </c:ser>
        <c:dLbls>
          <c:showLegendKey val="0"/>
          <c:showVal val="0"/>
          <c:showCatName val="0"/>
          <c:showSerName val="0"/>
          <c:showPercent val="0"/>
          <c:showBubbleSize val="0"/>
        </c:dLbls>
        <c:gapWidth val="100"/>
        <c:overlap val="-24"/>
        <c:axId val="48400306"/>
        <c:axId val="63146237"/>
      </c:barChart>
      <c:catAx>
        <c:axId val="48400306"/>
        <c:scaling>
          <c:orientation val="minMax"/>
        </c:scaling>
        <c:delete val="0"/>
        <c:axPos val="b"/>
        <c:numFmt formatCode="General" sourceLinked="0"/>
        <c:majorTickMark val="none"/>
        <c:minorTickMark val="none"/>
        <c:tickLblPos val="nextTo"/>
        <c:spPr>
          <a:ln w="12600">
            <a:solidFill>
              <a:srgbClr val="F2F2F2">
                <a:alpha val="54000"/>
              </a:srgbClr>
            </a:solidFill>
            <a:round/>
          </a:ln>
        </c:spPr>
        <c:txPr>
          <a:bodyPr/>
          <a:lstStyle/>
          <a:p>
            <a:pPr>
              <a:defRPr sz="900" b="0" strike="noStrike" spc="-1">
                <a:solidFill>
                  <a:schemeClr val="bg1"/>
                </a:solidFill>
                <a:latin typeface="Calibri"/>
                <a:ea typeface="Calibri"/>
              </a:defRPr>
            </a:pPr>
            <a:endParaRPr lang="es-CL"/>
          </a:p>
        </c:txPr>
        <c:crossAx val="63146237"/>
        <c:crosses val="autoZero"/>
        <c:auto val="1"/>
        <c:lblAlgn val="ctr"/>
        <c:lblOffset val="100"/>
        <c:noMultiLvlLbl val="0"/>
      </c:catAx>
      <c:valAx>
        <c:axId val="63146237"/>
        <c:scaling>
          <c:orientation val="minMax"/>
          <c:max val="4"/>
          <c:min val="-4"/>
        </c:scaling>
        <c:delete val="0"/>
        <c:axPos val="l"/>
        <c:majorGridlines>
          <c:spPr>
            <a:ln w="9360">
              <a:solidFill>
                <a:srgbClr val="F2F2F2">
                  <a:alpha val="10000"/>
                </a:srgbClr>
              </a:solidFill>
              <a:round/>
            </a:ln>
          </c:spPr>
        </c:majorGridlines>
        <c:numFmt formatCode="0.00" sourceLinked="0"/>
        <c:majorTickMark val="none"/>
        <c:minorTickMark val="none"/>
        <c:tickLblPos val="nextTo"/>
        <c:spPr>
          <a:ln w="6480">
            <a:noFill/>
          </a:ln>
        </c:spPr>
        <c:txPr>
          <a:bodyPr/>
          <a:lstStyle/>
          <a:p>
            <a:pPr>
              <a:defRPr sz="900" b="0" strike="noStrike" spc="-1">
                <a:solidFill>
                  <a:srgbClr val="D9D9D9"/>
                </a:solidFill>
                <a:latin typeface="Calibri"/>
                <a:ea typeface="Calibri"/>
              </a:defRPr>
            </a:pPr>
            <a:endParaRPr lang="es-CL"/>
          </a:p>
        </c:txPr>
        <c:crossAx val="48400306"/>
        <c:crosses val="autoZero"/>
        <c:crossBetween val="between"/>
      </c:valAx>
      <c:spPr>
        <a:noFill/>
        <a:ln w="0">
          <a:noFill/>
        </a:ln>
      </c:spPr>
    </c:plotArea>
    <c:plotVisOnly val="1"/>
    <c:dispBlanksAs val="zero"/>
    <c:showDLblsOverMax val="1"/>
  </c:chart>
  <c:spPr>
    <a:gradFill>
      <a:gsLst>
        <a:gs pos="0">
          <a:srgbClr val="595959"/>
        </a:gs>
        <a:gs pos="100000">
          <a:srgbClr val="262626"/>
        </a:gs>
      </a:gsLst>
      <a:path path="circle">
        <a:fillToRect l="50000" t="50000" r="50000" b="50000"/>
      </a:path>
    </a:gradFill>
    <a:ln w="9360">
      <a:noFill/>
    </a:ln>
  </c:spPr>
  <c:printSettings>
    <c:headerFooter/>
    <c:pageMargins b="0.75" l="0.7" r="0.7" t="0.75" header="0.3" footer="0.3"/>
    <c:pageSetup/>
  </c:printSettings>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0"/>
  <c:style val="2"/>
  <c:chart>
    <c:autoTitleDeleted val="1"/>
    <c:plotArea>
      <c:layout/>
      <c:barChart>
        <c:barDir val="bar"/>
        <c:grouping val="clustered"/>
        <c:varyColors val="0"/>
        <c:ser>
          <c:idx val="0"/>
          <c:order val="0"/>
          <c:tx>
            <c:strRef>
              <c:f>Informe!$B$17</c:f>
              <c:strCache>
                <c:ptCount val="1"/>
                <c:pt idx="0">
                  <c:v>Z-Score</c:v>
                </c:pt>
              </c:strCache>
            </c:strRef>
          </c:tx>
          <c:spPr>
            <a:solidFill>
              <a:srgbClr val="4472C4"/>
            </a:solidFill>
            <a:ln w="0">
              <a:noFill/>
            </a:ln>
          </c:spPr>
          <c:invertIfNegative val="0"/>
          <c:dLbls>
            <c:spPr>
              <a:noFill/>
              <a:ln>
                <a:noFill/>
              </a:ln>
              <a:effectLst/>
            </c:spPr>
            <c:txPr>
              <a:bodyPr wrap="square"/>
              <a:lstStyle/>
              <a:p>
                <a:pPr>
                  <a:defRPr sz="1000" b="0" strike="noStrike" spc="-1">
                    <a:solidFill>
                      <a:srgbClr val="000000"/>
                    </a:solidFill>
                    <a:latin typeface="Calibri"/>
                    <a:ea typeface="Calibri"/>
                  </a:defRPr>
                </a:pPr>
                <a:endParaRPr lang="es-CL"/>
              </a:p>
            </c:txPr>
            <c:dLblPos val="outEnd"/>
            <c:showLegendKey val="0"/>
            <c:showVal val="0"/>
            <c:showCatName val="0"/>
            <c:showSerName val="0"/>
            <c:showPercent val="0"/>
            <c:showBubbleSize val="1"/>
            <c:separator>; </c:separator>
            <c:showLeaderLines val="0"/>
            <c:extLst>
              <c:ext xmlns:c15="http://schemas.microsoft.com/office/drawing/2012/chart" uri="{CE6537A1-D6FC-4f65-9D91-7224C49458BB}">
                <c15:showLeaderLines val="1"/>
              </c:ext>
            </c:extLst>
          </c:dLbls>
          <c:val>
            <c:numRef>
              <c:f>Informe!$C$17</c:f>
              <c:numCache>
                <c:formatCode>0.000</c:formatCode>
                <c:ptCount val="1"/>
                <c:pt idx="0">
                  <c:v>0.52632206984289309</c:v>
                </c:pt>
              </c:numCache>
            </c:numRef>
          </c:val>
          <c:extLst>
            <c:ext xmlns:c16="http://schemas.microsoft.com/office/drawing/2014/chart" uri="{C3380CC4-5D6E-409C-BE32-E72D297353CC}">
              <c16:uniqueId val="{00000000-64C8-44C7-90F9-5858DBD200CF}"/>
            </c:ext>
          </c:extLst>
        </c:ser>
        <c:dLbls>
          <c:showLegendKey val="0"/>
          <c:showVal val="0"/>
          <c:showCatName val="0"/>
          <c:showSerName val="0"/>
          <c:showPercent val="0"/>
          <c:showBubbleSize val="0"/>
        </c:dLbls>
        <c:gapWidth val="182"/>
        <c:axId val="48408369"/>
        <c:axId val="80477003"/>
      </c:barChart>
      <c:catAx>
        <c:axId val="48408369"/>
        <c:scaling>
          <c:orientation val="minMax"/>
        </c:scaling>
        <c:delete val="0"/>
        <c:axPos val="l"/>
        <c:numFmt formatCode="General" sourceLinked="0"/>
        <c:majorTickMark val="none"/>
        <c:minorTickMark val="none"/>
        <c:tickLblPos val="nextTo"/>
        <c:spPr>
          <a:ln w="9360">
            <a:solidFill>
              <a:srgbClr val="D9D9D9"/>
            </a:solidFill>
            <a:round/>
          </a:ln>
        </c:spPr>
        <c:txPr>
          <a:bodyPr/>
          <a:lstStyle/>
          <a:p>
            <a:pPr>
              <a:defRPr sz="900" b="0" strike="noStrike" spc="-1">
                <a:solidFill>
                  <a:srgbClr val="595959"/>
                </a:solidFill>
                <a:latin typeface="Calibri"/>
                <a:ea typeface="Calibri"/>
              </a:defRPr>
            </a:pPr>
            <a:endParaRPr lang="es-CL"/>
          </a:p>
        </c:txPr>
        <c:crossAx val="80477003"/>
        <c:crosses val="autoZero"/>
        <c:auto val="1"/>
        <c:lblAlgn val="ctr"/>
        <c:lblOffset val="100"/>
        <c:noMultiLvlLbl val="0"/>
      </c:catAx>
      <c:valAx>
        <c:axId val="80477003"/>
        <c:scaling>
          <c:orientation val="minMax"/>
          <c:max val="3"/>
          <c:min val="-3"/>
        </c:scaling>
        <c:delete val="0"/>
        <c:axPos val="b"/>
        <c:numFmt formatCode="General" sourceLinked="0"/>
        <c:majorTickMark val="none"/>
        <c:minorTickMark val="none"/>
        <c:tickLblPos val="nextTo"/>
        <c:spPr>
          <a:ln w="6480">
            <a:noFill/>
          </a:ln>
        </c:spPr>
        <c:txPr>
          <a:bodyPr/>
          <a:lstStyle/>
          <a:p>
            <a:pPr>
              <a:defRPr sz="900" b="0" strike="noStrike" spc="-1">
                <a:solidFill>
                  <a:srgbClr val="595959"/>
                </a:solidFill>
                <a:latin typeface="Calibri"/>
                <a:ea typeface="Calibri"/>
              </a:defRPr>
            </a:pPr>
            <a:endParaRPr lang="es-CL"/>
          </a:p>
        </c:txPr>
        <c:crossAx val="48408369"/>
        <c:crosses val="autoZero"/>
        <c:crossBetween val="between"/>
      </c:valAx>
      <c:spPr>
        <a:noFill/>
        <a:ln w="0">
          <a:noFill/>
        </a:ln>
      </c:spPr>
    </c:plotArea>
    <c:plotVisOnly val="1"/>
    <c:dispBlanksAs val="zero"/>
    <c:showDLblsOverMax val="1"/>
  </c:chart>
  <c:spPr>
    <a:solidFill>
      <a:srgbClr val="FFFFFF"/>
    </a:solidFill>
    <a:ln w="9360">
      <a:solidFill>
        <a:srgbClr val="D9D9D9"/>
      </a:solidFill>
      <a:round/>
    </a:ln>
  </c:spPr>
  <c:printSettings>
    <c:headerFooter/>
    <c:pageMargins b="0.75" l="0.7" r="0.7" t="0.75" header="0.3" footer="0.3"/>
    <c:pageSetup/>
  </c:printSettings>
</c:chartSpace>
</file>

<file path=xl/drawings/_rels/drawing1.xml.rels><?xml version="1.0" encoding="UTF-8" standalone="yes"?>
<Relationships xmlns="http://schemas.openxmlformats.org/package/2006/relationships"><Relationship Id="rId1" Type="http://schemas.openxmlformats.org/officeDocument/2006/relationships/chart" Target="../charts/chart1.xml"/></Relationships>
</file>

<file path=xl/drawings/_rels/drawing2.xml.rels><?xml version="1.0" encoding="UTF-8" standalone="yes"?>
<Relationships xmlns="http://schemas.openxmlformats.org/package/2006/relationships"><Relationship Id="rId2" Type="http://schemas.openxmlformats.org/officeDocument/2006/relationships/image" Target="../media/image1.jpeg"/><Relationship Id="rId1" Type="http://schemas.openxmlformats.org/officeDocument/2006/relationships/chart" Target="../charts/chart2.xml"/></Relationships>
</file>

<file path=xl/drawings/drawing1.xml><?xml version="1.0" encoding="utf-8"?>
<xdr:wsDr xmlns:xdr="http://schemas.openxmlformats.org/drawingml/2006/spreadsheetDrawing" xmlns:a="http://schemas.openxmlformats.org/drawingml/2006/main">
  <xdr:twoCellAnchor editAs="oneCell">
    <xdr:from>
      <xdr:col>4</xdr:col>
      <xdr:colOff>0</xdr:colOff>
      <xdr:row>4</xdr:row>
      <xdr:rowOff>19440</xdr:rowOff>
    </xdr:from>
    <xdr:to>
      <xdr:col>8</xdr:col>
      <xdr:colOff>285840</xdr:colOff>
      <xdr:row>19</xdr:row>
      <xdr:rowOff>40320</xdr:rowOff>
    </xdr:to>
    <xdr:graphicFrame macro="">
      <xdr:nvGraphicFramePr>
        <xdr:cNvPr id="2" name="Chart">
          <a:extLst>
            <a:ext uri="{FF2B5EF4-FFF2-40B4-BE49-F238E27FC236}">
              <a16:creationId xmlns:a16="http://schemas.microsoft.com/office/drawing/2014/main" id="{00000000-0008-0000-0400-000002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2.xml><?xml version="1.0" encoding="utf-8"?>
<xdr:wsDr xmlns:xdr="http://schemas.openxmlformats.org/drawingml/2006/spreadsheetDrawing" xmlns:a="http://schemas.openxmlformats.org/drawingml/2006/main">
  <xdr:twoCellAnchor editAs="oneCell">
    <xdr:from>
      <xdr:col>1</xdr:col>
      <xdr:colOff>0</xdr:colOff>
      <xdr:row>17</xdr:row>
      <xdr:rowOff>0</xdr:rowOff>
    </xdr:from>
    <xdr:to>
      <xdr:col>6</xdr:col>
      <xdr:colOff>447675</xdr:colOff>
      <xdr:row>31</xdr:row>
      <xdr:rowOff>75240</xdr:rowOff>
    </xdr:to>
    <xdr:graphicFrame macro="">
      <xdr:nvGraphicFramePr>
        <xdr:cNvPr id="2" name="Chart">
          <a:extLst>
            <a:ext uri="{FF2B5EF4-FFF2-40B4-BE49-F238E27FC236}">
              <a16:creationId xmlns:a16="http://schemas.microsoft.com/office/drawing/2014/main" id="{00000000-0008-0000-0500-000002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oneCell">
    <xdr:from>
      <xdr:col>9</xdr:col>
      <xdr:colOff>323745</xdr:colOff>
      <xdr:row>0</xdr:row>
      <xdr:rowOff>0</xdr:rowOff>
    </xdr:from>
    <xdr:to>
      <xdr:col>12</xdr:col>
      <xdr:colOff>227505</xdr:colOff>
      <xdr:row>7</xdr:row>
      <xdr:rowOff>76200</xdr:rowOff>
    </xdr:to>
    <xdr:pic>
      <xdr:nvPicPr>
        <xdr:cNvPr id="3" name="/xl/media/image.jpg">
          <a:extLst>
            <a:ext uri="{FF2B5EF4-FFF2-40B4-BE49-F238E27FC236}">
              <a16:creationId xmlns:a16="http://schemas.microsoft.com/office/drawing/2014/main" id="{00000000-0008-0000-0500-000003000000}"/>
            </a:ext>
          </a:extLst>
        </xdr:cNvPr>
        <xdr:cNvPicPr/>
      </xdr:nvPicPr>
      <xdr:blipFill>
        <a:blip xmlns:r="http://schemas.openxmlformats.org/officeDocument/2006/relationships" r:embed="rId2"/>
        <a:stretch/>
      </xdr:blipFill>
      <xdr:spPr>
        <a:xfrm>
          <a:off x="8800995" y="0"/>
          <a:ext cx="1580160" cy="1543050"/>
        </a:xfrm>
        <a:prstGeom prst="rect">
          <a:avLst/>
        </a:prstGeom>
        <a:ln w="0">
          <a:noFill/>
        </a:ln>
      </xdr:spPr>
    </xdr:pic>
    <xdr:clientData/>
  </xdr:twoCellAnchor>
</xdr:wsDr>
</file>

<file path=xl/theme/theme1.xml><?xml version="1.0" encoding="utf-8"?>
<a:theme xmlns:a="http://schemas.openxmlformats.org/drawingml/2006/main" name="Office">
  <a:themeElements>
    <a:clrScheme name="Office">
      <a:dk1>
        <a:srgbClr val="000000"/>
      </a:dk1>
      <a:lt1>
        <a:srgbClr val="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a:ea typeface="Calibri"/>
        <a:cs typeface="Calibri"/>
      </a:majorFont>
      <a:minorFont>
        <a:latin typeface="Calibri"/>
        <a:ea typeface="Calibri"/>
        <a:cs typeface="Calibri"/>
      </a:minorFont>
    </a:fontScheme>
    <a:fmtScheme>
      <a:fillStyleLst>
        <a:solidFill>
          <a:schemeClr val="phClr"/>
        </a:solidFill>
        <a:solidFill>
          <a:schemeClr val="dk1"/>
        </a:solidFill>
        <a:solidFill>
          <a:schemeClr val="accent1"/>
        </a:solidFill>
      </a:fillStyleLst>
      <a:lnStyleLst>
        <a:ln w="6350">
          <a:prstDash val="solid"/>
        </a:ln>
        <a:ln w="12700">
          <a:prstDash val="solid"/>
        </a:ln>
        <a:ln w="19050">
          <a:prstDash val="solid"/>
        </a:ln>
      </a:lnStyleLst>
      <a:effectStyleLst>
        <a:effectStyle>
          <a:effectLst/>
        </a:effectStyle>
        <a:effectStyle>
          <a:effectLst/>
        </a:effectStyle>
        <a:effectStyle>
          <a:effectLst/>
        </a:effectStyle>
      </a:effectStyleLst>
      <a:bgFillStyleLst>
        <a:solidFill>
          <a:schemeClr val="phClr"/>
        </a:solidFill>
        <a:solidFill>
          <a:schemeClr val="phClr">
            <a:tint val="95000"/>
          </a:schemeClr>
        </a:solidFill>
        <a:gradFill>
          <a:gsLst>
            <a:gs pos="0">
              <a:schemeClr val="phClr">
                <a:tint val="93000"/>
                <a:shade val="98000"/>
                <a:lumMod val="102000"/>
              </a:schemeClr>
            </a:gs>
            <a:gs pos="50000">
              <a:schemeClr val="phClr">
                <a:tint val="98000"/>
                <a:shade val="90000"/>
                <a:lumMod val="103000"/>
              </a:schemeClr>
            </a:gs>
            <a:gs pos="100000">
              <a:schemeClr val="phClr">
                <a:shade val="63000"/>
              </a:schemeClr>
            </a:gs>
          </a:gsLst>
          <a:lin ang="5400000" scaled="0"/>
          <a:tileRect/>
        </a:gradFill>
      </a:bgFillStyleLst>
    </a:fmtScheme>
  </a:themeElements>
  <a:objectDefaults/>
  <a:extraClrSchemeLst/>
</a:theme>
</file>

<file path=xl/worksheets/_rels/sheet5.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6.xml.rels><?xml version="1.0" encoding="UTF-8" standalone="yes"?>
<Relationships xmlns="http://schemas.openxmlformats.org/package/2006/relationships"><Relationship Id="rId1" Type="http://schemas.openxmlformats.org/officeDocument/2006/relationships/drawing" Target="../drawings/drawing2.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tabColor rgb="FF15303A"/>
  </sheetPr>
  <dimension ref="A1:K48"/>
  <sheetViews>
    <sheetView showGridLines="0" tabSelected="1" zoomScaleNormal="100" workbookViewId="0">
      <selection activeCell="B3" sqref="B3"/>
    </sheetView>
  </sheetViews>
  <sheetFormatPr baseColWidth="10" defaultColWidth="9.140625" defaultRowHeight="15"/>
  <cols>
    <col min="1" max="1" width="30" style="1" customWidth="1"/>
    <col min="2" max="2" width="25" style="1" customWidth="1"/>
    <col min="3" max="6" width="19.5703125" style="1" customWidth="1"/>
    <col min="7" max="7" width="29.85546875" style="1" customWidth="1"/>
    <col min="8" max="8" width="21.7109375" style="1" customWidth="1"/>
    <col min="9" max="9" width="24.85546875" customWidth="1"/>
    <col min="10" max="11" width="19.5703125" customWidth="1"/>
  </cols>
  <sheetData>
    <row r="1" spans="1:11" ht="31.5" customHeight="1">
      <c r="A1" s="130" t="s">
        <v>0</v>
      </c>
      <c r="B1" s="130"/>
      <c r="C1" s="130"/>
      <c r="D1" s="130"/>
      <c r="E1" s="130"/>
      <c r="F1" s="130"/>
      <c r="G1" s="130"/>
      <c r="H1" s="130"/>
      <c r="I1" s="130"/>
      <c r="J1" s="130"/>
      <c r="K1" s="130"/>
    </row>
    <row r="2" spans="1:11" ht="24" customHeight="1">
      <c r="A2" s="131" t="s">
        <v>1</v>
      </c>
      <c r="B2" s="131"/>
      <c r="C2" s="131"/>
      <c r="D2" s="131"/>
      <c r="E2" s="131"/>
      <c r="F2" s="131"/>
      <c r="G2" s="131"/>
      <c r="H2" s="131"/>
      <c r="I2" s="131"/>
      <c r="J2" s="131"/>
      <c r="K2" s="131"/>
    </row>
    <row r="3" spans="1:11" ht="34.5" customHeight="1">
      <c r="A3" s="124" t="str">
        <f>HYPERLINK("#INICIO!A1","● INICIO")</f>
        <v>● INICIO</v>
      </c>
      <c r="B3" s="122" t="str">
        <f>HYPERLINK("#'Ingreso'!A1", "● Ir a Ingreso")</f>
        <v>● Ir a Ingreso</v>
      </c>
      <c r="C3" s="123" t="str">
        <f>HYPERLINK("#'Interpretación'!A1", " ● Ir a Interpretación")</f>
        <v xml:space="preserve"> ● Ir a Interpretación</v>
      </c>
      <c r="D3" s="123" t="str">
        <f>HYPERLINK("#'GRÁFICO'!A1", "● Ir a GRÁFICO")</f>
        <v>● Ir a GRÁFICO</v>
      </c>
      <c r="E3" s="123" t="str">
        <f>HYPERLINK("#'Informe'!A1", "● Ir a Informe")</f>
        <v>● Ir a Informe</v>
      </c>
      <c r="F3" s="123" t="str">
        <f>HYPERLINK("#'FUENTES'!A1", "● Ir a FUENTES")</f>
        <v>● Ir a FUENTES</v>
      </c>
      <c r="G3" s="122" t="str">
        <f>HYPERLINK("#'SITUACIONES_ESPECIALES'!A1", " ● Ir a Situaciones Especiales")</f>
        <v xml:space="preserve"> ● Ir a Situaciones Especiales</v>
      </c>
      <c r="H3" s="122" t="str">
        <f>HYPERLINK("#'CASOS'!A1", "● Ir a CASOS")</f>
        <v>● Ir a CASOS</v>
      </c>
    </row>
    <row r="4" spans="1:11" ht="27.75" customHeight="1">
      <c r="A4" s="3" t="s">
        <v>2</v>
      </c>
      <c r="B4" s="146" t="s">
        <v>3</v>
      </c>
      <c r="C4" s="146"/>
      <c r="D4" s="146"/>
      <c r="E4" s="146"/>
      <c r="F4" s="146"/>
      <c r="G4" s="146"/>
      <c r="H4"/>
    </row>
    <row r="5" spans="1:11" ht="27.75" customHeight="1">
      <c r="A5" s="4" t="s">
        <v>4</v>
      </c>
      <c r="B5" s="142" t="s">
        <v>5</v>
      </c>
      <c r="C5" s="142"/>
      <c r="D5" s="142"/>
      <c r="E5" s="142"/>
      <c r="F5" s="142"/>
      <c r="G5" s="142"/>
      <c r="H5"/>
    </row>
    <row r="6" spans="1:11" ht="27.75" customHeight="1">
      <c r="A6" s="4" t="s">
        <v>6</v>
      </c>
      <c r="B6" s="142" t="s">
        <v>7</v>
      </c>
      <c r="C6" s="142"/>
      <c r="D6" s="142"/>
      <c r="E6" s="142"/>
      <c r="F6" s="142"/>
      <c r="G6" s="142"/>
      <c r="H6"/>
    </row>
    <row r="7" spans="1:11" ht="27.75" customHeight="1">
      <c r="A7" s="4" t="s">
        <v>8</v>
      </c>
      <c r="B7" s="142" t="s">
        <v>9</v>
      </c>
      <c r="C7" s="142"/>
      <c r="D7" s="142"/>
      <c r="E7" s="142"/>
      <c r="F7" s="142"/>
      <c r="G7" s="142"/>
      <c r="H7"/>
    </row>
    <row r="8" spans="1:11" ht="27.75" customHeight="1">
      <c r="A8" s="4" t="s">
        <v>10</v>
      </c>
      <c r="B8" s="142" t="s">
        <v>11</v>
      </c>
      <c r="C8" s="142"/>
      <c r="D8" s="142"/>
      <c r="E8" s="142"/>
      <c r="F8" s="142"/>
      <c r="G8" s="142"/>
      <c r="H8"/>
    </row>
    <row r="9" spans="1:11" ht="27.75" customHeight="1">
      <c r="A9" s="5" t="s">
        <v>12</v>
      </c>
      <c r="B9" s="143" t="s">
        <v>13</v>
      </c>
      <c r="C9" s="143"/>
      <c r="D9" s="143"/>
      <c r="E9" s="143"/>
      <c r="F9" s="143"/>
      <c r="G9" s="143"/>
      <c r="H9"/>
    </row>
    <row r="10" spans="1:11">
      <c r="A10" s="6"/>
      <c r="B10" s="6"/>
      <c r="H10"/>
    </row>
    <row r="11" spans="1:11" ht="27.75" customHeight="1">
      <c r="A11" s="144" t="s">
        <v>14</v>
      </c>
      <c r="B11" s="144"/>
      <c r="C11" s="144"/>
      <c r="D11" s="144"/>
      <c r="E11" s="144"/>
      <c r="F11" s="144"/>
      <c r="G11" s="144"/>
      <c r="H11"/>
    </row>
    <row r="12" spans="1:11" ht="27" customHeight="1">
      <c r="A12" s="145" t="s">
        <v>15</v>
      </c>
      <c r="B12" s="145"/>
      <c r="C12" s="145"/>
      <c r="D12" s="145"/>
      <c r="E12" s="145"/>
      <c r="F12" s="145"/>
      <c r="G12" s="145"/>
      <c r="H12"/>
    </row>
    <row r="13" spans="1:11" ht="27" customHeight="1">
      <c r="A13" s="137" t="s">
        <v>16</v>
      </c>
      <c r="B13" s="137"/>
      <c r="C13" s="137"/>
      <c r="D13" s="137"/>
      <c r="E13" s="137"/>
      <c r="F13" s="137"/>
      <c r="G13" s="137"/>
      <c r="H13"/>
    </row>
    <row r="14" spans="1:11" ht="27" customHeight="1">
      <c r="A14" s="136" t="s">
        <v>17</v>
      </c>
      <c r="B14" s="136"/>
      <c r="C14" s="136"/>
      <c r="D14" s="136"/>
      <c r="E14" s="136"/>
      <c r="F14" s="136"/>
      <c r="G14" s="136"/>
      <c r="H14"/>
    </row>
    <row r="15" spans="1:11" ht="27" customHeight="1">
      <c r="A15" s="137" t="s">
        <v>18</v>
      </c>
      <c r="B15" s="137"/>
      <c r="C15" s="137"/>
      <c r="D15" s="137"/>
      <c r="E15" s="137"/>
      <c r="F15" s="137"/>
      <c r="G15" s="137"/>
      <c r="H15"/>
    </row>
    <row r="16" spans="1:11" ht="27" customHeight="1">
      <c r="A16" s="140" t="s">
        <v>19</v>
      </c>
      <c r="B16" s="140"/>
      <c r="C16" s="140"/>
      <c r="D16" s="140"/>
      <c r="E16" s="140"/>
      <c r="F16" s="140"/>
      <c r="G16" s="140"/>
      <c r="H16"/>
    </row>
    <row r="17" spans="1:8" ht="30" customHeight="1">
      <c r="A17" s="128" t="s">
        <v>20</v>
      </c>
      <c r="B17" s="129"/>
      <c r="C17" s="129"/>
      <c r="D17" s="129"/>
      <c r="E17" s="129"/>
      <c r="F17" s="129"/>
      <c r="G17" s="129"/>
      <c r="H17"/>
    </row>
    <row r="18" spans="1:8" ht="27.75" customHeight="1">
      <c r="A18" s="141" t="s">
        <v>21</v>
      </c>
      <c r="B18" s="141"/>
      <c r="C18" s="141"/>
      <c r="D18" s="141"/>
      <c r="E18" s="141"/>
      <c r="F18" s="141"/>
      <c r="G18" s="141"/>
      <c r="H18"/>
    </row>
    <row r="19" spans="1:8" ht="27" customHeight="1">
      <c r="A19" s="135" t="s">
        <v>22</v>
      </c>
      <c r="B19" s="135"/>
      <c r="C19" s="135"/>
      <c r="D19" s="135"/>
      <c r="E19" s="135"/>
      <c r="F19" s="135"/>
      <c r="G19" s="135"/>
      <c r="H19"/>
    </row>
    <row r="20" spans="1:8" ht="27" customHeight="1">
      <c r="A20" s="136" t="s">
        <v>23</v>
      </c>
      <c r="B20" s="136"/>
      <c r="C20" s="136"/>
      <c r="D20" s="136"/>
      <c r="E20" s="136"/>
      <c r="F20" s="136"/>
      <c r="G20" s="136"/>
      <c r="H20"/>
    </row>
    <row r="21" spans="1:8" ht="27" customHeight="1">
      <c r="A21" s="137" t="s">
        <v>24</v>
      </c>
      <c r="B21" s="137"/>
      <c r="C21" s="137"/>
      <c r="D21" s="137"/>
      <c r="E21" s="137"/>
      <c r="F21" s="137"/>
      <c r="G21" s="137"/>
      <c r="H21"/>
    </row>
    <row r="22" spans="1:8" ht="27" customHeight="1">
      <c r="A22" s="138" t="s">
        <v>25</v>
      </c>
      <c r="B22" s="138"/>
      <c r="C22" s="138"/>
      <c r="D22" s="138"/>
      <c r="E22" s="138"/>
      <c r="F22" s="138"/>
      <c r="G22" s="138"/>
      <c r="H22"/>
    </row>
    <row r="23" spans="1:8" ht="27" customHeight="1">
      <c r="A23" s="139" t="s">
        <v>26</v>
      </c>
      <c r="B23" s="139"/>
      <c r="C23" s="139"/>
      <c r="D23" s="139"/>
      <c r="E23" s="139"/>
      <c r="F23" s="139"/>
      <c r="G23" s="139"/>
      <c r="H23"/>
    </row>
    <row r="24" spans="1:8" ht="24" customHeight="1">
      <c r="A24" s="132" t="s">
        <v>27</v>
      </c>
      <c r="B24" s="133"/>
      <c r="C24" s="133"/>
      <c r="D24" s="133"/>
      <c r="E24" s="133"/>
      <c r="F24" s="133"/>
      <c r="G24" s="133"/>
      <c r="H24"/>
    </row>
    <row r="25" spans="1:8" ht="45.75" customHeight="1">
      <c r="A25" s="134" t="s">
        <v>28</v>
      </c>
      <c r="B25" s="134"/>
      <c r="C25" s="134"/>
      <c r="D25" s="134"/>
      <c r="E25" s="134"/>
      <c r="F25" s="134"/>
      <c r="G25" s="134"/>
      <c r="H25"/>
    </row>
    <row r="26" spans="1:8" ht="24" customHeight="1">
      <c r="A26"/>
      <c r="B26"/>
      <c r="C26"/>
      <c r="D26"/>
      <c r="E26"/>
      <c r="F26"/>
      <c r="G26"/>
      <c r="H26"/>
    </row>
    <row r="27" spans="1:8">
      <c r="A27" s="7"/>
      <c r="B27"/>
      <c r="C27"/>
      <c r="D27"/>
      <c r="E27"/>
      <c r="F27"/>
      <c r="G27"/>
      <c r="H27"/>
    </row>
    <row r="28" spans="1:8">
      <c r="F28"/>
      <c r="G28"/>
      <c r="H28"/>
    </row>
    <row r="29" spans="1:8">
      <c r="F29"/>
      <c r="G29"/>
      <c r="H29"/>
    </row>
    <row r="30" spans="1:8">
      <c r="F30"/>
      <c r="G30"/>
      <c r="H30"/>
    </row>
    <row r="31" spans="1:8" ht="21.75" customHeight="1">
      <c r="F31"/>
      <c r="G31"/>
      <c r="H31"/>
    </row>
    <row r="32" spans="1:8" ht="21.75" customHeight="1">
      <c r="F32"/>
      <c r="G32"/>
      <c r="H32"/>
    </row>
    <row r="33" spans="1:8" ht="21.75" customHeight="1">
      <c r="F33"/>
      <c r="G33"/>
      <c r="H33"/>
    </row>
    <row r="34" spans="1:8" ht="21.75" customHeight="1">
      <c r="F34"/>
      <c r="G34"/>
      <c r="H34"/>
    </row>
    <row r="35" spans="1:8" ht="21.75" customHeight="1">
      <c r="F35"/>
      <c r="G35"/>
      <c r="H35"/>
    </row>
    <row r="36" spans="1:8" ht="21.75" customHeight="1">
      <c r="F36"/>
      <c r="G36"/>
      <c r="H36"/>
    </row>
    <row r="37" spans="1:8" ht="21.75" customHeight="1">
      <c r="F37"/>
      <c r="G37"/>
      <c r="H37"/>
    </row>
    <row r="38" spans="1:8" ht="21.75" customHeight="1">
      <c r="F38"/>
      <c r="G38"/>
      <c r="H38"/>
    </row>
    <row r="39" spans="1:8" ht="21.75" customHeight="1">
      <c r="F39"/>
      <c r="G39"/>
      <c r="H39"/>
    </row>
    <row r="40" spans="1:8" ht="21.75" customHeight="1">
      <c r="F40"/>
      <c r="G40"/>
      <c r="H40"/>
    </row>
    <row r="41" spans="1:8" ht="21.75" customHeight="1">
      <c r="F41"/>
      <c r="G41"/>
      <c r="H41"/>
    </row>
    <row r="42" spans="1:8" ht="21.75" customHeight="1">
      <c r="F42"/>
      <c r="G42"/>
      <c r="H42"/>
    </row>
    <row r="43" spans="1:8" ht="21.75" customHeight="1">
      <c r="F43"/>
      <c r="G43"/>
      <c r="H43"/>
    </row>
    <row r="44" spans="1:8" ht="21.75" customHeight="1">
      <c r="F44"/>
      <c r="G44"/>
      <c r="H44"/>
    </row>
    <row r="45" spans="1:8" ht="19.5" customHeight="1">
      <c r="A45" s="9"/>
    </row>
    <row r="46" spans="1:8">
      <c r="A46" s="9"/>
    </row>
    <row r="47" spans="1:8">
      <c r="A47" s="9"/>
    </row>
    <row r="48" spans="1:8">
      <c r="A48" s="9"/>
    </row>
  </sheetData>
  <sheetProtection algorithmName="SHA-512" hashValue="5TLvA3mSw//np+mCJFrwUF82eAs2QVrvg/8JlH/liWTxBWuRQUpQFF6HmIsfiYXfPQJeBBvgS5ZqupBQz7TATg==" saltValue="2fTaM1kScgxMRgL+Uyvi9g==" spinCount="100000" sheet="1" objects="1" scenarios="1"/>
  <mergeCells count="23">
    <mergeCell ref="B8:G8"/>
    <mergeCell ref="B9:G9"/>
    <mergeCell ref="A11:G11"/>
    <mergeCell ref="A12:G12"/>
    <mergeCell ref="B4:G4"/>
    <mergeCell ref="B5:G5"/>
    <mergeCell ref="B6:G6"/>
    <mergeCell ref="A17:G17"/>
    <mergeCell ref="A1:K1"/>
    <mergeCell ref="A2:K2"/>
    <mergeCell ref="A24:G24"/>
    <mergeCell ref="A25:G25"/>
    <mergeCell ref="A19:G19"/>
    <mergeCell ref="A20:G20"/>
    <mergeCell ref="A21:G21"/>
    <mergeCell ref="A22:G22"/>
    <mergeCell ref="A23:G23"/>
    <mergeCell ref="A13:G13"/>
    <mergeCell ref="A14:G14"/>
    <mergeCell ref="A15:G15"/>
    <mergeCell ref="A16:G16"/>
    <mergeCell ref="A18:G18"/>
    <mergeCell ref="B7:G7"/>
  </mergeCells>
  <pageMargins left="0.7" right="0.7" top="0.75" bottom="0.75" header="0.511811023622047" footer="0.511811023622047"/>
  <pageSetup paperSize="9" orientation="portrait" horizontalDpi="300" verticalDpi="300"/>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tabColor rgb="FF24726B"/>
  </sheetPr>
  <dimension ref="A1:E24"/>
  <sheetViews>
    <sheetView showGridLines="0" zoomScaleNormal="100" workbookViewId="0">
      <selection activeCell="K17" sqref="K17"/>
    </sheetView>
  </sheetViews>
  <sheetFormatPr baseColWidth="10" defaultColWidth="10.7109375" defaultRowHeight="15"/>
  <cols>
    <col min="1" max="1" width="3" style="1" customWidth="1"/>
    <col min="2" max="2" width="50" style="1" customWidth="1"/>
    <col min="3" max="3" width="24" style="1" customWidth="1"/>
    <col min="4" max="4" width="3" style="1" customWidth="1"/>
    <col min="5" max="5" width="50.28515625" style="1" customWidth="1"/>
  </cols>
  <sheetData>
    <row r="1" spans="1:5" ht="25.5" customHeight="1">
      <c r="A1" s="10" t="s">
        <v>29</v>
      </c>
      <c r="B1" s="10"/>
      <c r="C1" s="10"/>
      <c r="D1" s="10"/>
      <c r="E1" s="10"/>
    </row>
    <row r="2" spans="1:5">
      <c r="B2" s="8" t="s">
        <v>30</v>
      </c>
      <c r="C2" s="14" t="s">
        <v>2334</v>
      </c>
      <c r="E2" s="93" t="s">
        <v>31</v>
      </c>
    </row>
    <row r="3" spans="1:5">
      <c r="B3" s="8" t="s">
        <v>32</v>
      </c>
      <c r="C3" s="11" t="s">
        <v>33</v>
      </c>
      <c r="E3" s="93" t="s">
        <v>34</v>
      </c>
    </row>
    <row r="4" spans="1:5">
      <c r="B4" s="8" t="s">
        <v>35</v>
      </c>
      <c r="C4" s="12">
        <v>40179</v>
      </c>
      <c r="E4" s="93" t="s">
        <v>36</v>
      </c>
    </row>
    <row r="5" spans="1:5">
      <c r="B5" s="8" t="s">
        <v>37</v>
      </c>
      <c r="C5" s="12">
        <v>46023</v>
      </c>
      <c r="E5" s="93" t="s">
        <v>38</v>
      </c>
    </row>
    <row r="6" spans="1:5">
      <c r="B6" s="8" t="s">
        <v>39</v>
      </c>
      <c r="C6" s="11" t="s">
        <v>40</v>
      </c>
      <c r="E6" s="93" t="s">
        <v>41</v>
      </c>
    </row>
    <row r="7" spans="1:5" ht="28.5" customHeight="1">
      <c r="B7" s="105" t="s">
        <v>42</v>
      </c>
      <c r="C7" s="11"/>
      <c r="E7" s="93" t="s">
        <v>43</v>
      </c>
    </row>
    <row r="8" spans="1:5">
      <c r="B8" s="8" t="s">
        <v>44</v>
      </c>
      <c r="C8" s="11">
        <v>62</v>
      </c>
      <c r="E8" s="93" t="s">
        <v>45</v>
      </c>
    </row>
    <row r="9" spans="1:5">
      <c r="B9" s="8" t="s">
        <v>46</v>
      </c>
      <c r="C9" s="11">
        <v>168</v>
      </c>
      <c r="E9" s="93" t="s">
        <v>47</v>
      </c>
    </row>
    <row r="10" spans="1:5">
      <c r="B10" s="8" t="s">
        <v>48</v>
      </c>
      <c r="C10" s="11"/>
      <c r="E10" s="93" t="s">
        <v>49</v>
      </c>
    </row>
    <row r="11" spans="1:5">
      <c r="B11" s="8" t="s">
        <v>50</v>
      </c>
      <c r="C11" s="11">
        <v>62</v>
      </c>
      <c r="E11" s="93" t="s">
        <v>51</v>
      </c>
    </row>
    <row r="12" spans="1:5" ht="24" customHeight="1">
      <c r="B12" s="13" t="s">
        <v>52</v>
      </c>
      <c r="C12" s="14"/>
      <c r="E12" s="93" t="s">
        <v>53</v>
      </c>
    </row>
    <row r="13" spans="1:5" ht="24" customHeight="1">
      <c r="B13" s="15" t="s">
        <v>54</v>
      </c>
      <c r="C13" s="96"/>
      <c r="E13" s="93" t="s">
        <v>55</v>
      </c>
    </row>
    <row r="14" spans="1:5" ht="30" customHeight="1">
      <c r="A14" s="16"/>
      <c r="B14" s="97" t="s">
        <v>56</v>
      </c>
      <c r="C14" s="98" t="s">
        <v>40</v>
      </c>
      <c r="D14" s="16"/>
      <c r="E14" s="93" t="s">
        <v>57</v>
      </c>
    </row>
    <row r="15" spans="1:5" ht="30" customHeight="1">
      <c r="B15" s="99" t="s">
        <v>58</v>
      </c>
      <c r="C15" s="100" t="s">
        <v>59</v>
      </c>
      <c r="E15" s="93" t="s">
        <v>60</v>
      </c>
    </row>
    <row r="16" spans="1:5" ht="37.5" customHeight="1">
      <c r="B16" s="101" t="s">
        <v>61</v>
      </c>
      <c r="C16" s="102" t="s">
        <v>62</v>
      </c>
      <c r="D16" s="17"/>
      <c r="E16" s="93" t="s">
        <v>63</v>
      </c>
    </row>
    <row r="17" spans="2:5" ht="30" customHeight="1">
      <c r="B17" s="103" t="s">
        <v>64</v>
      </c>
      <c r="C17" s="98" t="s">
        <v>65</v>
      </c>
      <c r="E17" s="93" t="s">
        <v>66</v>
      </c>
    </row>
    <row r="18" spans="2:5" ht="30" customHeight="1">
      <c r="B18" s="103" t="s">
        <v>67</v>
      </c>
      <c r="C18" s="104" t="s">
        <v>68</v>
      </c>
      <c r="E18" s="94" t="s">
        <v>69</v>
      </c>
    </row>
    <row r="19" spans="2:5" ht="25.5" customHeight="1">
      <c r="B19" s="147" t="s">
        <v>70</v>
      </c>
      <c r="C19" s="148"/>
      <c r="D19" s="148"/>
      <c r="E19" s="149"/>
    </row>
    <row r="20" spans="2:5" ht="37.5" customHeight="1">
      <c r="B20" s="18" t="s">
        <v>71</v>
      </c>
      <c r="C20" s="14"/>
      <c r="E20" s="95" t="s">
        <v>72</v>
      </c>
    </row>
    <row r="21" spans="2:5" ht="37.5" customHeight="1">
      <c r="B21" s="18" t="s">
        <v>73</v>
      </c>
      <c r="C21" s="14"/>
      <c r="E21" s="93" t="s">
        <v>74</v>
      </c>
    </row>
    <row r="22" spans="2:5" ht="37.5" customHeight="1">
      <c r="B22" s="18" t="s">
        <v>75</v>
      </c>
      <c r="C22" s="14"/>
      <c r="E22" s="93" t="s">
        <v>76</v>
      </c>
    </row>
    <row r="23" spans="2:5" ht="37.5" customHeight="1">
      <c r="B23" s="18" t="s">
        <v>77</v>
      </c>
      <c r="C23" s="14"/>
      <c r="E23" s="93" t="s">
        <v>78</v>
      </c>
    </row>
    <row r="24" spans="2:5" ht="37.5" customHeight="1">
      <c r="B24" s="18" t="s">
        <v>79</v>
      </c>
      <c r="C24" s="14" t="s">
        <v>40</v>
      </c>
      <c r="E24" s="93" t="s">
        <v>80</v>
      </c>
    </row>
  </sheetData>
  <sheetProtection algorithmName="SHA-512" hashValue="bzJ6sMx6siCXPVFAI1vymiOxZZ29gZ7Lv/IyM10E891hTYgisKFjFghduKL5ZO1x4JDZOaEP2Tf2shIvUMZ0tQ==" saltValue="FQr41SQqO8ZceocmgfWnOg==" spinCount="100000" sheet="1" objects="1" scenarios="1"/>
  <protectedRanges>
    <protectedRange sqref="C20:C24" name="Rango2"/>
    <protectedRange sqref="C2:C18" name="Rango1"/>
  </protectedRanges>
  <mergeCells count="1">
    <mergeCell ref="B19:E19"/>
  </mergeCells>
  <dataValidations count="14">
    <dataValidation type="list" allowBlank="1" showInputMessage="1" showErrorMessage="1" sqref="C6" xr:uid="{00000000-0002-0000-0100-000000000000}">
      <formula1>"Sí,No"</formula1>
      <formula2>0</formula2>
    </dataValidation>
    <dataValidation type="list" allowBlank="1" showInputMessage="1" showErrorMessage="1" sqref="C3" xr:uid="{00000000-0002-0000-0100-000001000000}">
      <formula1>"Masculino,Femenino"</formula1>
      <formula2>0</formula2>
    </dataValidation>
    <dataValidation type="decimal" allowBlank="1" sqref="C8" xr:uid="{00000000-0002-0000-0100-000002000000}">
      <formula1>1</formula1>
      <formula2>150</formula2>
    </dataValidation>
    <dataValidation type="decimal" allowBlank="1" sqref="C9" xr:uid="{00000000-0002-0000-0100-000003000000}">
      <formula1>40</formula1>
      <formula2>210</formula2>
    </dataValidation>
    <dataValidation type="decimal" allowBlank="1" sqref="C10" xr:uid="{00000000-0002-0000-0100-000004000000}">
      <formula1>20</formula1>
      <formula2>70</formula2>
    </dataValidation>
    <dataValidation type="decimal" allowBlank="1" sqref="C11" xr:uid="{00000000-0002-0000-0100-000005000000}">
      <formula1>30</formula1>
      <formula2>150</formula2>
    </dataValidation>
    <dataValidation sqref="C12" xr:uid="{00000000-0002-0000-0100-000006000000}">
      <formula1>0</formula1>
      <formula2>6</formula2>
    </dataValidation>
    <dataValidation sqref="C13" xr:uid="{00000000-0002-0000-0100-000007000000}">
      <formula1>300</formula1>
      <formula2>8000</formula2>
    </dataValidation>
    <dataValidation type="list" sqref="C14" xr:uid="{00000000-0002-0000-0100-000008000000}">
      <formula1>"Sí,No"</formula1>
      <formula2>0</formula2>
    </dataValidation>
    <dataValidation type="list" sqref="C15" xr:uid="{00000000-0002-0000-0100-000009000000}">
      <formula1>"Automático por edad,Longitud,Estatura"</formula1>
      <formula2>0</formula2>
    </dataValidation>
    <dataValidation type="list" sqref="C16" xr:uid="{00000000-0002-0000-0100-00000A000000}">
      <formula1>"GENERAL,PREMATURIDAD,SINDROME_DOWN,PARALISIS_CEREBRAL,OTRA"</formula1>
      <formula2>0</formula2>
    </dataValidation>
    <dataValidation type="list" sqref="C17" xr:uid="{00000000-0002-0000-0100-00000B000000}">
      <formula1>"NO_EVALUADO,I,II,III,IV,V"</formula1>
      <formula2>0</formula2>
    </dataValidation>
    <dataValidation type="list" sqref="C18" xr:uid="{00000000-0002-0000-0100-00000C000000}">
      <formula1>"NO_REGISTRADO,I,II,III,IV,V"</formula1>
      <formula2>0</formula2>
    </dataValidation>
    <dataValidation type="list" sqref="C24" xr:uid="{00000000-0002-0000-0100-00000D000000}">
      <formula1>"No,Sí"</formula1>
      <formula2>0</formula2>
    </dataValidation>
  </dataValidations>
  <pageMargins left="0.7" right="0.7" top="0.75" bottom="0.75" header="0.511811023622047" footer="0.511811023622047"/>
  <pageSetup paperSize="9" orientation="portrait" horizontalDpi="300" verticalDpi="300"/>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Q57"/>
  <sheetViews>
    <sheetView showGridLines="0" zoomScaleNormal="100" workbookViewId="0"/>
  </sheetViews>
  <sheetFormatPr baseColWidth="10" defaultColWidth="10.7109375" defaultRowHeight="15"/>
  <cols>
    <col min="1" max="1" width="16" style="1" customWidth="1"/>
    <col min="2" max="2" width="35" style="1" customWidth="1"/>
    <col min="3" max="3" width="24" style="1" customWidth="1"/>
    <col min="4" max="4" width="34" style="1" customWidth="1"/>
    <col min="5" max="13" width="16" style="1" customWidth="1"/>
    <col min="14" max="14" width="11.42578125" style="1" customWidth="1"/>
    <col min="15" max="15" width="10.85546875" style="1" customWidth="1"/>
    <col min="16" max="16" width="21.5703125" style="1" customWidth="1"/>
    <col min="17" max="17" width="15.5703125" style="1" customWidth="1"/>
  </cols>
  <sheetData>
    <row r="1" spans="1:17" ht="18.75" customHeight="1">
      <c r="A1" s="159" t="s">
        <v>81</v>
      </c>
      <c r="B1" s="159"/>
      <c r="C1" s="159"/>
      <c r="D1" s="159"/>
    </row>
    <row r="2" spans="1:17" ht="25.5" customHeight="1">
      <c r="A2" s="10" t="s">
        <v>82</v>
      </c>
      <c r="B2" s="10"/>
      <c r="C2" s="10"/>
      <c r="D2" s="10"/>
      <c r="E2" s="10"/>
      <c r="F2" s="160" t="s">
        <v>83</v>
      </c>
      <c r="G2" s="160"/>
      <c r="H2" s="10"/>
      <c r="I2" s="160" t="s">
        <v>84</v>
      </c>
      <c r="J2" s="160"/>
      <c r="K2" s="10"/>
      <c r="L2" s="160" t="s">
        <v>85</v>
      </c>
      <c r="M2" s="160"/>
      <c r="N2" s="10"/>
      <c r="O2" s="10"/>
      <c r="P2" s="10"/>
      <c r="Q2" s="10"/>
    </row>
    <row r="3" spans="1:17">
      <c r="A3" s="151" t="s">
        <v>86</v>
      </c>
      <c r="B3" s="19" t="s">
        <v>87</v>
      </c>
      <c r="C3" s="20">
        <f>IF(OR(Ingreso!C4="",Ingreso!C5="",Ingreso!C5&lt;Ingreso!C4),"",DATEDIF(Ingreso!C4,Ingreso!C5,"m"))</f>
        <v>192</v>
      </c>
      <c r="F3" s="21" t="s">
        <v>88</v>
      </c>
      <c r="G3" s="21">
        <f>IFERROR(C8*(1+C9*C10*-3)^(1/C9), "")</f>
        <v>15.109256907669742</v>
      </c>
      <c r="I3" s="21" t="s">
        <v>89</v>
      </c>
      <c r="J3" s="21" t="str">
        <f>IFERROR(C13*(1+C14*C15*-3)^(1/C14), "")</f>
        <v/>
      </c>
      <c r="L3" s="21" t="s">
        <v>90</v>
      </c>
      <c r="M3" s="21">
        <f>IF(OR(C57&lt;&gt;"SÍ",C6&lt;0,C6&gt;228),"",IF(Ingreso!C3="Femenino",IFERROR(INDEX(Tablas_OMS!$V$2:$V$230,MATCH(C6,Tablas_OMS!$U$2:$U$230,0)),""),IF(Ingreso!C3="Masculino",IFERROR(INDEX(Tablas_OMS!$AC$2:$AC$230,MATCH(C6,Tablas_OMS!$AB$2:$AB$230,0)),""),"")))</f>
        <v>157.4</v>
      </c>
      <c r="P3" s="155" t="s">
        <v>91</v>
      </c>
      <c r="Q3" s="155"/>
    </row>
    <row r="4" spans="1:17" ht="15" customHeight="1">
      <c r="A4" s="151"/>
      <c r="B4" s="19" t="s">
        <v>92</v>
      </c>
      <c r="C4" s="20">
        <f>IF(OR(Ingreso!C4="",Ingreso!C5="",Ingreso!C5&lt;Ingreso!C4),"",DATEDIF(Ingreso!C4,Ingreso!C5,"md"))</f>
        <v>0</v>
      </c>
      <c r="F4" s="21" t="s">
        <v>93</v>
      </c>
      <c r="G4" s="21">
        <f>IFERROR(C8*(1+C9*C10*-2)^(1/C9), "")</f>
        <v>16.50491564950903</v>
      </c>
      <c r="I4" s="21" t="s">
        <v>94</v>
      </c>
      <c r="J4" s="21" t="str">
        <f>IFERROR(C13*(1+C14*C15*-2)^(1/C14), "")</f>
        <v/>
      </c>
      <c r="L4" s="21" t="s">
        <v>95</v>
      </c>
      <c r="M4" s="21">
        <f>IF(OR(C57&lt;&gt;"SÍ",C6&lt;0,C6&gt;228),"",IF(Ingreso!C3="Femenino",IFERROR(INDEX(Tablas_OMS!$W$2:$W$230,MATCH(C6,Tablas_OMS!$U$2:$U$230,0)),""),IF(Ingreso!C3="Masculino",IFERROR(INDEX(Tablas_OMS!$AD$2:$AD$230,MATCH(C6,Tablas_OMS!$AB$2:$AB$230,0)),""),"")))</f>
        <v>165.1</v>
      </c>
      <c r="P4" s="156" t="s">
        <v>96</v>
      </c>
      <c r="Q4" s="156"/>
    </row>
    <row r="5" spans="1:17">
      <c r="A5" s="151"/>
      <c r="B5" s="19" t="s">
        <v>97</v>
      </c>
      <c r="C5" s="20">
        <f>IF(C3="","",IF(C3&lt;60,IF(C4&lt;=15,C3,C3+1),C3))</f>
        <v>192</v>
      </c>
      <c r="F5" s="21" t="s">
        <v>98</v>
      </c>
      <c r="G5" s="21">
        <f>IFERROR(C8*(1+C9*C10*-1)^(1/C9), "")</f>
        <v>18.247380391883027</v>
      </c>
      <c r="I5" s="21" t="s">
        <v>99</v>
      </c>
      <c r="J5" s="21" t="str">
        <f>IFERROR(C13*(1+C14*C15*-1)^(1/C14), "")</f>
        <v/>
      </c>
      <c r="L5" s="21" t="s">
        <v>100</v>
      </c>
      <c r="M5" s="21">
        <f>IF(OR(C57&lt;&gt;"SÍ",C6&lt;0,C6&gt;228),"",IF(Ingreso!C3="Femenino",IFERROR(INDEX(Tablas_OMS!$X$2:$X$230,MATCH(C6,Tablas_OMS!$U$2:$U$230,0)),""),IF(Ingreso!C3="Masculino",IFERROR(INDEX(Tablas_OMS!$AE$2:$AE$230,MATCH(C6,Tablas_OMS!$AB$2:$AB$230,0)),""),"")))</f>
        <v>172.9</v>
      </c>
      <c r="P5" s="156"/>
      <c r="Q5" s="156"/>
    </row>
    <row r="6" spans="1:17">
      <c r="A6" s="151"/>
      <c r="B6" s="19" t="s">
        <v>101</v>
      </c>
      <c r="C6" s="20">
        <f>C50</f>
        <v>192</v>
      </c>
      <c r="F6" s="21" t="s">
        <v>102</v>
      </c>
      <c r="G6" s="22">
        <f>C8</f>
        <v>20.495100000000001</v>
      </c>
      <c r="I6" s="21" t="s">
        <v>103</v>
      </c>
      <c r="J6" s="21" t="str">
        <f>C13</f>
        <v/>
      </c>
      <c r="L6" s="21" t="s">
        <v>104</v>
      </c>
      <c r="M6" s="21">
        <f>IF(OR(C57&lt;&gt;"SÍ",C6&lt;0,C6&gt;228),"",IF(Ingreso!C3="Femenino",IFERROR(INDEX(Tablas_OMS!$Y$2:$Y$230,MATCH(C6,Tablas_OMS!$U$2:$U$230,0)),""),IF(Ingreso!C3="Masculino",IFERROR(INDEX(Tablas_OMS!$AF$2:$AF$230,MATCH(C6,Tablas_OMS!$AB$2:$AB$230,0)),""),"")))</f>
        <v>180.7</v>
      </c>
      <c r="P6" s="156"/>
      <c r="Q6" s="156"/>
    </row>
    <row r="7" spans="1:17">
      <c r="A7" s="151" t="s">
        <v>105</v>
      </c>
      <c r="B7" s="19" t="s">
        <v>106</v>
      </c>
      <c r="C7" s="23">
        <f>IF(OR(Ingreso!C8="",Ingreso!C9="",Ingreso!C8&lt;=0,Ingreso!C9&lt;=0),"",Ingreso!C8/((Ingreso!C9/100)^2))</f>
        <v>21.9671201814059</v>
      </c>
      <c r="F7" s="21" t="s">
        <v>107</v>
      </c>
      <c r="G7" s="21">
        <f>IFERROR(C8*(1+C9*C10*1)^(1/C9), "")</f>
        <v>23.52522741894003</v>
      </c>
      <c r="I7" s="21" t="s">
        <v>108</v>
      </c>
      <c r="J7" s="21" t="str">
        <f>IFERROR(C13*(1+C14*C15*1)^(1/C14), "")</f>
        <v/>
      </c>
      <c r="L7" s="21" t="s">
        <v>109</v>
      </c>
      <c r="M7" s="21">
        <f>IF(OR(C57&lt;&gt;"SÍ",C6&lt;0,C6&gt;228),"",IF(Ingreso!C3="Femenino",IFERROR(INDEX(Tablas_OMS!$Z$2:$Z$230,MATCH(C6,Tablas_OMS!$U$2:$U$230,0)),""),IF(Ingreso!C3="Masculino",IFERROR(INDEX(Tablas_OMS!$AG$2:$AG$230,MATCH(C6,Tablas_OMS!$AB$2:$AB$230,0)),""),"")))</f>
        <v>188.4</v>
      </c>
      <c r="P7" s="156"/>
      <c r="Q7" s="156"/>
    </row>
    <row r="8" spans="1:17" ht="15" customHeight="1">
      <c r="A8" s="151"/>
      <c r="B8" s="19" t="s">
        <v>110</v>
      </c>
      <c r="C8" s="23">
        <f>IF(OR(C57&lt;&gt;"SÍ",C6&lt;61,C6&gt;228),"",IF(Ingreso!C3="Femenino",IFERROR(INDEX(Tablas_OMS!$C$2:$C$169,MATCH(C6,Tablas_OMS!$A$2:$A$169,0)),""),IF(Ingreso!C3="Masculino",IFERROR(INDEX(Tablas_OMS!$H$2:$H$169,MATCH(C6,Tablas_OMS!$F$2:$F$169,0)),""),"")))</f>
        <v>20.495100000000001</v>
      </c>
      <c r="F8" s="21" t="s">
        <v>111</v>
      </c>
      <c r="G8" s="21">
        <f>IFERROR(C8*(1+C9*C10*2)^(1/C9), "")</f>
        <v>27.874755792032111</v>
      </c>
      <c r="I8" s="21" t="s">
        <v>112</v>
      </c>
      <c r="J8" s="21" t="str">
        <f>IFERROR(C13*(1+C14*C15*2)^(1/C14), "")</f>
        <v/>
      </c>
      <c r="P8" s="157" t="s">
        <v>113</v>
      </c>
      <c r="Q8" s="157"/>
    </row>
    <row r="9" spans="1:17">
      <c r="A9" s="151"/>
      <c r="B9" s="19" t="s">
        <v>114</v>
      </c>
      <c r="C9" s="23">
        <f>IF(OR(C57&lt;&gt;"SÍ",C6&lt;61,C6&gt;228),"",IF(Ingreso!C3="Femenino",IFERROR(INDEX(Tablas_OMS!$B$2:$B$169,MATCH(C6,Tablas_OMS!$A$2:$A$169,0)),""),IF(Ingreso!C3="Masculino",IFERROR(INDEX(Tablas_OMS!$G$2:$G$169,MATCH(C6,Tablas_OMS!$F$2:$F$169,0)),""),"")))</f>
        <v>-1.3529</v>
      </c>
      <c r="F9" s="21" t="s">
        <v>115</v>
      </c>
      <c r="G9" s="21">
        <f>IFERROR(C8*(1+C9*C10*3)^(1/C9), "")</f>
        <v>34.75353759496398</v>
      </c>
      <c r="I9" s="21" t="s">
        <v>116</v>
      </c>
      <c r="J9" s="21" t="str">
        <f>IFERROR(C13*(1+C14*C15*3)^(1/C14), "")</f>
        <v/>
      </c>
      <c r="P9" s="157"/>
      <c r="Q9" s="157"/>
    </row>
    <row r="10" spans="1:17">
      <c r="A10" s="151"/>
      <c r="B10" s="19" t="s">
        <v>117</v>
      </c>
      <c r="C10" s="23">
        <f>IF(OR(C57&lt;&gt;"SÍ",C6&lt;61,C6&gt;228),"",IF(Ingreso!C3="Femenino",IFERROR(INDEX(Tablas_OMS!$D$2:$D$169,MATCH(C6,Tablas_OMS!$A$2:$A$169,0)),""),IF(Ingreso!C3="Masculino",IFERROR(INDEX(Tablas_OMS!$I$2:$I$169,MATCH(C6,Tablas_OMS!$F$2:$F$169,0)),""),"")))</f>
        <v>0.12579000000000001</v>
      </c>
      <c r="P10" s="157"/>
      <c r="Q10" s="157"/>
    </row>
    <row r="11" spans="1:17">
      <c r="A11" s="151"/>
      <c r="B11" s="19" t="s">
        <v>118</v>
      </c>
      <c r="C11" s="23">
        <f>IF(OR(C7="",C8="",C9="",C10=""),"",IF(C9=0,LN(C7/C8)/C10,(((C7/C8)^C9)-1)/(C10*C9)))</f>
        <v>0.52632206984289309</v>
      </c>
    </row>
    <row r="12" spans="1:17" ht="15.75" customHeight="1">
      <c r="B12" s="158" t="s">
        <v>119</v>
      </c>
      <c r="C12" s="158"/>
    </row>
    <row r="13" spans="1:17">
      <c r="A13" s="151" t="s">
        <v>120</v>
      </c>
      <c r="B13" s="19" t="s">
        <v>121</v>
      </c>
      <c r="C13" s="23" t="str">
        <f>IF(OR(C57&lt;&gt;"SÍ",C6&lt;0,C6&gt;60),"",IF(Ingreso!C3="Femenino",IFERROR(INDEX(OMS_TABLAS_OFICIALES!$C$5:$C$65,MATCH(C6,OMS_TABLAS_OFICIALES!$A$5:$A$65,0)),""),IF(Ingreso!C3="Masculino",IFERROR(INDEX(OMS_TABLAS_OFICIALES!$H$5:$H$65,MATCH(C6,OMS_TABLAS_OFICIALES!$F$5:$F$65,0)),""),"")))</f>
        <v/>
      </c>
    </row>
    <row r="14" spans="1:17">
      <c r="A14" s="151"/>
      <c r="B14" s="19" t="s">
        <v>122</v>
      </c>
      <c r="C14" s="23" t="str">
        <f>IF(OR(C57&lt;&gt;"SÍ",C6&lt;0,C6&gt;60),"",IF(Ingreso!C3="Femenino",IFERROR(INDEX(OMS_TABLAS_OFICIALES!$B$5:$B$65,MATCH(C6,OMS_TABLAS_OFICIALES!$A$5:$A$65,0)),""),IF(Ingreso!C3="Masculino",IFERROR(INDEX(OMS_TABLAS_OFICIALES!$G$5:$G$65,MATCH(C6,OMS_TABLAS_OFICIALES!$F$5:$F$65,0)),""),"")))</f>
        <v/>
      </c>
    </row>
    <row r="15" spans="1:17">
      <c r="A15" s="151"/>
      <c r="B15" s="19" t="s">
        <v>123</v>
      </c>
      <c r="C15" s="23" t="str">
        <f>IF(OR(C57&lt;&gt;"SÍ",C6&lt;0,C6&gt;60),"",IF(Ingreso!C3="Femenino",IFERROR(INDEX(OMS_TABLAS_OFICIALES!$D$5:$D$65,MATCH(C6,OMS_TABLAS_OFICIALES!$A$5:$A$65,0)),""),IF(Ingreso!C3="Masculino",IFERROR(INDEX(OMS_TABLAS_OFICIALES!$I$5:$I$65,MATCH(C6,OMS_TABLAS_OFICIALES!$F$5:$F$65,0)),""),"")))</f>
        <v/>
      </c>
    </row>
    <row r="16" spans="1:17">
      <c r="A16" s="151"/>
      <c r="B16" s="19" t="s">
        <v>124</v>
      </c>
      <c r="C16" s="23" t="str">
        <f>IF(OR(Ingreso!C8="",C13="",C14="",C15=""),"",IF(C14=0,LN(Ingreso!C8/C13)/C15,(((Ingreso!C8/C13)^C14)-1)/(C15*C14)))</f>
        <v/>
      </c>
    </row>
    <row r="17" spans="1:3">
      <c r="C17" s="24"/>
    </row>
    <row r="18" spans="1:3">
      <c r="A18" s="151" t="s">
        <v>125</v>
      </c>
      <c r="B18" s="153" t="s">
        <v>126</v>
      </c>
      <c r="C18" s="153"/>
    </row>
    <row r="19" spans="1:3">
      <c r="A19" s="151"/>
      <c r="B19" s="19" t="s">
        <v>127</v>
      </c>
      <c r="C19" s="23">
        <f>1</f>
        <v>1</v>
      </c>
    </row>
    <row r="20" spans="1:3">
      <c r="A20" s="151"/>
      <c r="B20" s="19" t="s">
        <v>128</v>
      </c>
      <c r="C20" s="23">
        <f>M5</f>
        <v>172.9</v>
      </c>
    </row>
    <row r="21" spans="1:3">
      <c r="A21" s="151"/>
      <c r="B21" s="19" t="s">
        <v>129</v>
      </c>
      <c r="C21" s="23">
        <f>IFERROR((M6-M5)/M5, "")</f>
        <v>4.5112781954887118E-2</v>
      </c>
    </row>
    <row r="22" spans="1:3">
      <c r="A22" s="151"/>
      <c r="B22" s="19" t="s">
        <v>130</v>
      </c>
      <c r="C22" s="23">
        <f>IF(OR(M3="",M4="",M5="",M6="",M7="",Ingreso!C9=""),"",IF(Ingreso!C9&lt;M4,-1+(Ingreso!C9-M4)/(M4-M3),IF(Ingreso!C9&lt;M5,(Ingreso!C9-M5)/(M5-M4),IF(Ingreso!C9&lt;M6,(Ingreso!C9-M5)/(M6-M5),1+(Ingreso!C9-M6)/(M7-M6)))))</f>
        <v>-0.62820512820512797</v>
      </c>
    </row>
    <row r="23" spans="1:3">
      <c r="C23" s="24"/>
    </row>
    <row r="24" spans="1:3" ht="15" customHeight="1">
      <c r="A24" s="154" t="s">
        <v>131</v>
      </c>
      <c r="B24" s="19" t="s">
        <v>132</v>
      </c>
      <c r="C24" s="23" t="str">
        <f>IF(OR(C57&lt;&gt;"SÍ",C6&lt;0,C6&gt;60,AND(C6&gt;36,Ingreso!C24&lt;&gt;"Sí")),"",IF(Ingreso!C3="Femenino",IFERROR(INDEX(OMS_PCE_0_60!$G$5:$G$65,MATCH(C6,OMS_PCE_0_60!$A$5:$A$65,0)),""),IF(Ingreso!C3="Masculino",IFERROR(INDEX(OMS_PCE_0_60!$T$5:$T$65,MATCH(C6,OMS_PCE_0_60!$N$5:$N$65,0)),""),"")))</f>
        <v/>
      </c>
    </row>
    <row r="25" spans="1:3">
      <c r="A25" s="154"/>
      <c r="B25" s="19" t="s">
        <v>133</v>
      </c>
      <c r="C25" s="23" t="str">
        <f>IF(OR(C57&lt;&gt;"SÍ",C6&lt;0,C6&gt;60,AND(C6&gt;36,Ingreso!C24&lt;&gt;"Sí")),"",IF(Ingreso!C3="Femenino",IFERROR(INDEX(OMS_PCE_0_60!$H$5:$H$65,MATCH(C6,OMS_PCE_0_60!$A$5:$A$65,0)),""),IF(Ingreso!C3="Masculino",IFERROR(INDEX(OMS_PCE_0_60!$U$5:$U$65,MATCH(C6,OMS_PCE_0_60!$N$5:$N$65,0)),""),"")))</f>
        <v/>
      </c>
    </row>
    <row r="26" spans="1:3">
      <c r="A26" s="154"/>
      <c r="B26" s="19" t="s">
        <v>134</v>
      </c>
      <c r="C26" s="23" t="str">
        <f>IF(OR(C57&lt;&gt;"SÍ",C6&lt;0,C6&gt;60,AND(C6&gt;36,Ingreso!C24&lt;&gt;"Sí")),"",IF(Ingreso!C3="Femenino",IFERROR(INDEX(OMS_PCE_0_60!$I$5:$I$65,MATCH(C6,OMS_PCE_0_60!$A$5:$A$65,0)),""),IF(Ingreso!C3="Masculino",IFERROR(INDEX(OMS_PCE_0_60!$V$5:$V$65,MATCH(C6,OMS_PCE_0_60!$N$5:$N$65,0)),""),"")))</f>
        <v/>
      </c>
    </row>
    <row r="27" spans="1:3">
      <c r="A27" s="154"/>
      <c r="B27" s="19" t="s">
        <v>135</v>
      </c>
      <c r="C27" s="23" t="str">
        <f>IF(OR(C57&lt;&gt;"SÍ",C6&lt;0,C6&gt;60,AND(C6&gt;36,Ingreso!C24&lt;&gt;"Sí")),"",IF(Ingreso!C3="Femenino",IFERROR(INDEX(OMS_PCE_0_60!$J$5:$J$65,MATCH(C6,OMS_PCE_0_60!$A$5:$A$65,0)),""),IF(Ingreso!C3="Masculino",IFERROR(INDEX(OMS_PCE_0_60!$W$5:$W$65,MATCH(C6,OMS_PCE_0_60!$N$5:$N$65,0)),""),"")))</f>
        <v/>
      </c>
    </row>
    <row r="28" spans="1:3">
      <c r="A28" s="154"/>
      <c r="B28" s="19" t="s">
        <v>136</v>
      </c>
      <c r="C28" s="23" t="str">
        <f>IF(OR(C57&lt;&gt;"SÍ",C6&lt;0,C6&gt;60,AND(C6&gt;36,Ingreso!C24&lt;&gt;"Sí")),"",IF(Ingreso!C3="Femenino",IFERROR(INDEX(OMS_PCE_0_60!$K$5:$K$65,MATCH(C6,OMS_PCE_0_60!$A$5:$A$65,0)),""),IF(Ingreso!C3="Masculino",IFERROR(INDEX(OMS_PCE_0_60!$X$5:$X$65,MATCH(C6,OMS_PCE_0_60!$N$5:$N$65,0)),""),"")))</f>
        <v/>
      </c>
    </row>
    <row r="29" spans="1:3">
      <c r="B29" s="1" t="s">
        <v>137</v>
      </c>
      <c r="C29" s="24" t="str">
        <f>IF(OR(C24="",C25="",C26="",C27="",C28="",Ingreso!C10=""),"",IF(Ingreso!C10&lt;C25,-1+(Ingreso!C10-C25)/(C25-C24),IF(Ingreso!C10&lt;C26,(Ingreso!C10-C26)/(C26-C25),IF(Ingreso!C10&lt;C27,(Ingreso!C10-C26)/(C27-C26),1+(Ingreso!C10-C27)/(C28-C27)))))</f>
        <v/>
      </c>
    </row>
    <row r="30" spans="1:3">
      <c r="A30" s="151" t="s">
        <v>138</v>
      </c>
      <c r="B30" s="19" t="s">
        <v>139</v>
      </c>
      <c r="C30" s="23" t="str">
        <f>IF(OR(C57&lt;&gt;"SÍ",C6&lt;0,C6&gt;60,C54=""),"",IF(C6&lt;24,IF(Ingreso!C3="Femenino",IFERROR(INDEX(OMS_TABLAS_OFICIALES!$M$5:$M$135,MATCH(C54,OMS_TABLAS_OFICIALES!$K$5:$K$135,0)),""),IF(Ingreso!C3="Masculino",IFERROR(INDEX(OMS_TABLAS_OFICIALES!$R$5:$R$135,MATCH(C54,OMS_TABLAS_OFICIALES!$P$5:$P$135,0)),""),"")),IF(Ingreso!C3="Femenino",IFERROR(INDEX(OMS_TABLAS_OFICIALES!$W$5:$W$115,MATCH(C54,OMS_TABLAS_OFICIALES!$U$5:$U$115,0)),""),IF(Ingreso!C3="Masculino",IFERROR(INDEX(OMS_TABLAS_OFICIALES!$AB$5:$AB$115,MATCH(C54,OMS_TABLAS_OFICIALES!$Z$5:$Z$115,0)),""),""))))</f>
        <v/>
      </c>
    </row>
    <row r="31" spans="1:3">
      <c r="A31" s="151"/>
      <c r="B31" s="19" t="s">
        <v>140</v>
      </c>
      <c r="C31" s="23" t="str">
        <f>IF(OR(C57&lt;&gt;"SÍ",C6&lt;0,C6&gt;60,C54=""),"",IF(C6&lt;24,IF(Ingreso!C3="Femenino",IFERROR(INDEX(OMS_TABLAS_OFICIALES!$L$5:$L$135,MATCH(C54,OMS_TABLAS_OFICIALES!$K$5:$K$135,0)),""),IF(Ingreso!C3="Masculino",IFERROR(INDEX(OMS_TABLAS_OFICIALES!$Q$5:$Q$135,MATCH(C54,OMS_TABLAS_OFICIALES!$P$5:$P$135,0)),""),"")),IF(Ingreso!C3="Femenino",IFERROR(INDEX(OMS_TABLAS_OFICIALES!$V$5:$V$115,MATCH(C54,OMS_TABLAS_OFICIALES!$U$5:$U$115,0)),""),IF(Ingreso!C3="Masculino",IFERROR(INDEX(OMS_TABLAS_OFICIALES!$AA$5:$AA$115,MATCH(C54,OMS_TABLAS_OFICIALES!$Z$5:$Z$115,0)),""),""))))</f>
        <v/>
      </c>
    </row>
    <row r="32" spans="1:3">
      <c r="A32" s="151"/>
      <c r="B32" s="19" t="s">
        <v>141</v>
      </c>
      <c r="C32" s="23" t="str">
        <f>IF(OR(C57&lt;&gt;"SÍ",C6&lt;0,C6&gt;60,C54=""),"",IF(C6&lt;24,IF(Ingreso!C3="Femenino",IFERROR(INDEX(OMS_TABLAS_OFICIALES!$N$5:$N$135,MATCH(C54,OMS_TABLAS_OFICIALES!$K$5:$K$135,0)),""),IF(Ingreso!C3="Masculino",IFERROR(INDEX(OMS_TABLAS_OFICIALES!$S$5:$S$135,MATCH(C54,OMS_TABLAS_OFICIALES!$P$5:$P$135,0)),""),"")),IF(Ingreso!C3="Femenino",IFERROR(INDEX(OMS_TABLAS_OFICIALES!$X$5:$X$115,MATCH(C54,OMS_TABLAS_OFICIALES!$U$5:$U$115,0)),""),IF(Ingreso!C3="Masculino",IFERROR(INDEX(OMS_TABLAS_OFICIALES!$AC$5:$AC$115,MATCH(C54,OMS_TABLAS_OFICIALES!$Z$5:$Z$115,0)),""),""))))</f>
        <v/>
      </c>
    </row>
    <row r="33" spans="1:8">
      <c r="A33" s="151"/>
      <c r="B33" s="19" t="s">
        <v>142</v>
      </c>
      <c r="C33" s="23" t="str">
        <f>IF(OR(Ingreso!C8="",C30="",C31="",C32=""),"",IF(C31=0,LN(Ingreso!C8/C30)/C32,(((Ingreso!C8/C30)^C31)-1)/(C32*C31)))</f>
        <v/>
      </c>
    </row>
    <row r="34" spans="1:8">
      <c r="C34" s="24"/>
    </row>
    <row r="35" spans="1:8">
      <c r="A35" s="150" t="s">
        <v>143</v>
      </c>
      <c r="B35" s="150"/>
      <c r="C35" s="23">
        <f>IF(OR(C57&lt;&gt;"SÍ",C6="",C6&gt;228),"",IF(C6&lt;12,IF(C33&gt;=1,C33,C16),IF(C6&lt;=60,C33,C11)))</f>
        <v>0.52632206984289309</v>
      </c>
    </row>
    <row r="36" spans="1:8">
      <c r="A36" s="151" t="s">
        <v>144</v>
      </c>
      <c r="B36" s="19" t="s">
        <v>145</v>
      </c>
      <c r="C36" s="25">
        <f>IF(OR(Ingreso!C4="",Ingreso!C5="",Ingreso!C5&lt;Ingreso!C4),"",DATEDIF(Ingreso!C4,Ingreso!C5,"Y"))</f>
        <v>16</v>
      </c>
    </row>
    <row r="37" spans="1:8">
      <c r="A37" s="151"/>
      <c r="B37" s="19" t="s">
        <v>146</v>
      </c>
      <c r="C37" s="23">
        <f>IF(OR(C57&lt;&gt;"SÍ",C36&lt;5,C36&gt;18),"",IF(Ingreso!C3="Femenino",IFERROR(INDEX(Tablas_OMS!$BU$2:$BU$15,MATCH(C36,Tablas_OMS!$BQ$2:$BQ$15,0)),""),IF(Ingreso!C3="Masculino",IFERROR(INDEX(Tablas_OMS!$CB$2:$CB$15,MATCH(C36,Tablas_OMS!$BX$2:$BX$15,0)),""),"")))</f>
        <v>84.5</v>
      </c>
    </row>
    <row r="38" spans="1:8">
      <c r="A38" s="151"/>
      <c r="B38" s="19" t="s">
        <v>147</v>
      </c>
      <c r="C38" s="23">
        <f>IF(OR(C57&lt;&gt;"SÍ",C36&lt;5,C36&gt;18),"",IF(Ingreso!C3="Femenino",IFERROR(INDEX(Tablas_OMS!$BV$2:$BV$15,MATCH(C36,Tablas_OMS!$BQ$2:$BQ$15,0)),""),IF(Ingreso!C3="Masculino",IFERROR(INDEX(Tablas_OMS!$CC$2:$CC$15,MATCH(C36,Tablas_OMS!$BX$2:$BX$15,0)),""),"")))</f>
        <v>98.4</v>
      </c>
    </row>
    <row r="40" spans="1:8" ht="24" customHeight="1">
      <c r="A40" s="152" t="s">
        <v>148</v>
      </c>
      <c r="B40" s="152"/>
      <c r="C40" s="152"/>
      <c r="D40" s="152"/>
      <c r="E40" s="152"/>
      <c r="F40" s="152"/>
      <c r="G40" s="152"/>
      <c r="H40" s="152"/>
    </row>
    <row r="41" spans="1:8">
      <c r="B41" s="26" t="s">
        <v>149</v>
      </c>
      <c r="C41" s="27">
        <f>IF(OR(Ingreso!C4="",Ingreso!C5="",Ingreso!C5&lt;Ingreso!C4),"",Ingreso!C5-Ingreso!C4)</f>
        <v>5844</v>
      </c>
      <c r="D41" s="28" t="s">
        <v>150</v>
      </c>
    </row>
    <row r="42" spans="1:8">
      <c r="B42" s="26" t="s">
        <v>151</v>
      </c>
      <c r="C42" s="27" t="str">
        <f>IF(Ingreso!C7="","",Ingreso!C7*7+IF(Ingreso!C12="",0,Ingreso!C12))</f>
        <v/>
      </c>
      <c r="D42" s="28" t="s">
        <v>152</v>
      </c>
    </row>
    <row r="43" spans="1:8">
      <c r="B43" s="26" t="s">
        <v>153</v>
      </c>
      <c r="C43" s="27" t="str">
        <f>IF(C42="","",MAX(0,280-C42))</f>
        <v/>
      </c>
      <c r="D43" s="28" t="s">
        <v>154</v>
      </c>
    </row>
    <row r="44" spans="1:8">
      <c r="B44" s="26" t="s">
        <v>155</v>
      </c>
      <c r="C44" s="27" t="str">
        <f>IF(Ingreso!C6&lt;&gt;"Sí","NO_APLICA",IF(OR(Ingreso!C7="",Ingreso!C13=""),"PENDIENTE_DATO",IF(OR(Ingreso!C7&lt;20,Ingreso!C7&gt;42,IF(Ingreso!C12="",0,Ingreso!C12)&lt;0,IF(Ingreso!C12="",0,Ingreso!C12)&gt;6,Ingreso!C13&lt;300,Ingreso!C13&gt;8000),"DATO_INVALIDO",IF(OR(C42&lt;224,Ingreso!C13&lt;1500),"RNMBP",IF(AND(C42&gt;=224,C42&lt;=237,Ingreso!C13&gt;=1500),"PREMATURO_MODERADO",IF(AND(C42&gt;=238,C42&lt;=258,Ingreso!C13&gt;=1500),"PREMATURO_TARDÍO","FUERA_CRITERIO_NT218"))))))</f>
        <v>NO_APLICA</v>
      </c>
      <c r="D44" s="28" t="s">
        <v>156</v>
      </c>
    </row>
    <row r="45" spans="1:8">
      <c r="B45" s="26" t="s">
        <v>157</v>
      </c>
      <c r="C45" s="27" t="str">
        <f>IF(C44="RNMBP",24,IF(C44="PREMATURO_MODERADO",12,IF(C44="PREMATURO_TARDÍO",6,"")))</f>
        <v/>
      </c>
      <c r="D45" s="28" t="s">
        <v>158</v>
      </c>
    </row>
    <row r="46" spans="1:8">
      <c r="B46" s="26" t="s">
        <v>159</v>
      </c>
      <c r="C46" s="29" t="str">
        <f>IF(OR(C44="RNMBP",C44="PREMATURO_MODERADO",C44="PREMATURO_TARDÍO"),Ingreso!C4+C43,"")</f>
        <v/>
      </c>
      <c r="D46" s="28" t="s">
        <v>160</v>
      </c>
    </row>
    <row r="47" spans="1:8">
      <c r="B47" s="26" t="s">
        <v>161</v>
      </c>
      <c r="C47" s="30" t="str">
        <f>IF(C46="","",IF(Ingreso!C5&lt;=DATE(YEAR(C46),MONTH(C46)+C45,DAY(C46)),MAX(0,Ingreso!C5-C46),C41))</f>
        <v/>
      </c>
      <c r="D47" s="28" t="s">
        <v>162</v>
      </c>
    </row>
    <row r="48" spans="1:8">
      <c r="B48" s="26" t="s">
        <v>163</v>
      </c>
      <c r="C48" s="30" t="str">
        <f>IF(C46="","",IF(Ingreso!C5&lt;=DATE(YEAR(C46),MONTH(C46)+C45,DAY(C46)),IF(Ingreso!C5&lt;C46,0,DATEDIF(C46,Ingreso!C5,"m")),C3))</f>
        <v/>
      </c>
      <c r="D48" s="28"/>
    </row>
    <row r="49" spans="2:4">
      <c r="B49" s="26" t="s">
        <v>164</v>
      </c>
      <c r="C49" s="30" t="str">
        <f>IF(C46="","",IF(Ingreso!C5&lt;=DATE(YEAR(C46),MONTH(C46)+C45,DAY(C46)),IF(Ingreso!C5&lt;C46,0,DATEDIF(C46,Ingreso!C5,"md")),C4))</f>
        <v/>
      </c>
      <c r="D49" s="28"/>
    </row>
    <row r="50" spans="2:4">
      <c r="B50" s="26" t="s">
        <v>165</v>
      </c>
      <c r="C50" s="30">
        <f>IF(C3="","",IF(Ingreso!C6&lt;&gt;"Sí",C5,IF(OR(C44="PENDIENTE_DATO",C44="DATO_INVALIDO",C44="FUERA_CRITERIO_NT218"),"",IF(Ingreso!C5&lt;=DATE(YEAR(C46),MONTH(C46)+C45,DAY(C46)),IF(C48&lt;60,IF(C49&lt;=15,C48,C48+1),C48),C5))))</f>
        <v>192</v>
      </c>
      <c r="D50" s="28" t="s">
        <v>166</v>
      </c>
    </row>
    <row r="51" spans="2:4">
      <c r="B51" s="26" t="s">
        <v>167</v>
      </c>
      <c r="C51" s="31" t="str">
        <f>IF(Ingreso!C6&lt;&gt;"Sí","EDAD_CRONOLÓGICA",IF(C44="PENDIENTE_DATO","PENDIENTE_DATO",IF(C44="DATO_INVALIDO","DATO_INVALIDO",IF(C44="FUERA_CRITERIO_NT218","FUERA_CRITERIO",IF(Ingreso!C5&lt;=DATE(YEAR(C46),MONTH(C46)+C45,DAY(C46)),"EDAD_CORREGIDA_APLICADA","CORRECCIÓN_FINALIZADA")))))</f>
        <v>EDAD_CRONOLÓGICA</v>
      </c>
      <c r="D51" s="28"/>
    </row>
    <row r="52" spans="2:4">
      <c r="B52" s="26" t="s">
        <v>168</v>
      </c>
      <c r="C52" s="31" t="str">
        <f>IF(C50="","PENDIENTE",IF(C50&lt;=60,"OMS 2006 · 0–60 meses",IF(C50&lt;=228,"OMS 2007 · 61–228 meses","FUERA_DE_DOMINIO &gt;228 meses")))</f>
        <v>OMS 2007 · 61–228 meses</v>
      </c>
      <c r="D52" s="28"/>
    </row>
    <row r="53" spans="2:4">
      <c r="B53" s="26" t="s">
        <v>169</v>
      </c>
      <c r="C53" s="31" t="str">
        <f>IF(OR(Ingreso!C4="",Ingreso!C5=""),"FALTAN_FECHAS",IF(Ingreso!C5&lt;Ingreso!C4,"FECHAS_INVÁLIDAS",IF(AND(Ingreso!C3&lt;&gt;"Masculino",Ingreso!C3&lt;&gt;"Femenino"),"SEXO_INVÁLIDO",IF(Ingreso!C16="","POBLACIÓN_NO_SELECCIONADA",IF(AND(Ingreso!C16&lt;&gt;"GENERAL",Ingreso!C16&lt;&gt;"PREMATURIDAD",Ingreso!C16&lt;&gt;"SINDROME_DOWN",Ingreso!C16&lt;&gt;"PARALISIS_CEREBRAL",Ingreso!C16&lt;&gt;"OTRA"),"POBLACIÓN_INVÁLIDA",IF(AND(Ingreso!C16="GENERAL",OR(Ingreso!C6="Sí",Ingreso!C14="Sí")),"SELECTOR_NO_COINCIDE",IF(AND(Ingreso!C16="PREMATURIDAD",Ingreso!C6&lt;&gt;"Sí"),"SELECTOR_REQUIERE_PREMATURO_SÍ",IF(AND(Ingreso!C16="PREMATURIDAD",Ingreso!C14="Sí"),"SELECCIONE_SINDROME_DOWN",IF(AND(Ingreso!C16="SINDROME_DOWN",Ingreso!C14&lt;&gt;"Sí"),"SELECTOR_REQUIERE_DOWN_SÍ",IF(Ingreso!C16="SINDROME_DOWN",DOWN_INTEGRADO!B21,IF(Ingreso!C16="PARALISIS_CEREBRAL","FUENTE_VERIFICADA · MOTOR_NO_AUTOMATIZADO",IF(Ingreso!C16="OTRA","FUENTE_ESPECÍFICA_REQUERIDA",IF(C50="","EDAD_NO_RESUELTA",IF(C50&gt;228,"EDAD_FUERA_DE_RANGO",IF(OR(Ingreso!C8="",Ingreso!C9=""),"FALTAN_PESO_TALLA",IF(OR(Ingreso!C8&lt;=0,Ingreso!C9&lt;=0),"MEDICIÓN_INVÁLIDA",IF(AND(C50&lt;=60,OR(C54&lt;IF(C50&lt;24,45,65),C54&gt;IF(C50&lt;24,110,120))),"TALLA_FUERA_DOMINIO_PESO_TALLA","OK")))))))))))))))))</f>
        <v>OK</v>
      </c>
      <c r="D53" s="28"/>
    </row>
    <row r="54" spans="2:4">
      <c r="B54" s="26" t="s">
        <v>170</v>
      </c>
      <c r="C54" s="32">
        <f>IF(OR(Ingreso!C9="",Ingreso!C9&lt;=0),"",ROUND(Ingreso!C9*2,0)/2)</f>
        <v>168</v>
      </c>
      <c r="D54" s="28" t="s">
        <v>171</v>
      </c>
    </row>
    <row r="55" spans="2:4">
      <c r="B55" s="26" t="s">
        <v>172</v>
      </c>
      <c r="C55" s="31" t="str">
        <f>IF(C50="","",IF(C50&lt;24,"LONGITUD",IF(C50&lt;=60,"ESTATURA","NO_APLICA_P/T")))</f>
        <v>NO_APLICA_P/T</v>
      </c>
      <c r="D55" s="28" t="s">
        <v>173</v>
      </c>
    </row>
    <row r="56" spans="2:4">
      <c r="B56" s="26" t="s">
        <v>174</v>
      </c>
      <c r="C56" s="31" t="str">
        <f>IF(C55="","",IF(Ingreso!C15="Automático por edad","OK",IF(Ingreso!C15=C55,"OK","ALERTA_TÉCNICA_NO_COINCIDE_CON_EDAD")))</f>
        <v>OK</v>
      </c>
      <c r="D56" s="28"/>
    </row>
    <row r="57" spans="2:4" ht="45">
      <c r="B57" s="26" t="s">
        <v>175</v>
      </c>
      <c r="C57" s="31" t="str">
        <f>IF(OR(Ingreso!C16="GENERAL",Ingreso!C16="PREMATURIDAD"),"SÍ","NO")</f>
        <v>SÍ</v>
      </c>
      <c r="D57" s="28" t="s">
        <v>176</v>
      </c>
    </row>
  </sheetData>
  <mergeCells count="18">
    <mergeCell ref="A1:D1"/>
    <mergeCell ref="F2:G2"/>
    <mergeCell ref="I2:J2"/>
    <mergeCell ref="L2:M2"/>
    <mergeCell ref="A3:A6"/>
    <mergeCell ref="P3:Q3"/>
    <mergeCell ref="P4:Q7"/>
    <mergeCell ref="A7:A11"/>
    <mergeCell ref="P8:Q10"/>
    <mergeCell ref="B12:C12"/>
    <mergeCell ref="A35:B35"/>
    <mergeCell ref="A36:A38"/>
    <mergeCell ref="A40:H40"/>
    <mergeCell ref="A13:A16"/>
    <mergeCell ref="A18:A22"/>
    <mergeCell ref="B18:C18"/>
    <mergeCell ref="A24:A28"/>
    <mergeCell ref="A30:A33"/>
  </mergeCells>
  <pageMargins left="0.7" right="0.7" top="0.75" bottom="0.75" header="0.511811023622047" footer="0.511811023622047"/>
  <pageSetup paperSize="9" orientation="portrait" horizontalDpi="300" verticalDpi="300"/>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J23"/>
  <sheetViews>
    <sheetView showGridLines="0" zoomScale="85" zoomScaleNormal="85" workbookViewId="0">
      <selection activeCell="L9" sqref="L9"/>
    </sheetView>
  </sheetViews>
  <sheetFormatPr baseColWidth="10" defaultColWidth="10.7109375" defaultRowHeight="15"/>
  <cols>
    <col min="1" max="1" width="3" style="1" customWidth="1"/>
    <col min="2" max="2" width="34" style="1" customWidth="1"/>
    <col min="3" max="3" width="14" style="1" customWidth="1"/>
    <col min="4" max="5" width="29" style="1" customWidth="1"/>
    <col min="6" max="6" width="48" style="1" customWidth="1"/>
    <col min="7" max="7" width="27" style="1" customWidth="1"/>
    <col min="8" max="8" width="30" style="1" customWidth="1"/>
    <col min="9" max="9" width="16" style="1" customWidth="1"/>
    <col min="10" max="10" width="12" style="1" customWidth="1"/>
  </cols>
  <sheetData>
    <row r="1" spans="1:10" ht="30" customHeight="1">
      <c r="A1" s="164" t="s">
        <v>177</v>
      </c>
      <c r="B1" s="164"/>
      <c r="C1" s="164"/>
      <c r="D1" s="164"/>
      <c r="E1" s="164"/>
      <c r="F1" s="164"/>
      <c r="G1" s="164"/>
      <c r="H1" s="164"/>
      <c r="I1" s="10"/>
      <c r="J1" s="10"/>
    </row>
    <row r="2" spans="1:10" ht="42" customHeight="1">
      <c r="B2" s="33" t="s">
        <v>178</v>
      </c>
      <c r="C2" s="34" t="s">
        <v>179</v>
      </c>
      <c r="D2" s="34" t="s">
        <v>180</v>
      </c>
      <c r="E2" s="34" t="s">
        <v>181</v>
      </c>
      <c r="F2" s="34" t="s">
        <v>182</v>
      </c>
      <c r="G2" s="35" t="s">
        <v>183</v>
      </c>
      <c r="H2" s="36" t="s">
        <v>184</v>
      </c>
    </row>
    <row r="3" spans="1:10" ht="42" customHeight="1">
      <c r="B3" s="111" t="s">
        <v>185</v>
      </c>
      <c r="C3" s="107">
        <f>Cálculos!C11</f>
        <v>0.52632206984289309</v>
      </c>
      <c r="D3" s="112" t="str">
        <f>IF(C3="","",IF(C3&lt;-3,"Delgadez severa",IF(C3&lt;-2,"Delgadez",IF(C3&lt;=1,"Normal",IF(C3&lt;=2,"Sobrepeso","Obesidad")))))</f>
        <v>Normal</v>
      </c>
      <c r="E3" s="113" t="str">
        <f>IF(C3="","",IF(C3&lt;=-2,"Desnutrición",IF(C3&lt;=-1,"Riesgo de desnutrir",IF(C3&lt;1,"Normal",IF(C3&lt;2,"Sobrepeso",IF(C3&lt;3,"Obesidad","Obesidad severa"))))))</f>
        <v>Normal</v>
      </c>
      <c r="F3" s="111" t="s">
        <v>186</v>
      </c>
      <c r="G3" s="111" t="str">
        <f>IF(OR(Ingreso!C16="SINDROME_DOWN",Ingreso!C16="PARALISIS_CEREBRAL",Ingreso!C16="OTRA"),"REFERENCIA_NO_IMPLEMENTADA",IF(AND(Cálculos!C6&gt;=61,Cálculos!C6&lt;=228),IF(C3="","PENDIENTE_DATO","APLICA"),"FUERA_DE_DOMINIO"))</f>
        <v>APLICA</v>
      </c>
      <c r="H3" s="114" t="str">
        <f>IF(OR(G3="APLICA",G3="NO_APLICA",G3="EDAD_CRONOLÓGICA",G3="CORRECCIÓN_FINALIZADA"),"OK",G3)</f>
        <v>OK</v>
      </c>
    </row>
    <row r="4" spans="1:10" ht="42" customHeight="1">
      <c r="B4" s="111" t="s">
        <v>120</v>
      </c>
      <c r="C4" s="107" t="str">
        <f>Cálculos!C16</f>
        <v/>
      </c>
      <c r="D4" s="112" t="str">
        <f>IF(C4="","",IF(C4&lt;-3,"Bajo peso severo",IF(C4&lt;-2,"Bajo peso","Normal")))</f>
        <v/>
      </c>
      <c r="E4" s="113" t="str">
        <f>IF(C4="","",IF(C4&lt;=-2,"Desnutrición",IF(C4&lt;=-1,"Riesgo de desnutrir","Normal / eutrófico")))</f>
        <v/>
      </c>
      <c r="F4" s="111" t="s">
        <v>187</v>
      </c>
      <c r="G4" s="111" t="str">
        <f>IF(OR(Ingreso!C16="SINDROME_DOWN",Ingreso!C16="PARALISIS_CEREBRAL",Ingreso!C16="OTRA"),"REFERENCIA_NO_IMPLEMENTADA",IF(AND(Cálculos!C6&gt;=0,Cálculos!C6&lt;=60),IF(C4="","PENDIENTE_DATO","APLICA"),"FUERA_DE_DOMINIO"))</f>
        <v>FUERA_DE_DOMINIO</v>
      </c>
      <c r="H4" s="114" t="str">
        <f>IF(OR(G4="APLICA",G4="NO_APLICA",G4="EDAD_CRONOLÓGICA",G4="CORRECCIÓN_FINALIZADA"),"OK",G4)</f>
        <v>FUERA_DE_DOMINIO</v>
      </c>
    </row>
    <row r="5" spans="1:10" ht="42" customHeight="1">
      <c r="B5" s="111" t="s">
        <v>125</v>
      </c>
      <c r="C5" s="107">
        <f>Cálculos!C22</f>
        <v>-0.62820512820512797</v>
      </c>
      <c r="D5" s="112" t="str">
        <f>IF(C5="","",IF(C5&lt;-3,"Talla baja severa",IF(C5&lt;-2,"Talla baja",IF(C5&lt;=3,"Normal","Talla alta"))))</f>
        <v>Normal</v>
      </c>
      <c r="E5" s="113" t="str">
        <f>IF(C5="","",IF(C5&lt;=-2,"Talla baja",IF(C5&lt;=-1,"Talla normal baja",IF(C5&lt;1,"Normal",IF(C5&lt;2,"Talla normal alta","Talla alta")))))</f>
        <v>Normal</v>
      </c>
      <c r="F5" s="111" t="s">
        <v>188</v>
      </c>
      <c r="G5" s="111" t="str">
        <f>IF(OR(Ingreso!C16="SINDROME_DOWN",Ingreso!C16="PARALISIS_CEREBRAL",Ingreso!C16="OTRA"),"REFERENCIA_NO_IMPLEMENTADA",IF(AND(Cálculos!C6&gt;=0,Cálculos!C6&lt;=228),IF(C5="","PENDIENTE_DATO","APLICA"),"FUERA_DE_DOMINIO"))</f>
        <v>APLICA</v>
      </c>
      <c r="H5" s="114" t="str">
        <f>IF(G5="APLICA","OK_CON_LIMITACIÓN_Z_INTERPOLADO",IF(G5="NO_APLICA_SÍNDROME_DOWN",G5,IF(G5="FUERA_DE_DOMINIO",G5,G5)))</f>
        <v>OK_CON_LIMITACIÓN_Z_INTERPOLADO</v>
      </c>
    </row>
    <row r="6" spans="1:10" ht="42" customHeight="1">
      <c r="B6" s="111" t="s">
        <v>189</v>
      </c>
      <c r="C6" s="107" t="str">
        <f>Cálculos!C29</f>
        <v/>
      </c>
      <c r="D6" s="112" t="str">
        <f>IF(C6="","","NO_CLASIFICACIÓN_OMS_IMPLEMENTADA")</f>
        <v/>
      </c>
      <c r="E6" s="113" t="str">
        <f>IF(C6="","",IF(C6&lt;=-2,"Microcefalia",IF(C6&gt;=2,"Macrocefalia","Normal")))</f>
        <v/>
      </c>
      <c r="F6" s="111" t="s">
        <v>190</v>
      </c>
      <c r="G6" s="111" t="str">
        <f>IF(OR(Ingreso!C16="SINDROME_DOWN",Ingreso!C16="PARALISIS_CEREBRAL",Ingreso!C16="OTRA"),"REFERENCIA_ESPECÍFICA",IF(AND(Cálculos!C6&gt;=0,Cálculos!C6&lt;=60,OR(Cálculos!C6&lt;=36,Ingreso!C24="Sí")),IF(Ingreso!C10="","NO_INGRESADO","APLICA"),"FUERA_DE_DOMINIO"))</f>
        <v>FUERA_DE_DOMINIO</v>
      </c>
      <c r="H6" s="114" t="str">
        <f>IF(G6="APLICA","OK_CON_LIMITACIÓN_Z_INTERPOLADO",IF(G6="NO_APLICA_SÍNDROME_DOWN",G6,IF(G6="FUERA_DE_DOMINIO",G6,G6)))</f>
        <v>FUERA_DE_DOMINIO</v>
      </c>
    </row>
    <row r="7" spans="1:10" ht="42" customHeight="1">
      <c r="B7" s="111" t="s">
        <v>191</v>
      </c>
      <c r="C7" s="107" t="str">
        <f>Cálculos!C33</f>
        <v/>
      </c>
      <c r="D7" s="112" t="str">
        <f>IF(C7="","",IF(C7&lt;-3,"Emaciación severa",IF(C7&lt;-2,"Emaciación",IF(C7&lt;=1,"Normal",IF(C7&lt;=2,"Posible riesgo de sobrepeso",IF(C7&lt;=3,"Sobrepeso","Obesidad"))))))</f>
        <v/>
      </c>
      <c r="E7" s="113" t="str">
        <f>IF(C7="","",IF(C7&lt;=-2,"Desnutrición",IF(C7&lt;=-1,"Riesgo de desnutrir",IF(C7&lt;1,"Normal",IF(C7&lt;2,"Sobrepeso","Obesidad")))))</f>
        <v/>
      </c>
      <c r="F7" s="111" t="s">
        <v>192</v>
      </c>
      <c r="G7" s="111" t="str">
        <f>IF(OR(Ingreso!C16="SINDROME_DOWN",Ingreso!C16="PARALISIS_CEREBRAL",Ingreso!C16="OTRA"),"REFERENCIA_NO_IMPLEMENTADA",IF(AND(Cálculos!C6&gt;=0,Cálculos!C6&lt;=60),IF(OR(Cálculos!C54&lt;IF(Cálculos!C6&lt;24,45,65),Cálculos!C54&gt;IF(Cálculos!C6&lt;24,110,120)),"FUERA_DE_DOMINIO_TALLA",IF(C7="","PENDIENTE_DATO","APLICA")),"FUERA_DE_DOMINIO"))</f>
        <v>FUERA_DE_DOMINIO</v>
      </c>
      <c r="H7" s="114" t="str">
        <f>IF(OR(G7="APLICA",G7="NO_APLICA",G7="EDAD_CRONOLÓGICA",G7="CORRECCIÓN_FINALIZADA"),"OK",G7)</f>
        <v>FUERA_DE_DOMINIO</v>
      </c>
    </row>
    <row r="8" spans="1:10" ht="42" customHeight="1">
      <c r="B8" s="111" t="s">
        <v>193</v>
      </c>
      <c r="C8" s="107" t="str">
        <f>""</f>
        <v/>
      </c>
      <c r="D8" s="112" t="str">
        <f>"NO_OMS · percentiles Fernández"</f>
        <v>NO_OMS · percentiles Fernández</v>
      </c>
      <c r="E8" s="113" t="str">
        <f>IF(OR(Ingreso!C11="",Cálculos!C37=""),"",IF(Ingreso!C11&lt;Cálculos!C37,"Normal",IF(Ingreso!C11&lt;Cálculos!C38,"Riesgo de obesidad abdominal","Obesidad abdominal")))</f>
        <v>Normal</v>
      </c>
      <c r="F8" s="111" t="s">
        <v>194</v>
      </c>
      <c r="G8" s="111" t="str">
        <f>IF(OR(Ingreso!C16="SINDROME_DOWN",Ingreso!C16="PARALISIS_CEREBRAL",Ingreso!C16="OTRA"),"REFERENCIA_NO_IMPLEMENTADA",IF(AND(Cálculos!C36&gt;=5,Cálculos!C36&lt;=18),IF(Ingreso!C11="","NO_INGRESADO","APLICA"),"FUERA_DE_DOMINIO_TABLA"))</f>
        <v>APLICA</v>
      </c>
      <c r="H8" s="114" t="str">
        <f>IF(OR(G8="APLICA",G8="NO_APLICA",G8="EDAD_CRONOLÓGICA",G8="CORRECCIÓN_FINALIZADA"),"OK",G8)</f>
        <v>OK</v>
      </c>
    </row>
    <row r="9" spans="1:10" ht="42" customHeight="1">
      <c r="B9" s="111" t="s">
        <v>195</v>
      </c>
      <c r="C9" s="108">
        <f>Cálculos!C35</f>
        <v>0.52632206984289309</v>
      </c>
      <c r="D9" s="112" t="str">
        <f>"NO_APLICA · clasificación clínica MINSAL"</f>
        <v>NO_APLICA · clasificación clínica MINSAL</v>
      </c>
      <c r="E9" s="113" t="str">
        <f>IF(C9="","",IF(C9&lt;=-2,"Desnutrición",IF(C9&lt;=-1,"Riesgo de desnutrir",IF(C9&lt;1,"Normal",IF(C9&lt;2,"Sobrepeso",IF(AND(Cálculos!C6&gt;=61,C9&gt;=3),"Obesidad severa","Obesidad"))))))</f>
        <v>Normal</v>
      </c>
      <c r="F9" s="111" t="s">
        <v>196</v>
      </c>
      <c r="G9" s="111" t="str">
        <f>IF(OR(Ingreso!C16="SINDROME_DOWN",Ingreso!C16="PARALISIS_CEREBRAL",Ingreso!C16="OTRA"),"REFERENCIA_NO_IMPLEMENTADA",IF(AND(Cálculos!C6&gt;=0,Cálculos!C6&lt;=228),IF(C9="","PENDIENTE_DATO","APLICA"),"FUERA_DE_DOMINIO"))</f>
        <v>APLICA</v>
      </c>
      <c r="H9" s="114" t="str">
        <f>IF(OR(G9="APLICA",G9="NO_APLICA",G9="EDAD_CRONOLÓGICA",G9="CORRECCIÓN_FINALIZADA"),"OK",G9)</f>
        <v>OK</v>
      </c>
    </row>
    <row r="10" spans="1:10" ht="42" customHeight="1">
      <c r="B10" s="111" t="s">
        <v>198</v>
      </c>
      <c r="C10" s="109" t="str">
        <f>""</f>
        <v/>
      </c>
      <c r="D10" s="113" t="str">
        <f>Cálculos!C52</f>
        <v>OMS 2007 · 61–228 meses</v>
      </c>
      <c r="E10" s="113" t="str">
        <f>IF(Cálculos!C6="","PENDIENTE","NT N.º 218: 0–9 años; patrones MINSAL 2018: nacimiento–19 años")</f>
        <v>NT N.º 218: 0–9 años; patrones MINSAL 2018: nacimiento–19 años</v>
      </c>
      <c r="F10" s="115" t="s">
        <v>199</v>
      </c>
      <c r="G10" s="116" t="str">
        <f>IF(Cálculos!C6="","PENDIENTE","APLICA")</f>
        <v>APLICA</v>
      </c>
      <c r="H10" s="116" t="str">
        <f>IF(OR(G10="APLICA",G10="NO_APLICA",G10="EDAD_CRONOLÓGICA",G10="CORRECCIÓN_FINALIZADA"),"OK",G10)</f>
        <v>OK</v>
      </c>
      <c r="I10"/>
      <c r="J10"/>
    </row>
    <row r="11" spans="1:10" ht="42" customHeight="1">
      <c r="B11" s="111" t="s">
        <v>200</v>
      </c>
      <c r="C11" s="109" t="str">
        <f>""</f>
        <v/>
      </c>
      <c r="D11" s="113" t="str">
        <f>"NO_APLICA"</f>
        <v>NO_APLICA</v>
      </c>
      <c r="E11" s="113" t="str">
        <f>Cálculos!C44</f>
        <v>NO_APLICA</v>
      </c>
      <c r="F11" s="115" t="s">
        <v>201</v>
      </c>
      <c r="G11" s="116" t="str">
        <f>IF(Ingreso!C6="Sí",Cálculos!C51,"NO_APLICA")</f>
        <v>NO_APLICA</v>
      </c>
      <c r="H11" s="116" t="str">
        <f>IF(OR(G11="APLICA",G11="NO_APLICA",G11="EDAD_CRONOLÓGICA",G11="CORRECCIÓN_FINALIZADA"),"OK",G11)</f>
        <v>OK</v>
      </c>
      <c r="I11"/>
      <c r="J11"/>
    </row>
    <row r="12" spans="1:10" ht="42" customHeight="1">
      <c r="B12" s="111" t="s">
        <v>202</v>
      </c>
      <c r="C12" s="110" t="str">
        <f>""</f>
        <v/>
      </c>
      <c r="D12" s="117" t="str">
        <f>IF(Ingreso!C16="SINDROME_DOWN","MOTOR_DOWN_INTEGRADO_OMS_ZEMEL","NO_APLICA")</f>
        <v>NO_APLICA</v>
      </c>
      <c r="E12" s="117" t="str">
        <f>IF(Ingreso!C16="SINDROME_DOWN",DOWN_INTEGRADO!B16,"NO_APLICA")</f>
        <v>NO_APLICA</v>
      </c>
      <c r="F12" s="118" t="s">
        <v>203</v>
      </c>
      <c r="G12" s="119" t="str">
        <f>IF(Ingreso!C16="SINDROME_DOWN",DOWN_INTEGRADO!B20,"NO_APLICA")</f>
        <v>NO_APLICA</v>
      </c>
      <c r="H12" s="119" t="str">
        <f>IF(OR(G12="APLICA",G12="NO_APLICA"),IF(OR(E12="PENDIENTE_PERCENTIL_P_E_ZEMEL",E12="PENDIENTE_DATO_OMS_P_T",E12="PENDIENTE_DATO_OMS_IMC_E"),E12,"OK"),G12)</f>
        <v>OK</v>
      </c>
      <c r="I12" s="106" t="s">
        <v>197</v>
      </c>
      <c r="J12" s="37">
        <f>IF(C9="","",C9)</f>
        <v>0.52632206984289309</v>
      </c>
    </row>
    <row r="13" spans="1:10" ht="25.5">
      <c r="B13" s="120" t="s">
        <v>61</v>
      </c>
      <c r="C13" s="121" t="str">
        <f>""</f>
        <v/>
      </c>
      <c r="D13" s="121" t="str">
        <f>Ingreso!C16</f>
        <v>GENERAL</v>
      </c>
      <c r="E13" s="121" t="str">
        <f>IF(Ingreso!C16="GENERAL","MOTOR_GENERAL_OMS_MINSAL",IF(Ingreso!C16="PREMATURIDAD","MOTOR_GENERAL_CON_EDAD_CORREGIDA",IF(Ingreso!C16="SINDROME_DOWN","MOTOR_DOWN_INTEGRADO_OMS_ZEMEL",IF(Ingreso!C16="PARALISIS_CEREBRAL","FUENTE_VERIFICADA_MOTOR_NO_AUTOMATIZADO",IF(Ingreso!C16="OTRA","FUENTE_ESPECÍFICA_REQUERIDA","POBLACIÓN_NO_SELECCIONADA")))))</f>
        <v>MOTOR_GENERAL_OMS_MINSAL</v>
      </c>
      <c r="F13" s="121" t="s">
        <v>204</v>
      </c>
      <c r="G13" s="121" t="str">
        <f>IF(Ingreso!C16="GENERAL","APLICA",IF(Ingreso!C16="PREMATURIDAD",IF(Ingreso!C6="Sí","APLICA_CON_EDAD_CORREGIDA","PENDIENTE_DATO"),IF(Ingreso!C16="SINDROME_DOWN",DOWN_INTEGRADO!B20,IF(Ingreso!C16="PARALISIS_CEREBRAL","FUENTE_VERIFICADA_SIN_MOTOR",IF(Ingreso!C16="OTRA","FUENTE_ESPECÍFICA_REQUERIDA","PENDIENTE")))))</f>
        <v>APLICA</v>
      </c>
      <c r="H13" s="121" t="str">
        <f>IF(OR(G13="APLICA",G13="APLICA_CON_EDAD_CORREGIDA"),"OK",G13)</f>
        <v>OK</v>
      </c>
      <c r="I13"/>
      <c r="J13"/>
    </row>
    <row r="14" spans="1:10" ht="21.75" customHeight="1">
      <c r="B14" s="165" t="s">
        <v>205</v>
      </c>
      <c r="C14" s="165"/>
      <c r="D14" s="165"/>
      <c r="E14" s="165"/>
      <c r="F14" s="165"/>
      <c r="G14" s="165"/>
      <c r="H14" s="165"/>
    </row>
    <row r="15" spans="1:10" ht="30" customHeight="1">
      <c r="B15" s="166" t="str">
        <f>IF(Ingreso!C2="","",IF(Cálculos!C6="","Evaluación nutricional de "&amp;Ingreso!C2&amp;". "&amp;"La edad efectiva está pendiente de resolución.",IF(Ingreso!C16="SINDROME_DOWN","Evaluación nutricional de "&amp;Ingreso!C2&amp;", "&amp;IF(Ingreso!C3="Femenino","niña","niño")&amp;" de "&amp;IF(Cálculos!C6&lt;12,TEXT(Cálculos!C6,"0")&amp;" meses",TEXT(INT(Cálculos!C6/12),"0")&amp;IF(INT(Cálculos!C6/12)=1," año"," años")&amp;" y "&amp;TEXT(Cálculos!C6-INT(Cálculos!C6/12)*12,"0")&amp;" meses")&amp;", con síndrome de Down.",IF(Ingreso!C16="PARALISIS_CEREBRAL","Evaluación nutricional de "&amp;Ingreso!C2&amp;", "&amp;IF(Ingreso!C3="Femenino","niña","niño")&amp;" de "&amp;IF(Cálculos!C6&lt;12,TEXT(Cálculos!C6,"0")&amp;" meses",TEXT(INT(Cálculos!C6/12),"0")&amp;IF(INT(Cálculos!C6/12)=1," año"," años")&amp;" y "&amp;TEXT(Cálculos!C6-INT(Cálculos!C6/12)*12,"0")&amp;" meses")&amp;", con parálisis cerebral.","Evaluación nutricional de "&amp;Ingreso!C2&amp;", "&amp;IF(Ingreso!C3="Femenino","niña","niño")&amp;" de "&amp;IF(Cálculos!C6&lt;12,TEXT(Cálculos!C6,"0")&amp;" meses",TEXT(INT(Cálculos!C6/12),"0")&amp;IF(INT(Cálculos!C6/12)=1," año"," años")&amp;" y "&amp;TEXT(Cálculos!C6-INT(Cálculos!C6/12)*12,"0")&amp;" meses")&amp;"."))))</f>
        <v>Evaluación nutricional de PACIENTE-X01, niño de 16 años y 0 meses.</v>
      </c>
      <c r="C15" s="166"/>
      <c r="D15" s="166"/>
      <c r="E15" s="166"/>
      <c r="F15" s="166"/>
      <c r="G15" s="166"/>
      <c r="H15" s="166"/>
    </row>
    <row r="16" spans="1:10" ht="42" customHeight="1">
      <c r="B16" s="167" t="str">
        <f>IF(Ingreso!C2="","",IF(Cálculos!C6="","No fue posible emitir el diagnóstico nutricional. Revise las fechas, la condición de prematuridad, la edad gestacional y el peso al nacer.",IF(Ingreso!C16="SINDROME_DOWN","Diagnóstico nutricional de tamizaje: "&amp;IF(DOWN_INTEGRADO!B16="PENDIENTE_PERCENTIL_P_E_ZEMEL","no concluyente por falta del percentil de peso/edad Zemel",IF(DOWN_INTEGRADO!B16="PENDIENTE_DATO_OMS_P_T","no concluyente por falta de datos para peso/longitud o peso/estatura",IF(DOWN_INTEGRADO!B16="PENDIENTE_DATO_OMS_IMC_E","no concluyente por falta de datos para IMC/edad",LOWER(SUBSTITUTE(DOWN_INTEGRADO!B16,"_"," ")))))&amp;". "&amp;"La valoración integró los indicadores OMS permitidos por MINSAL y los percentiles específicos Zemel.",IF(Ingreso!C16="PARALISIS_CEREBRAL","Conclusión de tamizaje: no es clínicamente válido emitir un diagnóstico antropométrico automático utilizando las curvas pediátricas generales.",IF(Ingreso!C16="OTRA","No es posible emitir un diagnóstico nutricional automático válido para la población OTRA, porque falta una referencia específica con versión, dominio y criterios documentados.","Diagnóstico nutricional de tamizaje: estado nutricional "&amp;LOWER(IF(E9="","no concluyente por falta de datos",E9))&amp;" según la clasificación clínica MINSAL aplicable a su edad.")))))</f>
        <v>Diagnóstico nutricional de tamizaje: estado nutricional normal según la clasificación clínica MINSAL aplicable a su edad.</v>
      </c>
      <c r="C16" s="167"/>
      <c r="D16" s="167"/>
      <c r="E16" s="167"/>
      <c r="F16" s="167"/>
      <c r="G16" s="167"/>
      <c r="H16" s="167"/>
    </row>
    <row r="17" spans="2:8" ht="54" customHeight="1">
      <c r="B17" s="161" t="str">
        <f>IF(Ingreso!C2="","",IF(Cálculos!C6="","Los indicadores no pueden interpretarse hasta resolver la edad efectiva.",IF(Ingreso!C16="SINDROME_DOWN","Peso específico: "&amp;LOWER(SUBSTITUTE(DOWN_INTEGRADO!B17,"_"," "))&amp;". "&amp;"Talla para la edad específica: "&amp;LOWER(SUBSTITUTE(DOWN_INTEGRADO!B18,"_"," "))&amp;". "&amp;"Perímetro cefálico para la edad específico: "&amp;LOWER(SUBSTITUTE(DOWN_INTEGRADO!B19,"_"," "))&amp;".",IF(Ingreso!C16="PARALISIS_CEREBRAL",IF(Ingreso!C18="NO_REGISTRADO","El nivel GMFCS no está registrado. ","Nivel GMFCS registrado: "&amp;Ingreso!C18&amp;". ")&amp;"La valoración debe integrar peso y talla directos o estimados, medidas segmentarias, evolución, función motora, vía de alimentación e ingesta.",IF(Ingreso!C16="OTRA","Seleccione la población correcta o incorpore la referencia clínica específica antes de interpretar los indicadores.",IF(Cálculos!C6&lt;=60,"Peso para la longitud/estatura: "&amp;LOWER(IF(E7="","no disponible",E7))&amp;"."&amp;IF(Cálculos!C6&lt;12," "&amp;"Peso para la edad: "&amp;LOWER(IF(E4="","no disponible",E4))&amp;".",""),"IMC para la edad: "&amp;LOWER(IF(E3="","no disponible",E3))&amp;".")&amp;" "&amp;"Talla para la edad: "&amp;LOWER(IF(E5="","sin información suficiente",E5))&amp;"."&amp;IF(G6="APLICA"," "&amp;"Perímetro cefálico para la edad: "&amp;LOWER(E6)&amp;".","")&amp;IF(G8="APLICA"," "&amp;"Perímetro de cintura: "&amp;LOWER(E8)&amp;".",""))))))</f>
        <v>IMC para la edad: normal. Talla para la edad: normal. Perímetro de cintura: normal.</v>
      </c>
      <c r="C17" s="161"/>
      <c r="D17" s="161"/>
      <c r="E17" s="161"/>
      <c r="F17" s="161"/>
      <c r="G17" s="161"/>
      <c r="H17" s="161"/>
    </row>
    <row r="18" spans="2:8" ht="61.5" customHeight="1">
      <c r="B18" s="161" t="str">
        <f>IF(Ingreso!C2="","",IF(Cálculos!C6="","Corrija los datos de ingreso antes de utilizar el resultado para una decisión clínica.",IF(Ingreso!C16="SINDROME_DOWN","Confirme que los percentiles Zemel fueron leídos e ingresados por un profesional y valore la trayectoria individual. Las curvas generales no deben utilizarse como sustituto.",IF(Ingreso!C16="PARALISIS_CEREBRAL","Se recomienda completar la evaluación en el módulo antropométrico especializado y formular el diagnóstico nutricional con criterio clínico individual.",IF(Ingreso!C16="OTRA","No utilice las curvas generales como sustituto de una referencia que no ha sido verificada.",IF(OR(E9="Desnutrición",E9="Obesidad severa"),"El hallazgo requiere evaluación nutricional y clínica prioritaria, revisión de la velocidad de crecimiento y una conducta individualizada. ",IF(OR(E9="Riesgo de desnutrir",E9="Sobrepeso",E9="Obesidad"),"El hallazgo requiere evaluación nutricional completa y seguimiento cercano de la trayectoria de crecimiento, la alimentación y los factores clínicos y familiares. ",IF(E9="Normal","No se identifican alteraciones antropométricas en el indicador principal; se recomienda mantener seguimiento periódico de la trayectoria de crecimiento. ","La conclusión debe completarse cuando estén disponibles todos los datos requeridos. ")))&amp;IF(Ingreso!C6="Sí","La interpretación utilizó "&amp;LOWER(SUBSTITUTE(Cálculos!C51,"_"," "))&amp;". ","")&amp;"Este diagnóstico es orientador y debe integrarse con anamnesis alimentaria, examen físico, antecedentes clínicos y evolución longitudinal.")))))</f>
        <v>No se identifican alteraciones antropométricas en el indicador principal; se recomienda mantener seguimiento periódico de la trayectoria de crecimiento. Este diagnóstico es orientador y debe integrarse con anamnesis alimentaria, examen físico, antecedentes clínicos y evolución longitudinal.</v>
      </c>
      <c r="C18" s="161"/>
      <c r="D18" s="161"/>
      <c r="E18" s="161"/>
      <c r="F18" s="161"/>
      <c r="G18" s="161"/>
      <c r="H18" s="161"/>
    </row>
    <row r="20" spans="2:8" ht="21.75" customHeight="1">
      <c r="B20" s="162" t="s">
        <v>206</v>
      </c>
      <c r="C20" s="162"/>
      <c r="D20" s="162"/>
      <c r="E20" s="162"/>
      <c r="F20" s="162"/>
      <c r="G20" s="162"/>
      <c r="H20" s="162"/>
    </row>
    <row r="21" spans="2:8" ht="30" customHeight="1">
      <c r="B21" s="163" t="str">
        <f>IF(Ingreso!C2="","",IF(Cálculos!C53&lt;&gt;"OK","La interpretación presenta una limitación: "&amp;LOWER(SUBSTITUTE(Cálculos!C53,"_"," "))&amp;". "&amp;"Revise los datos de ingreso, el dominio etario o la población seleccionada antes de utilizar el resultado.",IF(H9&lt;&gt;"OK","La clasificación integrada no pudo completarse: "&amp;LOWER(SUBSTITUTE(H9,"_"," "))&amp;".",IF(OR(E9="Desnutrición",E9="Obesidad severa"),"Hallazgo de mayor prioridad clínica. Se recomienda evaluación nutricional completa, revisión de la velocidad de crecimiento y derivación médica según el contexto.",IF(OR(E9="Riesgo de desnutrir",E9="Sobrepeso",E9="Obesidad"),"Hallazgo que requiere seguimiento nutricional, revisión de la trayectoria de crecimiento y evaluación de factores alimentarios, clínicos y familiares.","Sin alertas automáticas de dominio o coherencia. Mantener interpretación clínica y seguimiento periódico.")))))</f>
        <v>Sin alertas automáticas de dominio o coherencia. Mantener interpretación clínica y seguimiento periódico.</v>
      </c>
      <c r="C21" s="163"/>
      <c r="D21" s="163"/>
      <c r="E21" s="163"/>
      <c r="F21" s="163"/>
      <c r="G21" s="163"/>
      <c r="H21" s="163"/>
    </row>
    <row r="22" spans="2:8" ht="30" customHeight="1">
      <c r="B22" s="163"/>
      <c r="C22" s="163"/>
      <c r="D22" s="163"/>
      <c r="E22" s="163"/>
      <c r="F22" s="163"/>
      <c r="G22" s="163"/>
      <c r="H22" s="163"/>
    </row>
    <row r="23" spans="2:8" ht="30" customHeight="1">
      <c r="B23" s="163"/>
      <c r="C23" s="163"/>
      <c r="D23" s="163"/>
      <c r="E23" s="163"/>
      <c r="F23" s="163"/>
      <c r="G23" s="163"/>
      <c r="H23" s="163"/>
    </row>
  </sheetData>
  <sheetProtection algorithmName="SHA-512" hashValue="J7d80y7cgUnCqyF63Vb3Qibvty51rUkx3oyONjFWcGm3hv2X6kBSAPwg9ay2tZl8eC0tCkRgJTMdgwI2axtWyA==" saltValue="RyPWEf/fIRqO/PnwuAVDbQ==" spinCount="100000" sheet="1" objects="1" scenarios="1"/>
  <mergeCells count="8">
    <mergeCell ref="B18:H18"/>
    <mergeCell ref="B20:H20"/>
    <mergeCell ref="B21:H23"/>
    <mergeCell ref="A1:H1"/>
    <mergeCell ref="B14:H14"/>
    <mergeCell ref="B15:H15"/>
    <mergeCell ref="B16:H16"/>
    <mergeCell ref="B17:H17"/>
  </mergeCells>
  <conditionalFormatting sqref="J12">
    <cfRule type="dataBar" priority="2">
      <dataBar>
        <cfvo type="min"/>
        <cfvo type="max"/>
        <color rgb="FF008AEF"/>
      </dataBar>
      <extLst>
        <ext xmlns:x14="http://schemas.microsoft.com/office/spreadsheetml/2009/9/main" uri="{B025F937-C7B1-47D3-B67F-A62EFF666E3E}">
          <x14:id>{C84862E5-D7B7-4669-A05B-387684E78344}</x14:id>
        </ext>
      </extLst>
    </cfRule>
  </conditionalFormatting>
  <conditionalFormatting sqref="C3:C9">
    <cfRule type="containsText" dxfId="34" priority="3" operator="containsText" text="Microcefalia">
      <formula>NOT(ISERROR(SEARCH("Microcefalia",C3)))</formula>
    </cfRule>
    <cfRule type="containsText" dxfId="33" priority="4" operator="containsText" text="Macrocefalia">
      <formula>NOT(ISERROR(SEARCH("Macrocefalia",C3)))</formula>
    </cfRule>
    <cfRule type="containsText" dxfId="32" priority="5" operator="containsText" text="Desnutrición">
      <formula>NOT(ISERROR(SEARCH("Desnutrición",C3)))</formula>
    </cfRule>
    <cfRule type="containsText" dxfId="31" priority="6" operator="containsText" text="Obesidad">
      <formula>NOT(ISERROR(SEARCH("Obesidad",C3)))</formula>
    </cfRule>
    <cfRule type="containsText" dxfId="30" priority="7" operator="containsText" text="Riesgo">
      <formula>NOT(ISERROR(SEARCH("Riesgo",C3)))</formula>
    </cfRule>
    <cfRule type="containsText" dxfId="29" priority="8" operator="containsText" text="Sobrepeso">
      <formula>NOT(ISERROR(SEARCH("Sobrepeso",C3)))</formula>
    </cfRule>
    <cfRule type="containsText" dxfId="28" priority="9" operator="containsText" text="Eutrófico">
      <formula>NOT(ISERROR(SEARCH("Eutrófico",C3)))</formula>
    </cfRule>
    <cfRule type="containsText" dxfId="27" priority="10" operator="containsText" text="Normal">
      <formula>NOT(ISERROR(SEARCH("Normal",C3)))</formula>
    </cfRule>
  </conditionalFormatting>
  <conditionalFormatting sqref="C9">
    <cfRule type="cellIs" dxfId="26" priority="11" operator="equal">
      <formula>"Obesidad Severa"</formula>
    </cfRule>
  </conditionalFormatting>
  <conditionalFormatting sqref="H3:H12">
    <cfRule type="expression" dxfId="25" priority="12">
      <formula>LEFT(H3,2)="OK"</formula>
    </cfRule>
    <cfRule type="expression" dxfId="24" priority="13">
      <formula>H3&lt;&gt;"OK"</formula>
    </cfRule>
  </conditionalFormatting>
  <conditionalFormatting sqref="J12">
    <cfRule type="dataBar" priority="14">
      <dataBar>
        <cfvo type="min"/>
        <cfvo type="max"/>
        <color rgb="FF008AEF"/>
      </dataBar>
      <extLst>
        <ext xmlns:x14="http://schemas.microsoft.com/office/spreadsheetml/2009/9/main" uri="{B025F937-C7B1-47D3-B67F-A62EFF666E3E}">
          <x14:id>{3E1F525F-3AE2-4444-A57F-37A28CA769FF}</x14:id>
        </ext>
      </extLst>
    </cfRule>
  </conditionalFormatting>
  <pageMargins left="0.7" right="0.7" top="0.75" bottom="0.75" header="0.511811023622047" footer="0.511811023622047"/>
  <pageSetup paperSize="9" orientation="portrait" horizontalDpi="300" verticalDpi="300"/>
  <extLst>
    <ext xmlns:x14="http://schemas.microsoft.com/office/spreadsheetml/2009/9/main" uri="{78C0D931-6437-407d-A8EE-F0AAD7539E65}">
      <x14:conditionalFormattings>
        <x14:conditionalFormatting xmlns:xm="http://schemas.microsoft.com/office/excel/2006/main">
          <x14:cfRule type="dataBar" id="{C84862E5-D7B7-4669-A05B-387684E78344}">
            <x14:dataBar axisPosition="none">
              <x14:cfvo type="min"/>
              <x14:cfvo type="max"/>
              <x14:negativeFillColor rgb="FF008AEF"/>
            </x14:dataBar>
          </x14:cfRule>
          <xm:sqref>J12</xm:sqref>
        </x14:conditionalFormatting>
        <x14:conditionalFormatting xmlns:xm="http://schemas.microsoft.com/office/excel/2006/main">
          <x14:cfRule type="dataBar" id="{3E1F525F-3AE2-4444-A57F-37A28CA769FF}">
            <x14:dataBar>
              <x14:cfvo type="min"/>
              <x14:cfvo type="max"/>
              <x14:negativeFillColor rgb="FF008AEF"/>
              <x14:axisColor rgb="FF000000"/>
            </x14:dataBar>
          </x14:cfRule>
          <xm:sqref>J12</xm:sqref>
        </x14:conditionalFormatting>
      </x14:conditionalFormattings>
    </ext>
  </extLst>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sheetPr>
    <tabColor rgb="FF24726B"/>
  </sheetPr>
  <dimension ref="A1:K21"/>
  <sheetViews>
    <sheetView showGridLines="0" zoomScaleNormal="100" workbookViewId="0">
      <selection activeCell="A2" sqref="A2:K2"/>
    </sheetView>
  </sheetViews>
  <sheetFormatPr baseColWidth="10" defaultColWidth="9.140625" defaultRowHeight="15"/>
  <cols>
    <col min="1" max="1" width="26" style="1" customWidth="1"/>
    <col min="2" max="3" width="16" style="1" customWidth="1"/>
    <col min="4" max="4" width="4" style="1" customWidth="1"/>
    <col min="5" max="5" width="40" style="1" customWidth="1"/>
  </cols>
  <sheetData>
    <row r="1" spans="1:11" ht="27.75" customHeight="1">
      <c r="A1" s="38" t="s">
        <v>207</v>
      </c>
      <c r="B1" s="39"/>
      <c r="C1" s="39"/>
      <c r="D1" s="39"/>
      <c r="E1" s="39"/>
    </row>
    <row r="2" spans="1:11" ht="15.75">
      <c r="A2" s="131" t="s">
        <v>208</v>
      </c>
      <c r="B2" s="131"/>
      <c r="C2" s="131"/>
      <c r="D2" s="131"/>
      <c r="E2" s="131"/>
      <c r="F2" s="131"/>
      <c r="G2" s="131"/>
      <c r="H2" s="131"/>
      <c r="I2" s="131"/>
      <c r="J2" s="131"/>
      <c r="K2" s="131"/>
    </row>
    <row r="3" spans="1:11">
      <c r="E3"/>
    </row>
    <row r="5" spans="1:11">
      <c r="A5" s="42" t="s">
        <v>178</v>
      </c>
      <c r="B5" s="42" t="s">
        <v>210</v>
      </c>
      <c r="C5" s="42" t="s">
        <v>211</v>
      </c>
    </row>
    <row r="6" spans="1:11">
      <c r="A6" s="6" t="s">
        <v>212</v>
      </c>
      <c r="B6" s="43">
        <f>IF(ISNUMBER(Cálculos!C11),Cálculos!C11,"")</f>
        <v>0.52632206984289309</v>
      </c>
      <c r="C6" s="44" t="str">
        <f>IF(Interpretación!E3="","—",Interpretación!E3)</f>
        <v>Normal</v>
      </c>
    </row>
    <row r="7" spans="1:11">
      <c r="A7" s="6" t="s">
        <v>213</v>
      </c>
      <c r="B7" s="43" t="str">
        <f>IF(ISNUMBER(Cálculos!C16),Cálculos!C16,"")</f>
        <v/>
      </c>
      <c r="C7" s="44" t="str">
        <f>IF(Interpretación!E4="","—",Interpretación!E4)</f>
        <v>—</v>
      </c>
    </row>
    <row r="8" spans="1:11">
      <c r="A8" s="6" t="s">
        <v>214</v>
      </c>
      <c r="B8" s="43">
        <f>IF(ISNUMBER(Cálculos!C22),Cálculos!C22,"")</f>
        <v>-0.62820512820512797</v>
      </c>
      <c r="C8" s="44" t="str">
        <f>IF(Interpretación!E5="","—",Interpretación!E5)</f>
        <v>Normal</v>
      </c>
    </row>
    <row r="9" spans="1:11">
      <c r="A9" s="6" t="s">
        <v>215</v>
      </c>
      <c r="B9" s="43" t="str">
        <f>IF(ISNUMBER(Cálculos!C33),Cálculos!C33,"")</f>
        <v/>
      </c>
      <c r="C9" s="44" t="str">
        <f>IF(Interpretación!E7="","—",Interpretación!E7)</f>
        <v>—</v>
      </c>
    </row>
    <row r="10" spans="1:11">
      <c r="A10" s="6" t="s">
        <v>216</v>
      </c>
      <c r="B10" s="43">
        <f>IF(ISNUMBER(Cálculos!C35),Cálculos!C35,"")</f>
        <v>0.52632206984289309</v>
      </c>
      <c r="C10" s="44" t="str">
        <f>IF(Interpretación!E9="","—",Interpretación!E9)</f>
        <v>Normal</v>
      </c>
    </row>
    <row r="13" spans="1:11">
      <c r="A13" s="45" t="s">
        <v>217</v>
      </c>
    </row>
    <row r="14" spans="1:11">
      <c r="A14" s="2" t="s">
        <v>178</v>
      </c>
      <c r="B14" s="2" t="s">
        <v>218</v>
      </c>
    </row>
    <row r="15" spans="1:11">
      <c r="A15" s="46" t="s">
        <v>212</v>
      </c>
      <c r="B15" s="47">
        <f>IF(ISNUMBER(Cálculos!C11),Cálculos!C11,0)</f>
        <v>0.52632206984289309</v>
      </c>
    </row>
    <row r="16" spans="1:11">
      <c r="A16" s="46" t="s">
        <v>213</v>
      </c>
      <c r="B16" s="47">
        <f>IF(ISNUMBER(Cálculos!C16),Cálculos!C16,0)</f>
        <v>0</v>
      </c>
    </row>
    <row r="17" spans="1:3">
      <c r="A17" s="46" t="s">
        <v>214</v>
      </c>
      <c r="B17" s="47">
        <f>IF(ISNUMBER(Cálculos!C22),Cálculos!C22,0)</f>
        <v>-0.62820512820512797</v>
      </c>
    </row>
    <row r="18" spans="1:3">
      <c r="A18" s="46" t="s">
        <v>215</v>
      </c>
      <c r="B18" s="47">
        <f>IF(ISNUMBER(Cálculos!C33),Cálculos!C33,0)</f>
        <v>0</v>
      </c>
    </row>
    <row r="19" spans="1:3">
      <c r="A19" s="46" t="s">
        <v>216</v>
      </c>
      <c r="B19" s="47">
        <f>IF(ISNUMBER(Cálculos!C35),Cálculos!C35,0)</f>
        <v>0.52632206984289309</v>
      </c>
    </row>
    <row r="21" spans="1:3" ht="30" customHeight="1">
      <c r="A21" s="168" t="s">
        <v>219</v>
      </c>
      <c r="B21" s="168"/>
      <c r="C21" s="168"/>
    </row>
  </sheetData>
  <sheetProtection algorithmName="SHA-512" hashValue="sEagY/bn+ENQPnnR4SUKnN/my+Vcfs7YiwIUEiS/LDRa6jOvFJMGTxL0ffU375uBVWKdqxKqO29iPOZLIoNMsA==" saltValue="58PfQ6dJsUIfOBazBMNn0g==" spinCount="100000" sheet="1" objects="1" scenarios="1"/>
  <mergeCells count="2">
    <mergeCell ref="A21:C21"/>
    <mergeCell ref="A2:K2"/>
  </mergeCells>
  <pageMargins left="0.7" right="0.7" top="0.75" bottom="0.75" header="0.511811023622047" footer="0.511811023622047"/>
  <pageSetup paperSize="9" orientation="portrait" horizontalDpi="300" verticalDpi="300"/>
  <drawing r:id="rId1"/>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dimension ref="A1:P48"/>
  <sheetViews>
    <sheetView showGridLines="0" zoomScaleNormal="100" workbookViewId="0">
      <selection activeCell="N16" sqref="N16"/>
    </sheetView>
  </sheetViews>
  <sheetFormatPr baseColWidth="10" defaultColWidth="10.7109375" defaultRowHeight="15"/>
  <cols>
    <col min="1" max="1" width="6" style="1" customWidth="1"/>
    <col min="2" max="2" width="26.5703125" style="1" customWidth="1"/>
    <col min="3" max="3" width="13.85546875" style="1" customWidth="1"/>
    <col min="4" max="4" width="11.42578125" style="1" customWidth="1"/>
    <col min="5" max="5" width="19.42578125" style="1" customWidth="1"/>
    <col min="6" max="6" width="12.85546875" style="1" customWidth="1"/>
    <col min="7" max="7" width="15.5703125" style="1" customWidth="1"/>
    <col min="8" max="8" width="12.7109375" customWidth="1"/>
    <col min="9" max="9" width="16.7109375" customWidth="1"/>
    <col min="11" max="11" width="14.42578125" style="1" customWidth="1"/>
    <col min="12" max="12" width="11.42578125" style="1" hidden="1" customWidth="1"/>
    <col min="13" max="13" width="12" style="1" customWidth="1"/>
    <col min="14" max="14" width="11.5703125" style="1" customWidth="1"/>
    <col min="15" max="15" width="11.42578125" style="1" customWidth="1"/>
    <col min="16" max="16" width="16.42578125" style="1" customWidth="1"/>
  </cols>
  <sheetData>
    <row r="1" spans="1:9" ht="25.5" customHeight="1">
      <c r="A1" s="10" t="s">
        <v>220</v>
      </c>
      <c r="B1" s="10"/>
      <c r="C1" s="10"/>
      <c r="D1" s="10"/>
      <c r="E1" s="10"/>
      <c r="F1" s="10"/>
      <c r="G1" s="10"/>
      <c r="H1" s="10"/>
      <c r="I1" s="10"/>
    </row>
    <row r="5" spans="1:9">
      <c r="B5" s="48" t="s">
        <v>221</v>
      </c>
      <c r="C5" s="174" t="str">
        <f>Ingreso!C2</f>
        <v>PACIENTE-X01</v>
      </c>
      <c r="D5" s="174"/>
    </row>
    <row r="6" spans="1:9">
      <c r="B6" s="48" t="s">
        <v>222</v>
      </c>
      <c r="C6" s="174" t="str">
        <f>Cálculos!C6 &amp; " meses"</f>
        <v>192 meses</v>
      </c>
      <c r="D6" s="174"/>
    </row>
    <row r="8" spans="1:9" ht="24.75" customHeight="1">
      <c r="B8" s="172" t="s">
        <v>223</v>
      </c>
      <c r="C8" s="171" t="str">
        <f>Interpretación!B15 &amp; CHAR(10) &amp; CHAR(10) &amp; Interpretación!B16 &amp; CHAR(10) &amp; CHAR(10) &amp; Interpretación!B17 &amp; CHAR(10) &amp; CHAR(10) &amp; Interpretación!B18</f>
        <v>Evaluación nutricional de PACIENTE-X01, niño de 16 años y 0 meses.
Diagnóstico nutricional de tamizaje: estado nutricional normal según la clasificación clínica MINSAL aplicable a su edad.
IMC para la edad: normal. Talla para la edad: normal. Perímetro de cintura: normal.
No se identifican alteraciones antropométricas en el indicador principal; se recomienda mantener seguimiento periódico de la trayectoria de crecimiento. Este diagnóstico es orientador y debe integrarse con anamnesis alimentaria, examen físico, antecedentes clínicos y evolución longitudinal.</v>
      </c>
      <c r="D8" s="171"/>
      <c r="E8" s="171"/>
      <c r="F8" s="171"/>
      <c r="G8" s="171"/>
      <c r="H8" s="171"/>
      <c r="I8" s="171"/>
    </row>
    <row r="9" spans="1:9">
      <c r="B9" s="173"/>
      <c r="C9" s="171"/>
      <c r="D9" s="171"/>
      <c r="E9" s="171"/>
      <c r="F9" s="171"/>
      <c r="G9" s="171"/>
      <c r="H9" s="171"/>
      <c r="I9" s="171"/>
    </row>
    <row r="10" spans="1:9">
      <c r="B10" s="173"/>
      <c r="C10" s="171"/>
      <c r="D10" s="171"/>
      <c r="E10" s="171"/>
      <c r="F10" s="171"/>
      <c r="G10" s="171"/>
      <c r="H10" s="171"/>
      <c r="I10" s="171"/>
    </row>
    <row r="11" spans="1:9">
      <c r="B11" s="173"/>
      <c r="C11" s="171"/>
      <c r="D11" s="171"/>
      <c r="E11" s="171"/>
      <c r="F11" s="171"/>
      <c r="G11" s="171"/>
      <c r="H11" s="171"/>
      <c r="I11" s="171"/>
    </row>
    <row r="12" spans="1:9">
      <c r="B12" s="173"/>
      <c r="C12" s="171"/>
      <c r="D12" s="171"/>
      <c r="E12" s="171"/>
      <c r="F12" s="171"/>
      <c r="G12" s="171"/>
      <c r="H12" s="171"/>
      <c r="I12" s="171"/>
    </row>
    <row r="13" spans="1:9">
      <c r="B13" s="173"/>
      <c r="C13" s="171"/>
      <c r="D13" s="171"/>
      <c r="E13" s="171"/>
      <c r="F13" s="171"/>
      <c r="G13" s="171"/>
      <c r="H13" s="171"/>
      <c r="I13" s="171"/>
    </row>
    <row r="14" spans="1:9">
      <c r="B14" s="173"/>
      <c r="C14" s="171"/>
      <c r="D14" s="171"/>
      <c r="E14" s="171"/>
      <c r="F14" s="171"/>
      <c r="G14" s="171"/>
      <c r="H14" s="171"/>
      <c r="I14" s="171"/>
    </row>
    <row r="15" spans="1:9">
      <c r="B15" s="173"/>
      <c r="C15" s="171"/>
      <c r="D15" s="171"/>
      <c r="E15" s="171"/>
      <c r="F15" s="171"/>
      <c r="G15" s="171"/>
      <c r="H15" s="171"/>
      <c r="I15" s="171"/>
    </row>
    <row r="17" spans="2:3">
      <c r="B17" s="49" t="s">
        <v>224</v>
      </c>
      <c r="C17" s="50">
        <f>Cálculos!C35</f>
        <v>0.52632206984289309</v>
      </c>
    </row>
    <row r="34" spans="1:9" ht="15" customHeight="1">
      <c r="B34" s="175" t="s">
        <v>225</v>
      </c>
      <c r="C34" s="175"/>
      <c r="D34" s="175"/>
      <c r="E34" s="175"/>
    </row>
    <row r="35" spans="1:9">
      <c r="B35" s="175"/>
      <c r="C35" s="175"/>
      <c r="D35" s="175"/>
      <c r="E35" s="175"/>
    </row>
    <row r="36" spans="1:9">
      <c r="B36" s="175"/>
      <c r="C36" s="175"/>
      <c r="D36" s="175"/>
      <c r="E36" s="175"/>
    </row>
    <row r="37" spans="1:9">
      <c r="B37" s="175"/>
      <c r="C37" s="175"/>
      <c r="D37" s="175"/>
      <c r="E37" s="175"/>
    </row>
    <row r="38" spans="1:9">
      <c r="B38" s="175"/>
      <c r="C38" s="175"/>
      <c r="D38" s="175"/>
      <c r="E38" s="175"/>
    </row>
    <row r="40" spans="1:9" ht="20.25" customHeight="1">
      <c r="A40" s="169" t="s">
        <v>226</v>
      </c>
      <c r="B40" s="169"/>
      <c r="C40" s="169"/>
      <c r="D40" s="169"/>
      <c r="E40" s="169"/>
      <c r="F40" s="169"/>
    </row>
    <row r="41" spans="1:9" ht="20.25" customHeight="1">
      <c r="A41" s="169"/>
      <c r="B41" s="169"/>
      <c r="C41" s="169"/>
      <c r="D41" s="169"/>
      <c r="E41" s="169"/>
      <c r="F41" s="169"/>
    </row>
    <row r="42" spans="1:9" ht="20.25" customHeight="1">
      <c r="A42" s="169"/>
      <c r="B42" s="169"/>
      <c r="C42" s="169"/>
      <c r="D42" s="169"/>
      <c r="E42" s="169"/>
      <c r="F42" s="169"/>
    </row>
    <row r="43" spans="1:9" ht="20.25" customHeight="1">
      <c r="A43" s="169"/>
      <c r="B43" s="169"/>
      <c r="C43" s="169"/>
      <c r="D43" s="169"/>
      <c r="E43" s="169"/>
      <c r="F43" s="169"/>
    </row>
    <row r="44" spans="1:9" ht="20.25" customHeight="1">
      <c r="A44" s="169"/>
      <c r="B44" s="169"/>
      <c r="C44" s="169"/>
      <c r="D44" s="169"/>
      <c r="E44" s="169"/>
      <c r="F44" s="169"/>
    </row>
    <row r="45" spans="1:9" ht="20.25" customHeight="1">
      <c r="A45" s="169"/>
      <c r="B45" s="169"/>
      <c r="C45" s="169"/>
      <c r="D45" s="169"/>
      <c r="E45" s="169"/>
      <c r="F45" s="169"/>
    </row>
    <row r="46" spans="1:9" ht="20.25" customHeight="1">
      <c r="A46" s="169"/>
      <c r="B46" s="169"/>
      <c r="C46" s="169"/>
      <c r="D46" s="169"/>
      <c r="E46" s="169"/>
      <c r="F46" s="169"/>
    </row>
    <row r="48" spans="1:9" ht="15" customHeight="1">
      <c r="A48" s="170" t="s">
        <v>227</v>
      </c>
      <c r="B48" s="170"/>
      <c r="C48" s="170"/>
      <c r="D48" s="170"/>
      <c r="E48" s="170"/>
      <c r="F48" s="170"/>
      <c r="G48" s="170"/>
      <c r="H48" s="170"/>
      <c r="I48" s="170"/>
    </row>
  </sheetData>
  <sheetProtection algorithmName="SHA-512" hashValue="AtvP28Ls9gaxgLgcFUvKylbbUlV81Xb78l64dy60Sbu2GRB5DozJUa6jAeCEmoKI3mUGp/IQNhdL87KTsXEFWg==" saltValue="d0pLYp3BjIS0445KH3KzyQ==" spinCount="100000" sheet="1" objects="1" scenarios="1"/>
  <mergeCells count="7">
    <mergeCell ref="A40:F46"/>
    <mergeCell ref="A48:I48"/>
    <mergeCell ref="C8:I15"/>
    <mergeCell ref="B8:B15"/>
    <mergeCell ref="C5:D5"/>
    <mergeCell ref="C6:D6"/>
    <mergeCell ref="B34:E38"/>
  </mergeCells>
  <pageMargins left="0.7" right="0.7" top="0.75" bottom="0.75" header="0.511811023622047" footer="0.511811023622047"/>
  <pageSetup paperSize="9" orientation="portrait" horizontalDpi="300" verticalDpi="300"/>
  <drawing r:id="rId1"/>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sheetPr>
    <tabColor rgb="FF586A6C"/>
  </sheetPr>
  <dimension ref="A1:K32"/>
  <sheetViews>
    <sheetView showGridLines="0" zoomScale="85" zoomScaleNormal="85" workbookViewId="0">
      <selection activeCell="A2" sqref="A2:H2"/>
    </sheetView>
  </sheetViews>
  <sheetFormatPr baseColWidth="10" defaultColWidth="9.140625" defaultRowHeight="15"/>
  <cols>
    <col min="1" max="1" width="56.7109375" style="1" customWidth="1"/>
    <col min="2" max="2" width="58" style="1" customWidth="1"/>
    <col min="3" max="3" width="42" style="1" customWidth="1"/>
    <col min="4" max="4" width="18" style="1" customWidth="1"/>
    <col min="5" max="5" width="30" style="1" customWidth="1"/>
    <col min="6" max="6" width="24" style="1" customWidth="1"/>
    <col min="7" max="7" width="35" style="1" customWidth="1"/>
    <col min="8" max="8" width="30" style="1" customWidth="1"/>
    <col min="9" max="9" width="12" style="1" customWidth="1"/>
    <col min="10" max="10" width="26" style="1" customWidth="1"/>
    <col min="11" max="11" width="8" style="1" customWidth="1"/>
  </cols>
  <sheetData>
    <row r="1" spans="1:11" ht="30" customHeight="1">
      <c r="A1" s="164" t="s">
        <v>228</v>
      </c>
      <c r="B1" s="164"/>
      <c r="C1" s="164"/>
      <c r="D1" s="164"/>
      <c r="E1" s="164"/>
      <c r="F1" s="164"/>
      <c r="G1" s="164"/>
      <c r="H1" s="164"/>
      <c r="I1" s="39"/>
      <c r="J1" s="39"/>
      <c r="K1" s="39"/>
    </row>
    <row r="2" spans="1:11" ht="30" customHeight="1">
      <c r="A2" s="176" t="s">
        <v>229</v>
      </c>
      <c r="B2" s="176"/>
      <c r="C2" s="176"/>
      <c r="D2" s="176"/>
      <c r="E2" s="176"/>
      <c r="F2" s="176"/>
      <c r="G2" s="176"/>
      <c r="H2" s="176"/>
    </row>
    <row r="3" spans="1:11">
      <c r="A3" s="41"/>
    </row>
    <row r="4" spans="1:11" ht="33.75" customHeight="1">
      <c r="A4" s="177" t="s">
        <v>230</v>
      </c>
      <c r="B4" s="177" t="s">
        <v>231</v>
      </c>
      <c r="C4" s="177" t="s">
        <v>232</v>
      </c>
      <c r="D4" s="177" t="s">
        <v>233</v>
      </c>
      <c r="E4" s="177" t="s">
        <v>234</v>
      </c>
      <c r="F4" s="177" t="s">
        <v>235</v>
      </c>
      <c r="G4" s="177" t="s">
        <v>236</v>
      </c>
      <c r="H4" s="177" t="s">
        <v>237</v>
      </c>
      <c r="I4" s="177"/>
      <c r="J4" s="177"/>
      <c r="K4" s="177"/>
    </row>
    <row r="5" spans="1:11" ht="25.5">
      <c r="A5" s="51" t="s">
        <v>238</v>
      </c>
      <c r="B5" s="51" t="s">
        <v>239</v>
      </c>
      <c r="C5" s="51">
        <v>2021</v>
      </c>
      <c r="D5" s="51" t="s">
        <v>240</v>
      </c>
      <c r="E5" s="51" t="s">
        <v>241</v>
      </c>
      <c r="F5" s="51" t="s">
        <v>242</v>
      </c>
      <c r="G5" s="51" t="s">
        <v>243</v>
      </c>
      <c r="H5" s="51" t="s">
        <v>244</v>
      </c>
      <c r="I5" s="52" t="s">
        <v>245</v>
      </c>
      <c r="J5" s="52" t="s">
        <v>246</v>
      </c>
      <c r="K5" s="52" t="s">
        <v>247</v>
      </c>
    </row>
    <row r="6" spans="1:11" ht="45.75" customHeight="1">
      <c r="A6" s="53" t="s">
        <v>248</v>
      </c>
      <c r="B6" s="53" t="s">
        <v>239</v>
      </c>
      <c r="C6" s="53">
        <v>2018</v>
      </c>
      <c r="D6" s="53" t="s">
        <v>249</v>
      </c>
      <c r="E6" s="53" t="s">
        <v>250</v>
      </c>
      <c r="F6" s="53" t="s">
        <v>251</v>
      </c>
      <c r="G6" s="53" t="s">
        <v>252</v>
      </c>
      <c r="H6" s="53" t="s">
        <v>253</v>
      </c>
      <c r="I6" s="54" t="s">
        <v>254</v>
      </c>
      <c r="J6" s="54" t="s">
        <v>255</v>
      </c>
      <c r="K6" s="55" t="s">
        <v>256</v>
      </c>
    </row>
    <row r="7" spans="1:11" ht="45.75" customHeight="1">
      <c r="A7" s="53" t="s">
        <v>257</v>
      </c>
      <c r="B7" s="53" t="s">
        <v>258</v>
      </c>
      <c r="C7" s="53">
        <v>2006</v>
      </c>
      <c r="D7" s="53" t="s">
        <v>259</v>
      </c>
      <c r="E7" s="53" t="s">
        <v>260</v>
      </c>
      <c r="F7" s="53" t="s">
        <v>261</v>
      </c>
      <c r="G7" s="53" t="s">
        <v>262</v>
      </c>
      <c r="H7" s="53" t="s">
        <v>244</v>
      </c>
      <c r="I7" s="54" t="s">
        <v>254</v>
      </c>
      <c r="J7" s="54" t="s">
        <v>255</v>
      </c>
      <c r="K7" s="55" t="s">
        <v>256</v>
      </c>
    </row>
    <row r="8" spans="1:11" ht="45.75" customHeight="1">
      <c r="A8" s="53" t="s">
        <v>263</v>
      </c>
      <c r="B8" s="53" t="s">
        <v>258</v>
      </c>
      <c r="C8" s="53">
        <v>2007</v>
      </c>
      <c r="D8" s="53" t="s">
        <v>259</v>
      </c>
      <c r="E8" s="53" t="s">
        <v>264</v>
      </c>
      <c r="F8" s="53" t="s">
        <v>265</v>
      </c>
      <c r="G8" s="53" t="s">
        <v>266</v>
      </c>
      <c r="H8" s="53" t="s">
        <v>244</v>
      </c>
      <c r="I8" s="54" t="s">
        <v>254</v>
      </c>
      <c r="J8" s="54" t="s">
        <v>267</v>
      </c>
      <c r="K8" s="55" t="s">
        <v>268</v>
      </c>
    </row>
    <row r="9" spans="1:11" ht="45.75" customHeight="1">
      <c r="A9" s="53" t="s">
        <v>269</v>
      </c>
      <c r="B9" s="53" t="s">
        <v>270</v>
      </c>
      <c r="C9" s="53">
        <v>2025</v>
      </c>
      <c r="D9" s="53" t="s">
        <v>259</v>
      </c>
      <c r="E9" s="53" t="s">
        <v>271</v>
      </c>
      <c r="F9" s="53" t="s">
        <v>272</v>
      </c>
      <c r="G9" s="53" t="s">
        <v>273</v>
      </c>
      <c r="H9" s="53" t="s">
        <v>244</v>
      </c>
      <c r="I9" s="54" t="s">
        <v>254</v>
      </c>
      <c r="J9" s="54" t="s">
        <v>274</v>
      </c>
      <c r="K9" s="55" t="s">
        <v>256</v>
      </c>
    </row>
    <row r="10" spans="1:11" ht="45.75" customHeight="1">
      <c r="A10" s="54" t="s">
        <v>275</v>
      </c>
      <c r="B10" s="54" t="s">
        <v>276</v>
      </c>
      <c r="C10" s="54">
        <v>2018</v>
      </c>
      <c r="D10" s="54" t="s">
        <v>259</v>
      </c>
      <c r="E10" s="54" t="s">
        <v>277</v>
      </c>
      <c r="F10" s="54" t="s">
        <v>278</v>
      </c>
      <c r="G10" s="54" t="s">
        <v>279</v>
      </c>
      <c r="H10" s="54" t="s">
        <v>280</v>
      </c>
      <c r="I10" s="54" t="s">
        <v>281</v>
      </c>
      <c r="J10" s="54" t="s">
        <v>282</v>
      </c>
      <c r="K10" s="55" t="s">
        <v>283</v>
      </c>
    </row>
    <row r="11" spans="1:11" ht="21.75" customHeight="1">
      <c r="A11" s="178" t="s">
        <v>284</v>
      </c>
      <c r="B11" s="178"/>
      <c r="C11" s="178"/>
      <c r="D11" s="178"/>
      <c r="E11" s="178"/>
      <c r="F11" s="178"/>
      <c r="G11" s="178"/>
      <c r="H11" s="178"/>
      <c r="I11" s="54" t="s">
        <v>254</v>
      </c>
      <c r="J11" s="54" t="s">
        <v>274</v>
      </c>
      <c r="K11" s="55" t="s">
        <v>256</v>
      </c>
    </row>
    <row r="12" spans="1:11">
      <c r="A12" s="51" t="s">
        <v>285</v>
      </c>
      <c r="B12" s="51" t="s">
        <v>286</v>
      </c>
      <c r="C12" s="51" t="s">
        <v>287</v>
      </c>
      <c r="D12" s="51" t="s">
        <v>288</v>
      </c>
    </row>
    <row r="13" spans="1:11" ht="30" customHeight="1">
      <c r="A13" s="53" t="s">
        <v>289</v>
      </c>
      <c r="B13" s="53" t="s">
        <v>290</v>
      </c>
      <c r="C13" s="53" t="s">
        <v>291</v>
      </c>
      <c r="D13" s="53" t="s">
        <v>292</v>
      </c>
      <c r="E13"/>
      <c r="F13"/>
      <c r="G13"/>
      <c r="H13"/>
      <c r="I13"/>
      <c r="J13"/>
      <c r="K13"/>
    </row>
    <row r="14" spans="1:11">
      <c r="A14" s="53" t="s">
        <v>293</v>
      </c>
      <c r="B14" s="53" t="s">
        <v>294</v>
      </c>
      <c r="C14" s="53" t="s">
        <v>295</v>
      </c>
      <c r="D14" s="53" t="s">
        <v>292</v>
      </c>
    </row>
    <row r="15" spans="1:11">
      <c r="A15" s="53" t="s">
        <v>296</v>
      </c>
      <c r="B15" s="53" t="s">
        <v>297</v>
      </c>
      <c r="C15" s="53" t="s">
        <v>298</v>
      </c>
      <c r="D15" s="53" t="s">
        <v>292</v>
      </c>
    </row>
    <row r="16" spans="1:11">
      <c r="A16" s="53" t="s">
        <v>299</v>
      </c>
      <c r="B16" s="53" t="s">
        <v>300</v>
      </c>
      <c r="C16" s="53" t="s">
        <v>301</v>
      </c>
      <c r="D16" s="53" t="s">
        <v>292</v>
      </c>
    </row>
    <row r="17" spans="1:11" ht="24">
      <c r="A17" s="53" t="s">
        <v>302</v>
      </c>
      <c r="B17" s="53" t="s">
        <v>303</v>
      </c>
      <c r="C17" s="53" t="s">
        <v>304</v>
      </c>
      <c r="D17" s="53" t="s">
        <v>292</v>
      </c>
    </row>
    <row r="18" spans="1:11" ht="36">
      <c r="A18" s="53" t="s">
        <v>305</v>
      </c>
      <c r="B18" s="53" t="s">
        <v>306</v>
      </c>
      <c r="C18" s="53">
        <v>2014</v>
      </c>
      <c r="D18" s="53" t="s">
        <v>259</v>
      </c>
      <c r="E18" s="53" t="s">
        <v>307</v>
      </c>
      <c r="F18" s="53" t="s">
        <v>308</v>
      </c>
      <c r="G18" s="53" t="s">
        <v>309</v>
      </c>
      <c r="H18" s="53" t="s">
        <v>244</v>
      </c>
      <c r="I18" s="53" t="s">
        <v>281</v>
      </c>
      <c r="J18" s="53" t="s">
        <v>310</v>
      </c>
      <c r="K18" s="53" t="s">
        <v>311</v>
      </c>
    </row>
    <row r="19" spans="1:11" ht="24">
      <c r="A19" s="53" t="s">
        <v>312</v>
      </c>
      <c r="B19" s="53" t="s">
        <v>313</v>
      </c>
      <c r="C19" s="53">
        <v>2015</v>
      </c>
      <c r="D19" s="53" t="s">
        <v>259</v>
      </c>
      <c r="E19" s="53" t="s">
        <v>202</v>
      </c>
      <c r="F19" s="53" t="s">
        <v>314</v>
      </c>
      <c r="G19" s="53" t="s">
        <v>315</v>
      </c>
      <c r="H19" s="53" t="s">
        <v>316</v>
      </c>
      <c r="I19" s="53" t="s">
        <v>281</v>
      </c>
      <c r="J19" s="53" t="s">
        <v>317</v>
      </c>
      <c r="K19" s="53" t="s">
        <v>311</v>
      </c>
    </row>
    <row r="20" spans="1:11">
      <c r="A20" s="53" t="s">
        <v>318</v>
      </c>
      <c r="B20" s="53" t="s">
        <v>239</v>
      </c>
      <c r="C20" s="53">
        <v>2021</v>
      </c>
      <c r="D20" s="53" t="s">
        <v>319</v>
      </c>
      <c r="E20" s="53" t="s">
        <v>320</v>
      </c>
      <c r="F20" s="53" t="s">
        <v>321</v>
      </c>
      <c r="G20" s="53" t="s">
        <v>322</v>
      </c>
      <c r="H20" s="53" t="s">
        <v>244</v>
      </c>
      <c r="I20" s="53" t="s">
        <v>281</v>
      </c>
      <c r="J20" s="53" t="s">
        <v>323</v>
      </c>
      <c r="K20" s="53" t="s">
        <v>256</v>
      </c>
    </row>
    <row r="21" spans="1:11" ht="24">
      <c r="A21" s="53" t="s">
        <v>324</v>
      </c>
      <c r="B21" s="53" t="s">
        <v>313</v>
      </c>
      <c r="C21" s="53">
        <v>2011</v>
      </c>
      <c r="D21" s="53" t="s">
        <v>259</v>
      </c>
      <c r="E21" s="53" t="s">
        <v>307</v>
      </c>
      <c r="F21" s="53" t="s">
        <v>325</v>
      </c>
      <c r="G21" s="53" t="s">
        <v>326</v>
      </c>
      <c r="H21" s="53" t="s">
        <v>327</v>
      </c>
      <c r="I21" s="53" t="s">
        <v>281</v>
      </c>
      <c r="J21" s="53" t="s">
        <v>328</v>
      </c>
      <c r="K21" s="53" t="s">
        <v>311</v>
      </c>
    </row>
    <row r="22" spans="1:11" ht="24">
      <c r="A22" s="53" t="s">
        <v>329</v>
      </c>
      <c r="B22" s="53" t="s">
        <v>330</v>
      </c>
      <c r="C22" s="53" t="s">
        <v>331</v>
      </c>
      <c r="D22" s="53" t="s">
        <v>259</v>
      </c>
      <c r="E22" s="53" t="s">
        <v>307</v>
      </c>
      <c r="F22" s="53" t="s">
        <v>332</v>
      </c>
      <c r="G22" s="53" t="s">
        <v>333</v>
      </c>
      <c r="H22" s="53" t="s">
        <v>334</v>
      </c>
      <c r="I22" s="53" t="s">
        <v>281</v>
      </c>
      <c r="J22" s="53" t="s">
        <v>335</v>
      </c>
      <c r="K22" s="53" t="s">
        <v>256</v>
      </c>
    </row>
    <row r="23" spans="1:11" ht="24">
      <c r="A23" s="53" t="s">
        <v>336</v>
      </c>
      <c r="B23" s="53" t="s">
        <v>258</v>
      </c>
      <c r="C23" s="53">
        <v>2006</v>
      </c>
      <c r="D23" s="53" t="s">
        <v>259</v>
      </c>
      <c r="E23" s="53" t="s">
        <v>260</v>
      </c>
      <c r="F23" s="53" t="s">
        <v>337</v>
      </c>
      <c r="G23" s="53" t="s">
        <v>338</v>
      </c>
      <c r="H23" s="53" t="s">
        <v>339</v>
      </c>
      <c r="I23" s="53" t="s">
        <v>281</v>
      </c>
      <c r="J23" s="53" t="s">
        <v>340</v>
      </c>
      <c r="K23" s="53" t="s">
        <v>256</v>
      </c>
    </row>
    <row r="25" spans="1:11">
      <c r="A25" s="58" t="s">
        <v>285</v>
      </c>
      <c r="B25" s="58" t="s">
        <v>286</v>
      </c>
      <c r="C25" s="58" t="s">
        <v>341</v>
      </c>
      <c r="D25" s="58" t="s">
        <v>342</v>
      </c>
    </row>
    <row r="26" spans="1:11" ht="24">
      <c r="A26" s="53" t="s">
        <v>343</v>
      </c>
      <c r="B26" s="53" t="s">
        <v>344</v>
      </c>
      <c r="C26" s="53" t="s">
        <v>345</v>
      </c>
      <c r="D26" s="53" t="s">
        <v>346</v>
      </c>
    </row>
    <row r="27" spans="1:11" ht="24">
      <c r="A27" s="53" t="s">
        <v>347</v>
      </c>
      <c r="B27" s="53" t="s">
        <v>348</v>
      </c>
      <c r="C27" s="53" t="s">
        <v>349</v>
      </c>
      <c r="D27" s="53" t="s">
        <v>346</v>
      </c>
    </row>
    <row r="28" spans="1:11" ht="24">
      <c r="A28" s="53" t="s">
        <v>350</v>
      </c>
      <c r="B28" s="53" t="s">
        <v>351</v>
      </c>
      <c r="C28" s="53" t="s">
        <v>352</v>
      </c>
      <c r="D28" s="53" t="s">
        <v>346</v>
      </c>
    </row>
    <row r="29" spans="1:11">
      <c r="A29" s="53" t="s">
        <v>353</v>
      </c>
      <c r="B29" s="53" t="s">
        <v>354</v>
      </c>
      <c r="C29" s="53" t="s">
        <v>355</v>
      </c>
      <c r="D29" s="53" t="s">
        <v>346</v>
      </c>
    </row>
    <row r="30" spans="1:11">
      <c r="A30" s="53" t="s">
        <v>356</v>
      </c>
      <c r="B30" s="53" t="s">
        <v>357</v>
      </c>
      <c r="C30" s="53" t="s">
        <v>358</v>
      </c>
      <c r="D30" s="53" t="s">
        <v>346</v>
      </c>
    </row>
    <row r="31" spans="1:11">
      <c r="A31" s="53" t="s">
        <v>359</v>
      </c>
      <c r="B31" s="53" t="s">
        <v>360</v>
      </c>
      <c r="C31" s="53" t="s">
        <v>361</v>
      </c>
      <c r="D31" s="53" t="s">
        <v>346</v>
      </c>
    </row>
    <row r="32" spans="1:11" ht="24">
      <c r="A32" s="53" t="s">
        <v>362</v>
      </c>
      <c r="B32" s="53" t="s">
        <v>363</v>
      </c>
      <c r="C32" s="53" t="s">
        <v>364</v>
      </c>
      <c r="D32" s="53" t="s">
        <v>346</v>
      </c>
    </row>
  </sheetData>
  <sheetProtection algorithmName="SHA-512" hashValue="nXA3k+GuCNMrO5ybt0NxLLt+33MAxbSSjAhQBvMGh6tkoLZOJrcFCMLvFfoNkSHKPAl1Yf/Adz/VEdLpQYHk/A==" saltValue="z9+QxIrk3FqFWHLDf+bTjg==" spinCount="100000" sheet="1" objects="1" scenarios="1"/>
  <mergeCells count="4">
    <mergeCell ref="A1:H1"/>
    <mergeCell ref="A2:H2"/>
    <mergeCell ref="A4:K4"/>
    <mergeCell ref="A11:H11"/>
  </mergeCells>
  <pageMargins left="0.7" right="0.7" top="0.75" bottom="0.75" header="0.511811023622047" footer="0.511811023622047"/>
  <pageSetup paperSize="9" orientation="portrait" horizontalDpi="300" verticalDpi="300"/>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sheetPr>
    <tabColor rgb="FF586A6C"/>
  </sheetPr>
  <dimension ref="A1:CC230"/>
  <sheetViews>
    <sheetView showGridLines="0" zoomScaleNormal="100" workbookViewId="0"/>
  </sheetViews>
  <sheetFormatPr baseColWidth="10" defaultColWidth="10.7109375" defaultRowHeight="15"/>
  <sheetData>
    <row r="1" spans="1:81" ht="45" customHeight="1">
      <c r="A1" s="59" t="s">
        <v>365</v>
      </c>
      <c r="B1" s="59" t="s">
        <v>366</v>
      </c>
      <c r="C1" s="59" t="s">
        <v>367</v>
      </c>
      <c r="D1" s="59" t="s">
        <v>368</v>
      </c>
      <c r="F1" s="59" t="s">
        <v>365</v>
      </c>
      <c r="G1" s="59" t="s">
        <v>369</v>
      </c>
      <c r="H1" s="59" t="s">
        <v>370</v>
      </c>
      <c r="I1" s="59" t="s">
        <v>371</v>
      </c>
      <c r="K1" s="59" t="s">
        <v>372</v>
      </c>
      <c r="L1" s="59" t="s">
        <v>373</v>
      </c>
      <c r="M1" s="59" t="s">
        <v>374</v>
      </c>
      <c r="N1" s="59" t="s">
        <v>375</v>
      </c>
      <c r="P1" s="59" t="s">
        <v>376</v>
      </c>
      <c r="Q1" s="59" t="s">
        <v>377</v>
      </c>
      <c r="R1" s="59" t="s">
        <v>378</v>
      </c>
      <c r="S1" s="59" t="s">
        <v>379</v>
      </c>
      <c r="U1" s="59" t="s">
        <v>380</v>
      </c>
      <c r="V1" s="59" t="s">
        <v>381</v>
      </c>
      <c r="W1" s="59" t="s">
        <v>382</v>
      </c>
      <c r="X1" s="59" t="s">
        <v>383</v>
      </c>
      <c r="Y1" s="59" t="s">
        <v>384</v>
      </c>
      <c r="Z1" s="59" t="s">
        <v>385</v>
      </c>
      <c r="AB1" s="59" t="s">
        <v>386</v>
      </c>
      <c r="AC1" s="59" t="s">
        <v>387</v>
      </c>
      <c r="AD1" s="59" t="s">
        <v>388</v>
      </c>
      <c r="AE1" s="59" t="s">
        <v>389</v>
      </c>
      <c r="AF1" s="59" t="s">
        <v>390</v>
      </c>
      <c r="AG1" s="59" t="s">
        <v>391</v>
      </c>
      <c r="AI1" s="59" t="s">
        <v>392</v>
      </c>
      <c r="AJ1" s="59" t="s">
        <v>393</v>
      </c>
      <c r="AK1" s="59" t="s">
        <v>394</v>
      </c>
      <c r="AL1" s="59" t="s">
        <v>395</v>
      </c>
      <c r="AM1" s="59" t="s">
        <v>396</v>
      </c>
      <c r="AN1" s="59" t="s">
        <v>397</v>
      </c>
      <c r="AP1" s="59" t="s">
        <v>398</v>
      </c>
      <c r="AQ1" s="59" t="s">
        <v>399</v>
      </c>
      <c r="AR1" s="59" t="s">
        <v>400</v>
      </c>
      <c r="AS1" s="59" t="s">
        <v>401</v>
      </c>
      <c r="AT1" s="59" t="s">
        <v>402</v>
      </c>
      <c r="AU1" s="59" t="s">
        <v>403</v>
      </c>
      <c r="AW1" s="59" t="s">
        <v>404</v>
      </c>
      <c r="AX1" s="59" t="s">
        <v>405</v>
      </c>
      <c r="AY1" s="59" t="s">
        <v>406</v>
      </c>
      <c r="AZ1" s="59" t="s">
        <v>407</v>
      </c>
      <c r="BA1" s="59" t="s">
        <v>408</v>
      </c>
      <c r="BB1" s="59" t="s">
        <v>409</v>
      </c>
      <c r="BC1" s="59" t="s">
        <v>410</v>
      </c>
      <c r="BD1" s="59" t="s">
        <v>411</v>
      </c>
      <c r="BE1" s="59" t="s">
        <v>412</v>
      </c>
      <c r="BG1" s="59" t="s">
        <v>413</v>
      </c>
      <c r="BH1" s="59" t="s">
        <v>414</v>
      </c>
      <c r="BI1" s="59" t="s">
        <v>415</v>
      </c>
      <c r="BJ1" s="59" t="s">
        <v>416</v>
      </c>
      <c r="BK1" s="59" t="s">
        <v>417</v>
      </c>
      <c r="BL1" s="59" t="s">
        <v>418</v>
      </c>
      <c r="BM1" s="59" t="s">
        <v>419</v>
      </c>
      <c r="BN1" s="59" t="s">
        <v>420</v>
      </c>
      <c r="BO1" s="59" t="s">
        <v>421</v>
      </c>
      <c r="BQ1" s="59" t="s">
        <v>422</v>
      </c>
      <c r="BR1" s="59" t="s">
        <v>423</v>
      </c>
      <c r="BS1" s="59" t="s">
        <v>424</v>
      </c>
      <c r="BT1" s="59" t="s">
        <v>425</v>
      </c>
      <c r="BU1" s="59" t="s">
        <v>426</v>
      </c>
      <c r="BV1" s="59" t="s">
        <v>427</v>
      </c>
      <c r="BX1" s="59" t="s">
        <v>428</v>
      </c>
      <c r="BY1" s="59" t="s">
        <v>429</v>
      </c>
      <c r="BZ1" s="59" t="s">
        <v>430</v>
      </c>
      <c r="CA1" s="59" t="s">
        <v>431</v>
      </c>
      <c r="CB1" s="59" t="s">
        <v>432</v>
      </c>
      <c r="CC1" s="59" t="s">
        <v>433</v>
      </c>
    </row>
    <row r="2" spans="1:81">
      <c r="A2" s="60">
        <v>61</v>
      </c>
      <c r="B2" s="60">
        <v>-0.88859999999999995</v>
      </c>
      <c r="C2" s="60">
        <v>15.2441</v>
      </c>
      <c r="D2" s="60">
        <v>9.6920000000000006E-2</v>
      </c>
      <c r="F2" s="60">
        <v>61</v>
      </c>
      <c r="G2" s="60">
        <v>-0.73870000000000002</v>
      </c>
      <c r="H2" s="60">
        <v>15.264099999999999</v>
      </c>
      <c r="I2" s="60">
        <v>8.3900000000000002E-2</v>
      </c>
      <c r="K2" s="60">
        <v>0</v>
      </c>
      <c r="L2" s="60">
        <v>0.38090000000000002</v>
      </c>
      <c r="M2" s="60">
        <v>3.2322000000000002</v>
      </c>
      <c r="N2" s="60">
        <v>0.14171</v>
      </c>
      <c r="P2" s="60">
        <v>0</v>
      </c>
      <c r="Q2" s="60">
        <v>0.34870000000000001</v>
      </c>
      <c r="R2" s="60">
        <v>3.3464</v>
      </c>
      <c r="S2" s="60">
        <v>0.14602000000000001</v>
      </c>
      <c r="U2" s="60">
        <v>0</v>
      </c>
      <c r="V2" s="60">
        <v>45.4</v>
      </c>
      <c r="W2" s="60">
        <v>47.3</v>
      </c>
      <c r="X2" s="60">
        <v>49.1</v>
      </c>
      <c r="Y2" s="60">
        <v>51</v>
      </c>
      <c r="Z2" s="60">
        <v>52.9</v>
      </c>
      <c r="AB2" s="60">
        <v>0</v>
      </c>
      <c r="AC2" s="60">
        <v>46.1</v>
      </c>
      <c r="AD2" s="60">
        <v>48</v>
      </c>
      <c r="AE2" s="60">
        <v>49.9</v>
      </c>
      <c r="AF2" s="60">
        <v>51.8</v>
      </c>
      <c r="AG2" s="60">
        <v>53.7</v>
      </c>
      <c r="AI2" s="60">
        <v>0</v>
      </c>
      <c r="AJ2" s="60">
        <v>31.5</v>
      </c>
      <c r="AK2" s="60">
        <v>32.700000000000003</v>
      </c>
      <c r="AL2" s="60">
        <v>33.9</v>
      </c>
      <c r="AM2" s="60">
        <v>35.1</v>
      </c>
      <c r="AN2" s="60">
        <v>36.200000000000003</v>
      </c>
      <c r="AP2" s="60">
        <v>0</v>
      </c>
      <c r="AQ2" s="60">
        <v>31.9</v>
      </c>
      <c r="AR2" s="60">
        <v>33.200000000000003</v>
      </c>
      <c r="AS2" s="60">
        <v>34.5</v>
      </c>
      <c r="AT2" s="60">
        <v>35.700000000000003</v>
      </c>
      <c r="AU2" s="60">
        <v>37</v>
      </c>
      <c r="AW2" s="60">
        <v>45</v>
      </c>
      <c r="AX2" s="60">
        <v>-0.38329999999999997</v>
      </c>
      <c r="AY2" s="60">
        <v>2.4607000000000001</v>
      </c>
      <c r="AZ2" s="60">
        <v>9.0289999999999995E-2</v>
      </c>
      <c r="BA2" s="60">
        <v>2.1</v>
      </c>
      <c r="BB2" s="60">
        <v>2.2999999999999998</v>
      </c>
      <c r="BC2" s="60">
        <v>2.5</v>
      </c>
      <c r="BD2" s="60">
        <v>2.7</v>
      </c>
      <c r="BE2" s="60">
        <v>3</v>
      </c>
      <c r="BG2" s="60">
        <v>45</v>
      </c>
      <c r="BH2" s="60">
        <v>-0.35210000000000002</v>
      </c>
      <c r="BI2" s="60">
        <v>2.4409999999999998</v>
      </c>
      <c r="BJ2" s="60">
        <v>9.1819999999999999E-2</v>
      </c>
      <c r="BK2" s="60">
        <v>2</v>
      </c>
      <c r="BL2" s="60">
        <v>2.2000000000000002</v>
      </c>
      <c r="BM2" s="60">
        <v>2.4</v>
      </c>
      <c r="BN2" s="60">
        <v>2.7</v>
      </c>
      <c r="BO2" s="60">
        <v>3</v>
      </c>
      <c r="BQ2" s="60">
        <v>5</v>
      </c>
      <c r="BR2" s="60">
        <v>48.5</v>
      </c>
      <c r="BS2" s="60">
        <v>50.1</v>
      </c>
      <c r="BT2" s="60">
        <v>53</v>
      </c>
      <c r="BU2" s="60">
        <v>56.7</v>
      </c>
      <c r="BV2" s="60">
        <v>61.4</v>
      </c>
      <c r="BX2" s="60">
        <v>5</v>
      </c>
      <c r="BY2" s="60">
        <v>48.4</v>
      </c>
      <c r="BZ2" s="60">
        <v>50.6</v>
      </c>
      <c r="CA2" s="60">
        <v>53.2</v>
      </c>
      <c r="CB2" s="60">
        <v>56.4</v>
      </c>
      <c r="CC2" s="60">
        <v>61</v>
      </c>
    </row>
    <row r="3" spans="1:81">
      <c r="A3" s="60">
        <v>62</v>
      </c>
      <c r="B3" s="60">
        <v>-0.90680000000000005</v>
      </c>
      <c r="C3" s="60">
        <v>15.243399999999999</v>
      </c>
      <c r="D3" s="60">
        <v>9.7379999999999994E-2</v>
      </c>
      <c r="F3" s="60">
        <v>62</v>
      </c>
      <c r="G3" s="60">
        <v>-0.7621</v>
      </c>
      <c r="H3" s="60">
        <v>15.2616</v>
      </c>
      <c r="I3" s="60">
        <v>8.4140000000000006E-2</v>
      </c>
      <c r="K3" s="60">
        <v>1</v>
      </c>
      <c r="L3" s="60">
        <v>0.1714</v>
      </c>
      <c r="M3" s="60">
        <v>4.1872999999999996</v>
      </c>
      <c r="N3" s="60">
        <v>0.13724</v>
      </c>
      <c r="P3" s="60">
        <v>1</v>
      </c>
      <c r="Q3" s="60">
        <v>0.22969999999999999</v>
      </c>
      <c r="R3" s="60">
        <v>4.4709000000000003</v>
      </c>
      <c r="S3" s="60">
        <v>0.13395000000000001</v>
      </c>
      <c r="U3" s="60">
        <v>1</v>
      </c>
      <c r="V3" s="60">
        <v>49.8</v>
      </c>
      <c r="W3" s="60">
        <v>51.7</v>
      </c>
      <c r="X3" s="60">
        <v>53.7</v>
      </c>
      <c r="Y3" s="60">
        <v>55.6</v>
      </c>
      <c r="Z3" s="60">
        <v>57.6</v>
      </c>
      <c r="AB3" s="60">
        <v>1</v>
      </c>
      <c r="AC3" s="60">
        <v>50.8</v>
      </c>
      <c r="AD3" s="60">
        <v>52.8</v>
      </c>
      <c r="AE3" s="60">
        <v>54.7</v>
      </c>
      <c r="AF3" s="60">
        <v>56.7</v>
      </c>
      <c r="AG3" s="60">
        <v>58.6</v>
      </c>
      <c r="AI3" s="60">
        <v>1</v>
      </c>
      <c r="AJ3" s="60">
        <v>34.200000000000003</v>
      </c>
      <c r="AK3" s="60">
        <v>35.4</v>
      </c>
      <c r="AL3" s="60">
        <v>36.5</v>
      </c>
      <c r="AM3" s="60">
        <v>37.700000000000003</v>
      </c>
      <c r="AN3" s="60">
        <v>38.9</v>
      </c>
      <c r="AP3" s="60">
        <v>1</v>
      </c>
      <c r="AQ3" s="60">
        <v>34.9</v>
      </c>
      <c r="AR3" s="60">
        <v>36.1</v>
      </c>
      <c r="AS3" s="60">
        <v>37.299999999999997</v>
      </c>
      <c r="AT3" s="60">
        <v>38.4</v>
      </c>
      <c r="AU3" s="60">
        <v>39.6</v>
      </c>
      <c r="AW3" s="60">
        <v>45.5</v>
      </c>
      <c r="AX3" s="60">
        <v>-0.38329999999999997</v>
      </c>
      <c r="AY3" s="60">
        <v>2.5457000000000001</v>
      </c>
      <c r="AZ3" s="60">
        <v>9.0329999999999994E-2</v>
      </c>
      <c r="BA3" s="60">
        <v>2.1</v>
      </c>
      <c r="BB3" s="60">
        <v>2.2999999999999998</v>
      </c>
      <c r="BC3" s="60">
        <v>2.5</v>
      </c>
      <c r="BD3" s="60">
        <v>2.8</v>
      </c>
      <c r="BE3" s="60">
        <v>3.1</v>
      </c>
      <c r="BG3" s="60">
        <v>45.5</v>
      </c>
      <c r="BH3" s="60">
        <v>-0.35210000000000002</v>
      </c>
      <c r="BI3" s="60">
        <v>2.5244</v>
      </c>
      <c r="BJ3" s="60">
        <v>9.153E-2</v>
      </c>
      <c r="BK3" s="60">
        <v>2.1</v>
      </c>
      <c r="BL3" s="60">
        <v>2.2999999999999998</v>
      </c>
      <c r="BM3" s="60">
        <v>2.5</v>
      </c>
      <c r="BN3" s="60">
        <v>2.8</v>
      </c>
      <c r="BO3" s="60">
        <v>3.1</v>
      </c>
      <c r="BQ3" s="60">
        <v>6</v>
      </c>
      <c r="BR3" s="60">
        <v>50.1</v>
      </c>
      <c r="BS3" s="60">
        <v>51.8</v>
      </c>
      <c r="BT3" s="60">
        <v>55</v>
      </c>
      <c r="BU3" s="60">
        <v>59.1</v>
      </c>
      <c r="BV3" s="60">
        <v>64.099999999999994</v>
      </c>
      <c r="BX3" s="60">
        <v>6</v>
      </c>
      <c r="BY3" s="60">
        <v>50.1</v>
      </c>
      <c r="BZ3" s="60">
        <v>52.4</v>
      </c>
      <c r="CA3" s="60">
        <v>55.2</v>
      </c>
      <c r="CB3" s="60">
        <v>59</v>
      </c>
      <c r="CC3" s="60">
        <v>64.400000000000006</v>
      </c>
    </row>
    <row r="4" spans="1:81">
      <c r="A4" s="60">
        <v>63</v>
      </c>
      <c r="B4" s="60">
        <v>-0.92479999999999996</v>
      </c>
      <c r="C4" s="60">
        <v>15.2433</v>
      </c>
      <c r="D4" s="60">
        <v>9.783E-2</v>
      </c>
      <c r="F4" s="60">
        <v>63</v>
      </c>
      <c r="G4" s="60">
        <v>-0.78559999999999997</v>
      </c>
      <c r="H4" s="60">
        <v>15.260400000000001</v>
      </c>
      <c r="I4" s="60">
        <v>8.4390000000000007E-2</v>
      </c>
      <c r="K4" s="60">
        <v>2</v>
      </c>
      <c r="L4" s="60">
        <v>9.6199999999999994E-2</v>
      </c>
      <c r="M4" s="60">
        <v>5.1281999999999996</v>
      </c>
      <c r="N4" s="60">
        <v>0.13</v>
      </c>
      <c r="P4" s="60">
        <v>2</v>
      </c>
      <c r="Q4" s="60">
        <v>0.19700000000000001</v>
      </c>
      <c r="R4" s="60">
        <v>5.5674999999999999</v>
      </c>
      <c r="S4" s="60">
        <v>0.12385</v>
      </c>
      <c r="U4" s="60">
        <v>2</v>
      </c>
      <c r="V4" s="60">
        <v>53</v>
      </c>
      <c r="W4" s="60">
        <v>55</v>
      </c>
      <c r="X4" s="60">
        <v>57.1</v>
      </c>
      <c r="Y4" s="60">
        <v>59.1</v>
      </c>
      <c r="Z4" s="60">
        <v>61.1</v>
      </c>
      <c r="AB4" s="60">
        <v>2</v>
      </c>
      <c r="AC4" s="60">
        <v>54.4</v>
      </c>
      <c r="AD4" s="60">
        <v>56.4</v>
      </c>
      <c r="AE4" s="60">
        <v>58.4</v>
      </c>
      <c r="AF4" s="60">
        <v>60.4</v>
      </c>
      <c r="AG4" s="60">
        <v>62.4</v>
      </c>
      <c r="AI4" s="60">
        <v>2</v>
      </c>
      <c r="AJ4" s="60">
        <v>35.799999999999997</v>
      </c>
      <c r="AK4" s="60">
        <v>37</v>
      </c>
      <c r="AL4" s="60">
        <v>38.299999999999997</v>
      </c>
      <c r="AM4" s="60">
        <v>39.5</v>
      </c>
      <c r="AN4" s="60">
        <v>40.700000000000003</v>
      </c>
      <c r="AP4" s="60">
        <v>2</v>
      </c>
      <c r="AQ4" s="60">
        <v>36.799999999999997</v>
      </c>
      <c r="AR4" s="60">
        <v>38</v>
      </c>
      <c r="AS4" s="60">
        <v>39.1</v>
      </c>
      <c r="AT4" s="60">
        <v>40.299999999999997</v>
      </c>
      <c r="AU4" s="60">
        <v>41.5</v>
      </c>
      <c r="AW4" s="60">
        <v>46</v>
      </c>
      <c r="AX4" s="60">
        <v>-0.38329999999999997</v>
      </c>
      <c r="AY4" s="60">
        <v>2.6305999999999998</v>
      </c>
      <c r="AZ4" s="60">
        <v>9.0370000000000006E-2</v>
      </c>
      <c r="BA4" s="60">
        <v>2.2000000000000002</v>
      </c>
      <c r="BB4" s="60">
        <v>2.4</v>
      </c>
      <c r="BC4" s="60">
        <v>2.6</v>
      </c>
      <c r="BD4" s="60">
        <v>2.9</v>
      </c>
      <c r="BE4" s="60">
        <v>3.2</v>
      </c>
      <c r="BG4" s="60">
        <v>46</v>
      </c>
      <c r="BH4" s="60">
        <v>-0.35210000000000002</v>
      </c>
      <c r="BI4" s="60">
        <v>2.6076999999999999</v>
      </c>
      <c r="BJ4" s="60">
        <v>9.1240000000000002E-2</v>
      </c>
      <c r="BK4" s="60">
        <v>2.2000000000000002</v>
      </c>
      <c r="BL4" s="60">
        <v>2.4</v>
      </c>
      <c r="BM4" s="60">
        <v>2.6</v>
      </c>
      <c r="BN4" s="60">
        <v>2.9</v>
      </c>
      <c r="BO4" s="60">
        <v>3.1</v>
      </c>
      <c r="BQ4" s="60">
        <v>7</v>
      </c>
      <c r="BR4" s="60">
        <v>51.6</v>
      </c>
      <c r="BS4" s="60">
        <v>53.5</v>
      </c>
      <c r="BT4" s="60">
        <v>56.9</v>
      </c>
      <c r="BU4" s="60">
        <v>61.5</v>
      </c>
      <c r="BV4" s="60">
        <v>67.5</v>
      </c>
      <c r="BX4" s="60">
        <v>7</v>
      </c>
      <c r="BY4" s="60">
        <v>51.8</v>
      </c>
      <c r="BZ4" s="60">
        <v>54.3</v>
      </c>
      <c r="CA4" s="60">
        <v>57.2</v>
      </c>
      <c r="CB4" s="60">
        <v>61.5</v>
      </c>
      <c r="CC4" s="60">
        <v>67.8</v>
      </c>
    </row>
    <row r="5" spans="1:81">
      <c r="A5" s="60">
        <v>64</v>
      </c>
      <c r="B5" s="60">
        <v>-0.94269999999999998</v>
      </c>
      <c r="C5" s="60">
        <v>15.2438</v>
      </c>
      <c r="D5" s="60">
        <v>9.8290000000000002E-2</v>
      </c>
      <c r="F5" s="60">
        <v>64</v>
      </c>
      <c r="G5" s="60">
        <v>-0.80889999999999995</v>
      </c>
      <c r="H5" s="60">
        <v>15.2605</v>
      </c>
      <c r="I5" s="60">
        <v>8.4640000000000007E-2</v>
      </c>
      <c r="K5" s="60">
        <v>3</v>
      </c>
      <c r="L5" s="60">
        <v>4.02E-2</v>
      </c>
      <c r="M5" s="60">
        <v>5.8457999999999997</v>
      </c>
      <c r="N5" s="60">
        <v>0.12619</v>
      </c>
      <c r="P5" s="60">
        <v>3</v>
      </c>
      <c r="Q5" s="60">
        <v>0.17380000000000001</v>
      </c>
      <c r="R5" s="60">
        <v>6.3761999999999999</v>
      </c>
      <c r="S5" s="60">
        <v>0.11727</v>
      </c>
      <c r="U5" s="60">
        <v>3</v>
      </c>
      <c r="V5" s="60">
        <v>55.6</v>
      </c>
      <c r="W5" s="60">
        <v>57.7</v>
      </c>
      <c r="X5" s="60">
        <v>59.8</v>
      </c>
      <c r="Y5" s="60">
        <v>61.9</v>
      </c>
      <c r="Z5" s="60">
        <v>64</v>
      </c>
      <c r="AB5" s="60">
        <v>3</v>
      </c>
      <c r="AC5" s="60">
        <v>57.3</v>
      </c>
      <c r="AD5" s="60">
        <v>59.4</v>
      </c>
      <c r="AE5" s="60">
        <v>61.4</v>
      </c>
      <c r="AF5" s="60">
        <v>63.5</v>
      </c>
      <c r="AG5" s="60">
        <v>65.5</v>
      </c>
      <c r="AI5" s="60">
        <v>3</v>
      </c>
      <c r="AJ5" s="60">
        <v>37.1</v>
      </c>
      <c r="AK5" s="60">
        <v>38.299999999999997</v>
      </c>
      <c r="AL5" s="60">
        <v>39.5</v>
      </c>
      <c r="AM5" s="60">
        <v>40.799999999999997</v>
      </c>
      <c r="AN5" s="60">
        <v>42</v>
      </c>
      <c r="AP5" s="60">
        <v>3</v>
      </c>
      <c r="AQ5" s="60">
        <v>38.1</v>
      </c>
      <c r="AR5" s="60">
        <v>39.299999999999997</v>
      </c>
      <c r="AS5" s="60">
        <v>40.5</v>
      </c>
      <c r="AT5" s="60">
        <v>41.7</v>
      </c>
      <c r="AU5" s="60">
        <v>42.9</v>
      </c>
      <c r="AW5" s="60">
        <v>46.5</v>
      </c>
      <c r="AX5" s="60">
        <v>-0.38329999999999997</v>
      </c>
      <c r="AY5" s="60">
        <v>2.7155</v>
      </c>
      <c r="AZ5" s="60">
        <v>9.0399999999999994E-2</v>
      </c>
      <c r="BA5" s="60">
        <v>2.2999999999999998</v>
      </c>
      <c r="BB5" s="60">
        <v>2.5</v>
      </c>
      <c r="BC5" s="60">
        <v>2.7</v>
      </c>
      <c r="BD5" s="60">
        <v>3</v>
      </c>
      <c r="BE5" s="60">
        <v>3.3</v>
      </c>
      <c r="BG5" s="60">
        <v>46.5</v>
      </c>
      <c r="BH5" s="60">
        <v>-0.35210000000000002</v>
      </c>
      <c r="BI5" s="60">
        <v>2.6913</v>
      </c>
      <c r="BJ5" s="60">
        <v>9.0939999999999993E-2</v>
      </c>
      <c r="BK5" s="60">
        <v>2.2999999999999998</v>
      </c>
      <c r="BL5" s="60">
        <v>2.5</v>
      </c>
      <c r="BM5" s="60">
        <v>2.7</v>
      </c>
      <c r="BN5" s="60">
        <v>3</v>
      </c>
      <c r="BO5" s="60">
        <v>3.2</v>
      </c>
      <c r="BQ5" s="60">
        <v>8</v>
      </c>
      <c r="BR5" s="60">
        <v>53.2</v>
      </c>
      <c r="BS5" s="60">
        <v>55.2</v>
      </c>
      <c r="BT5" s="60">
        <v>58.9</v>
      </c>
      <c r="BU5" s="60">
        <v>63.9</v>
      </c>
      <c r="BV5" s="60">
        <v>70.5</v>
      </c>
      <c r="BX5" s="60">
        <v>8</v>
      </c>
      <c r="BY5" s="60">
        <v>53.5</v>
      </c>
      <c r="BZ5" s="60">
        <v>56.1</v>
      </c>
      <c r="CA5" s="60">
        <v>59.3</v>
      </c>
      <c r="CB5" s="60">
        <v>64.099999999999994</v>
      </c>
      <c r="CC5" s="60">
        <v>71.2</v>
      </c>
    </row>
    <row r="6" spans="1:81">
      <c r="A6" s="60">
        <v>65</v>
      </c>
      <c r="B6" s="60">
        <v>-0.96050000000000002</v>
      </c>
      <c r="C6" s="60">
        <v>15.2448</v>
      </c>
      <c r="D6" s="60">
        <v>9.8750000000000004E-2</v>
      </c>
      <c r="F6" s="60">
        <v>65</v>
      </c>
      <c r="G6" s="60">
        <v>-0.83220000000000005</v>
      </c>
      <c r="H6" s="60">
        <v>15.261900000000001</v>
      </c>
      <c r="I6" s="60">
        <v>8.4900000000000003E-2</v>
      </c>
      <c r="K6" s="60">
        <v>4</v>
      </c>
      <c r="L6" s="60">
        <v>-5.0000000000000001E-3</v>
      </c>
      <c r="M6" s="60">
        <v>6.4237000000000002</v>
      </c>
      <c r="N6" s="60">
        <v>0.12402000000000001</v>
      </c>
      <c r="P6" s="60">
        <v>4</v>
      </c>
      <c r="Q6" s="60">
        <v>0.15529999999999999</v>
      </c>
      <c r="R6" s="60">
        <v>7.0023</v>
      </c>
      <c r="S6" s="60">
        <v>0.11316</v>
      </c>
      <c r="U6" s="60">
        <v>4</v>
      </c>
      <c r="V6" s="60">
        <v>57.8</v>
      </c>
      <c r="W6" s="60">
        <v>59.9</v>
      </c>
      <c r="X6" s="60">
        <v>62.1</v>
      </c>
      <c r="Y6" s="60">
        <v>64.3</v>
      </c>
      <c r="Z6" s="60">
        <v>66.400000000000006</v>
      </c>
      <c r="AB6" s="60">
        <v>4</v>
      </c>
      <c r="AC6" s="60">
        <v>59.7</v>
      </c>
      <c r="AD6" s="60">
        <v>61.8</v>
      </c>
      <c r="AE6" s="60">
        <v>63.9</v>
      </c>
      <c r="AF6" s="60">
        <v>66</v>
      </c>
      <c r="AG6" s="60">
        <v>68</v>
      </c>
      <c r="AI6" s="60">
        <v>4</v>
      </c>
      <c r="AJ6" s="60">
        <v>38.1</v>
      </c>
      <c r="AK6" s="60">
        <v>39.299999999999997</v>
      </c>
      <c r="AL6" s="60">
        <v>40.6</v>
      </c>
      <c r="AM6" s="60">
        <v>41.8</v>
      </c>
      <c r="AN6" s="60">
        <v>43.1</v>
      </c>
      <c r="AP6" s="60">
        <v>4</v>
      </c>
      <c r="AQ6" s="60">
        <v>39.200000000000003</v>
      </c>
      <c r="AR6" s="60">
        <v>40.4</v>
      </c>
      <c r="AS6" s="60">
        <v>41.6</v>
      </c>
      <c r="AT6" s="60">
        <v>42.8</v>
      </c>
      <c r="AU6" s="60">
        <v>44</v>
      </c>
      <c r="AW6" s="60">
        <v>47</v>
      </c>
      <c r="AX6" s="60">
        <v>-0.38329999999999997</v>
      </c>
      <c r="AY6" s="60">
        <v>2.8007</v>
      </c>
      <c r="AZ6" s="60">
        <v>9.0440000000000006E-2</v>
      </c>
      <c r="BA6" s="60">
        <v>2.4</v>
      </c>
      <c r="BB6" s="60">
        <v>2.6</v>
      </c>
      <c r="BC6" s="60">
        <v>2.8</v>
      </c>
      <c r="BD6" s="60">
        <v>3.1</v>
      </c>
      <c r="BE6" s="60">
        <v>3.4</v>
      </c>
      <c r="BG6" s="60">
        <v>47</v>
      </c>
      <c r="BH6" s="60">
        <v>-0.35210000000000002</v>
      </c>
      <c r="BI6" s="60">
        <v>2.7755000000000001</v>
      </c>
      <c r="BJ6" s="60">
        <v>9.0649999999999994E-2</v>
      </c>
      <c r="BK6" s="60">
        <v>2.2999999999999998</v>
      </c>
      <c r="BL6" s="60">
        <v>2.5</v>
      </c>
      <c r="BM6" s="60">
        <v>2.8</v>
      </c>
      <c r="BN6" s="60">
        <v>3</v>
      </c>
      <c r="BO6" s="60">
        <v>3.3</v>
      </c>
      <c r="BQ6" s="60">
        <v>9</v>
      </c>
      <c r="BR6" s="60">
        <v>54.8</v>
      </c>
      <c r="BS6" s="60">
        <v>56.9</v>
      </c>
      <c r="BT6" s="60">
        <v>60.8</v>
      </c>
      <c r="BU6" s="60">
        <v>66.3</v>
      </c>
      <c r="BV6" s="60">
        <v>73.599999999999994</v>
      </c>
      <c r="BX6" s="60">
        <v>9</v>
      </c>
      <c r="BY6" s="60">
        <v>55.3</v>
      </c>
      <c r="BZ6" s="60">
        <v>58</v>
      </c>
      <c r="CA6" s="60">
        <v>61.3</v>
      </c>
      <c r="CB6" s="60">
        <v>66.599999999999994</v>
      </c>
      <c r="CC6" s="60">
        <v>74.599999999999994</v>
      </c>
    </row>
    <row r="7" spans="1:81">
      <c r="A7" s="60">
        <v>66</v>
      </c>
      <c r="B7" s="60">
        <v>-0.97799999999999998</v>
      </c>
      <c r="C7" s="60">
        <v>15.2464</v>
      </c>
      <c r="D7" s="60">
        <v>9.9199999999999997E-2</v>
      </c>
      <c r="F7" s="60">
        <v>66</v>
      </c>
      <c r="G7" s="60">
        <v>-0.85540000000000005</v>
      </c>
      <c r="H7" s="60">
        <v>15.2645</v>
      </c>
      <c r="I7" s="60">
        <v>8.516E-2</v>
      </c>
      <c r="K7" s="60">
        <v>5</v>
      </c>
      <c r="L7" s="60">
        <v>-4.2999999999999997E-2</v>
      </c>
      <c r="M7" s="60">
        <v>6.8985000000000003</v>
      </c>
      <c r="N7" s="60">
        <v>0.12274</v>
      </c>
      <c r="P7" s="60">
        <v>5</v>
      </c>
      <c r="Q7" s="60">
        <v>0.13950000000000001</v>
      </c>
      <c r="R7" s="60">
        <v>7.5105000000000004</v>
      </c>
      <c r="S7" s="60">
        <v>0.1108</v>
      </c>
      <c r="U7" s="60">
        <v>5</v>
      </c>
      <c r="V7" s="60">
        <v>59.6</v>
      </c>
      <c r="W7" s="60">
        <v>61.8</v>
      </c>
      <c r="X7" s="60">
        <v>64</v>
      </c>
      <c r="Y7" s="60">
        <v>66.2</v>
      </c>
      <c r="Z7" s="60">
        <v>68.5</v>
      </c>
      <c r="AB7" s="60">
        <v>5</v>
      </c>
      <c r="AC7" s="60">
        <v>61.7</v>
      </c>
      <c r="AD7" s="60">
        <v>63.8</v>
      </c>
      <c r="AE7" s="60">
        <v>65.900000000000006</v>
      </c>
      <c r="AF7" s="60">
        <v>68</v>
      </c>
      <c r="AG7" s="60">
        <v>70.099999999999994</v>
      </c>
      <c r="AI7" s="60">
        <v>5</v>
      </c>
      <c r="AJ7" s="60">
        <v>38.9</v>
      </c>
      <c r="AK7" s="60">
        <v>40.200000000000003</v>
      </c>
      <c r="AL7" s="60">
        <v>41.5</v>
      </c>
      <c r="AM7" s="60">
        <v>42.7</v>
      </c>
      <c r="AN7" s="60">
        <v>44</v>
      </c>
      <c r="AP7" s="60">
        <v>5</v>
      </c>
      <c r="AQ7" s="60">
        <v>40.1</v>
      </c>
      <c r="AR7" s="60">
        <v>41.4</v>
      </c>
      <c r="AS7" s="60">
        <v>42.6</v>
      </c>
      <c r="AT7" s="60">
        <v>43.8</v>
      </c>
      <c r="AU7" s="60">
        <v>45</v>
      </c>
      <c r="AW7" s="60">
        <v>47.5</v>
      </c>
      <c r="AX7" s="60">
        <v>-0.38329999999999997</v>
      </c>
      <c r="AY7" s="60">
        <v>2.8866999999999998</v>
      </c>
      <c r="AZ7" s="60">
        <v>9.0480000000000005E-2</v>
      </c>
      <c r="BA7" s="60">
        <v>2.4</v>
      </c>
      <c r="BB7" s="60">
        <v>2.6</v>
      </c>
      <c r="BC7" s="60">
        <v>2.9</v>
      </c>
      <c r="BD7" s="60">
        <v>3.2</v>
      </c>
      <c r="BE7" s="60">
        <v>3.5</v>
      </c>
      <c r="BG7" s="60">
        <v>47.5</v>
      </c>
      <c r="BH7" s="60">
        <v>-0.35210000000000002</v>
      </c>
      <c r="BI7" s="60">
        <v>2.8609</v>
      </c>
      <c r="BJ7" s="60">
        <v>9.0359999999999996E-2</v>
      </c>
      <c r="BK7" s="60">
        <v>2.4</v>
      </c>
      <c r="BL7" s="60">
        <v>2.6</v>
      </c>
      <c r="BM7" s="60">
        <v>2.9</v>
      </c>
      <c r="BN7" s="60">
        <v>3.1</v>
      </c>
      <c r="BO7" s="60">
        <v>3.4</v>
      </c>
      <c r="BQ7" s="60">
        <v>10</v>
      </c>
      <c r="BR7" s="60">
        <v>56.3</v>
      </c>
      <c r="BS7" s="60">
        <v>58.6</v>
      </c>
      <c r="BT7" s="60">
        <v>62.8</v>
      </c>
      <c r="BU7" s="60">
        <v>68.7</v>
      </c>
      <c r="BV7" s="60">
        <v>76.599999999999994</v>
      </c>
      <c r="BX7" s="60">
        <v>10</v>
      </c>
      <c r="BY7" s="60">
        <v>57</v>
      </c>
      <c r="BZ7" s="60">
        <v>59.8</v>
      </c>
      <c r="CA7" s="60">
        <v>63.3</v>
      </c>
      <c r="CB7" s="60">
        <v>69.2</v>
      </c>
      <c r="CC7" s="60">
        <v>78</v>
      </c>
    </row>
    <row r="8" spans="1:81">
      <c r="A8" s="60">
        <v>67</v>
      </c>
      <c r="B8" s="60">
        <v>-0.99539999999999995</v>
      </c>
      <c r="C8" s="60">
        <v>15.248699999999999</v>
      </c>
      <c r="D8" s="60">
        <v>9.9659999999999999E-2</v>
      </c>
      <c r="F8" s="60">
        <v>67</v>
      </c>
      <c r="G8" s="60">
        <v>-0.87849999999999995</v>
      </c>
      <c r="H8" s="60">
        <v>15.2684</v>
      </c>
      <c r="I8" s="60">
        <v>8.5430000000000006E-2</v>
      </c>
      <c r="K8" s="60">
        <v>6</v>
      </c>
      <c r="L8" s="60">
        <v>-7.5600000000000001E-2</v>
      </c>
      <c r="M8" s="60">
        <v>7.2969999999999997</v>
      </c>
      <c r="N8" s="60">
        <v>0.12204</v>
      </c>
      <c r="P8" s="60">
        <v>6</v>
      </c>
      <c r="Q8" s="60">
        <v>0.12570000000000001</v>
      </c>
      <c r="R8" s="60">
        <v>7.9340000000000002</v>
      </c>
      <c r="S8" s="60">
        <v>0.10958</v>
      </c>
      <c r="U8" s="60">
        <v>6</v>
      </c>
      <c r="V8" s="60">
        <v>61.2</v>
      </c>
      <c r="W8" s="60">
        <v>63.5</v>
      </c>
      <c r="X8" s="60">
        <v>65.7</v>
      </c>
      <c r="Y8" s="60">
        <v>68</v>
      </c>
      <c r="Z8" s="60">
        <v>70.3</v>
      </c>
      <c r="AB8" s="60">
        <v>6</v>
      </c>
      <c r="AC8" s="60">
        <v>63.3</v>
      </c>
      <c r="AD8" s="60">
        <v>65.5</v>
      </c>
      <c r="AE8" s="60">
        <v>67.599999999999994</v>
      </c>
      <c r="AF8" s="60">
        <v>69.8</v>
      </c>
      <c r="AG8" s="60">
        <v>71.900000000000006</v>
      </c>
      <c r="AI8" s="60">
        <v>6</v>
      </c>
      <c r="AJ8" s="60">
        <v>39.6</v>
      </c>
      <c r="AK8" s="60">
        <v>40.9</v>
      </c>
      <c r="AL8" s="60">
        <v>42.2</v>
      </c>
      <c r="AM8" s="60">
        <v>43.5</v>
      </c>
      <c r="AN8" s="60">
        <v>44.8</v>
      </c>
      <c r="AP8" s="60">
        <v>6</v>
      </c>
      <c r="AQ8" s="60">
        <v>40.9</v>
      </c>
      <c r="AR8" s="60">
        <v>42.1</v>
      </c>
      <c r="AS8" s="60">
        <v>43.3</v>
      </c>
      <c r="AT8" s="60">
        <v>44.6</v>
      </c>
      <c r="AU8" s="60">
        <v>45.8</v>
      </c>
      <c r="AW8" s="60">
        <v>48</v>
      </c>
      <c r="AX8" s="60">
        <v>-0.38329999999999997</v>
      </c>
      <c r="AY8" s="60">
        <v>2.9741</v>
      </c>
      <c r="AZ8" s="60">
        <v>9.0520000000000003E-2</v>
      </c>
      <c r="BA8" s="60">
        <v>2.5</v>
      </c>
      <c r="BB8" s="60">
        <v>2.7</v>
      </c>
      <c r="BC8" s="60">
        <v>3</v>
      </c>
      <c r="BD8" s="60">
        <v>3.3</v>
      </c>
      <c r="BE8" s="60">
        <v>3.6</v>
      </c>
      <c r="BG8" s="60">
        <v>48</v>
      </c>
      <c r="BH8" s="60">
        <v>-0.35210000000000002</v>
      </c>
      <c r="BI8" s="60">
        <v>2.948</v>
      </c>
      <c r="BJ8" s="60">
        <v>9.0069999999999997E-2</v>
      </c>
      <c r="BK8" s="60">
        <v>2.5</v>
      </c>
      <c r="BL8" s="60">
        <v>2.7</v>
      </c>
      <c r="BM8" s="60">
        <v>2.9</v>
      </c>
      <c r="BN8" s="60">
        <v>3.2</v>
      </c>
      <c r="BO8" s="60">
        <v>3.6</v>
      </c>
      <c r="BQ8" s="60">
        <v>11</v>
      </c>
      <c r="BR8" s="60">
        <v>57.9</v>
      </c>
      <c r="BS8" s="60">
        <v>60.3</v>
      </c>
      <c r="BT8" s="60">
        <v>64.8</v>
      </c>
      <c r="BU8" s="60">
        <v>71.099999999999994</v>
      </c>
      <c r="BV8" s="60">
        <v>79.7</v>
      </c>
      <c r="BX8" s="60">
        <v>11</v>
      </c>
      <c r="BY8" s="60">
        <v>58.7</v>
      </c>
      <c r="BZ8" s="60">
        <v>61.7</v>
      </c>
      <c r="CA8" s="60">
        <v>65.400000000000006</v>
      </c>
      <c r="CB8" s="60">
        <v>71.7</v>
      </c>
      <c r="CC8" s="60">
        <v>81.400000000000006</v>
      </c>
    </row>
    <row r="9" spans="1:81">
      <c r="A9" s="60">
        <v>68</v>
      </c>
      <c r="B9" s="60">
        <v>-1.0125999999999999</v>
      </c>
      <c r="C9" s="60">
        <v>15.2516</v>
      </c>
      <c r="D9" s="60">
        <v>0.10012</v>
      </c>
      <c r="F9" s="60">
        <v>68</v>
      </c>
      <c r="G9" s="60">
        <v>-0.90149999999999997</v>
      </c>
      <c r="H9" s="60">
        <v>15.2737</v>
      </c>
      <c r="I9" s="60">
        <v>8.5699999999999998E-2</v>
      </c>
      <c r="K9" s="60">
        <v>7</v>
      </c>
      <c r="L9" s="60">
        <v>-0.10390000000000001</v>
      </c>
      <c r="M9" s="60">
        <v>7.6421999999999999</v>
      </c>
      <c r="N9" s="60">
        <v>0.12178</v>
      </c>
      <c r="P9" s="60">
        <v>7</v>
      </c>
      <c r="Q9" s="60">
        <v>0.1134</v>
      </c>
      <c r="R9" s="60">
        <v>8.2970000000000006</v>
      </c>
      <c r="S9" s="60">
        <v>0.10902000000000001</v>
      </c>
      <c r="U9" s="60">
        <v>7</v>
      </c>
      <c r="V9" s="60">
        <v>62.7</v>
      </c>
      <c r="W9" s="60">
        <v>65</v>
      </c>
      <c r="X9" s="60">
        <v>67.3</v>
      </c>
      <c r="Y9" s="60">
        <v>69.599999999999994</v>
      </c>
      <c r="Z9" s="60">
        <v>71.900000000000006</v>
      </c>
      <c r="AB9" s="60">
        <v>7</v>
      </c>
      <c r="AC9" s="60">
        <v>64.8</v>
      </c>
      <c r="AD9" s="60">
        <v>67</v>
      </c>
      <c r="AE9" s="60">
        <v>69.2</v>
      </c>
      <c r="AF9" s="60">
        <v>71.3</v>
      </c>
      <c r="AG9" s="60">
        <v>73.5</v>
      </c>
      <c r="AI9" s="60">
        <v>7</v>
      </c>
      <c r="AJ9" s="60">
        <v>40.200000000000003</v>
      </c>
      <c r="AK9" s="60">
        <v>41.5</v>
      </c>
      <c r="AL9" s="60">
        <v>42.8</v>
      </c>
      <c r="AM9" s="60">
        <v>44.1</v>
      </c>
      <c r="AN9" s="60">
        <v>45.5</v>
      </c>
      <c r="AP9" s="60">
        <v>7</v>
      </c>
      <c r="AQ9" s="60">
        <v>41.5</v>
      </c>
      <c r="AR9" s="60">
        <v>42.7</v>
      </c>
      <c r="AS9" s="60">
        <v>44</v>
      </c>
      <c r="AT9" s="60">
        <v>45.2</v>
      </c>
      <c r="AU9" s="60">
        <v>46.4</v>
      </c>
      <c r="AW9" s="60">
        <v>48.5</v>
      </c>
      <c r="AX9" s="60">
        <v>-0.38329999999999997</v>
      </c>
      <c r="AY9" s="60">
        <v>3.0636000000000001</v>
      </c>
      <c r="AZ9" s="60">
        <v>9.0560000000000002E-2</v>
      </c>
      <c r="BA9" s="60">
        <v>2.6</v>
      </c>
      <c r="BB9" s="60">
        <v>2.8</v>
      </c>
      <c r="BC9" s="60">
        <v>3.1</v>
      </c>
      <c r="BD9" s="60">
        <v>3.4</v>
      </c>
      <c r="BE9" s="60">
        <v>3.7</v>
      </c>
      <c r="BG9" s="60">
        <v>48.5</v>
      </c>
      <c r="BH9" s="60">
        <v>-0.35210000000000002</v>
      </c>
      <c r="BI9" s="60">
        <v>3.0377000000000001</v>
      </c>
      <c r="BJ9" s="60">
        <v>8.9770000000000003E-2</v>
      </c>
      <c r="BK9" s="60">
        <v>2.6</v>
      </c>
      <c r="BL9" s="60">
        <v>2.8</v>
      </c>
      <c r="BM9" s="60">
        <v>3</v>
      </c>
      <c r="BN9" s="60">
        <v>3.3</v>
      </c>
      <c r="BO9" s="60">
        <v>3.7</v>
      </c>
      <c r="BQ9" s="60">
        <v>12</v>
      </c>
      <c r="BR9" s="60">
        <v>59.5</v>
      </c>
      <c r="BS9" s="60">
        <v>62</v>
      </c>
      <c r="BT9" s="60">
        <v>66.7</v>
      </c>
      <c r="BU9" s="60">
        <v>73.5</v>
      </c>
      <c r="BV9" s="60">
        <v>82.7</v>
      </c>
      <c r="BX9" s="60">
        <v>12</v>
      </c>
      <c r="BY9" s="60">
        <v>60.5</v>
      </c>
      <c r="BZ9" s="60">
        <v>63.5</v>
      </c>
      <c r="CA9" s="60">
        <v>67.400000000000006</v>
      </c>
      <c r="CB9" s="60">
        <v>74.3</v>
      </c>
      <c r="CC9" s="60">
        <v>84.4</v>
      </c>
    </row>
    <row r="10" spans="1:81">
      <c r="A10" s="60">
        <v>69</v>
      </c>
      <c r="B10" s="60">
        <v>-1.0296000000000001</v>
      </c>
      <c r="C10" s="60">
        <v>15.255100000000001</v>
      </c>
      <c r="D10" s="60">
        <v>0.10058</v>
      </c>
      <c r="F10" s="60">
        <v>69</v>
      </c>
      <c r="G10" s="60">
        <v>-0.92430000000000001</v>
      </c>
      <c r="H10" s="60">
        <v>15.280099999999999</v>
      </c>
      <c r="I10" s="60">
        <v>8.5970000000000005E-2</v>
      </c>
      <c r="K10" s="60">
        <v>8</v>
      </c>
      <c r="L10" s="60">
        <v>-0.1288</v>
      </c>
      <c r="M10" s="60">
        <v>7.9486999999999997</v>
      </c>
      <c r="N10" s="60">
        <v>0.12181</v>
      </c>
      <c r="P10" s="60">
        <v>8</v>
      </c>
      <c r="Q10" s="60">
        <v>0.1021</v>
      </c>
      <c r="R10" s="60">
        <v>8.6151</v>
      </c>
      <c r="S10" s="60">
        <v>0.10882</v>
      </c>
      <c r="U10" s="60">
        <v>8</v>
      </c>
      <c r="V10" s="60">
        <v>64</v>
      </c>
      <c r="W10" s="60">
        <v>66.400000000000006</v>
      </c>
      <c r="X10" s="60">
        <v>68.7</v>
      </c>
      <c r="Y10" s="60">
        <v>71.099999999999994</v>
      </c>
      <c r="Z10" s="60">
        <v>73.5</v>
      </c>
      <c r="AB10" s="60">
        <v>8</v>
      </c>
      <c r="AC10" s="60">
        <v>66.2</v>
      </c>
      <c r="AD10" s="60">
        <v>68.400000000000006</v>
      </c>
      <c r="AE10" s="60">
        <v>70.599999999999994</v>
      </c>
      <c r="AF10" s="60">
        <v>72.8</v>
      </c>
      <c r="AG10" s="60">
        <v>75</v>
      </c>
      <c r="AI10" s="60">
        <v>8</v>
      </c>
      <c r="AJ10" s="60">
        <v>40.700000000000003</v>
      </c>
      <c r="AK10" s="60">
        <v>42</v>
      </c>
      <c r="AL10" s="60">
        <v>43.4</v>
      </c>
      <c r="AM10" s="60">
        <v>44.7</v>
      </c>
      <c r="AN10" s="60">
        <v>46</v>
      </c>
      <c r="AP10" s="60">
        <v>8</v>
      </c>
      <c r="AQ10" s="60">
        <v>42</v>
      </c>
      <c r="AR10" s="60">
        <v>43.3</v>
      </c>
      <c r="AS10" s="60">
        <v>44.5</v>
      </c>
      <c r="AT10" s="60">
        <v>45.8</v>
      </c>
      <c r="AU10" s="60">
        <v>47</v>
      </c>
      <c r="AW10" s="60">
        <v>49</v>
      </c>
      <c r="AX10" s="60">
        <v>-0.38329999999999997</v>
      </c>
      <c r="AY10" s="60">
        <v>3.1560000000000001</v>
      </c>
      <c r="AZ10" s="60">
        <v>9.06E-2</v>
      </c>
      <c r="BA10" s="60">
        <v>2.6</v>
      </c>
      <c r="BB10" s="60">
        <v>2.9</v>
      </c>
      <c r="BC10" s="60">
        <v>3.2</v>
      </c>
      <c r="BD10" s="60">
        <v>3.5</v>
      </c>
      <c r="BE10" s="60">
        <v>3.8</v>
      </c>
      <c r="BG10" s="60">
        <v>49</v>
      </c>
      <c r="BH10" s="60">
        <v>-0.35210000000000002</v>
      </c>
      <c r="BI10" s="60">
        <v>3.1307999999999998</v>
      </c>
      <c r="BJ10" s="60">
        <v>8.9480000000000004E-2</v>
      </c>
      <c r="BK10" s="60">
        <v>2.6</v>
      </c>
      <c r="BL10" s="60">
        <v>2.9</v>
      </c>
      <c r="BM10" s="60">
        <v>3.1</v>
      </c>
      <c r="BN10" s="60">
        <v>3.4</v>
      </c>
      <c r="BO10" s="60">
        <v>3.8</v>
      </c>
      <c r="BQ10" s="60">
        <v>13</v>
      </c>
      <c r="BR10" s="60">
        <v>61</v>
      </c>
      <c r="BS10" s="60">
        <v>63.7</v>
      </c>
      <c r="BT10" s="60">
        <v>68.7</v>
      </c>
      <c r="BU10" s="60">
        <v>75.900000000000006</v>
      </c>
      <c r="BV10" s="60">
        <v>85.9</v>
      </c>
      <c r="BX10" s="60">
        <v>13</v>
      </c>
      <c r="BY10" s="60">
        <v>62.2</v>
      </c>
      <c r="BZ10" s="60">
        <v>65.400000000000006</v>
      </c>
      <c r="CA10" s="60">
        <v>69.5</v>
      </c>
      <c r="CB10" s="60">
        <v>76.8</v>
      </c>
      <c r="CC10" s="60">
        <v>88.2</v>
      </c>
    </row>
    <row r="11" spans="1:81">
      <c r="A11" s="60">
        <v>70</v>
      </c>
      <c r="B11" s="60">
        <v>-1.0464</v>
      </c>
      <c r="C11" s="60">
        <v>15.2592</v>
      </c>
      <c r="D11" s="60">
        <v>0.10104</v>
      </c>
      <c r="F11" s="60">
        <v>70</v>
      </c>
      <c r="G11" s="60">
        <v>-0.94710000000000005</v>
      </c>
      <c r="H11" s="60">
        <v>15.287699999999999</v>
      </c>
      <c r="I11" s="60">
        <v>8.6249999999999993E-2</v>
      </c>
      <c r="K11" s="60">
        <v>9</v>
      </c>
      <c r="L11" s="60">
        <v>-0.1507</v>
      </c>
      <c r="M11" s="60">
        <v>8.2254000000000005</v>
      </c>
      <c r="N11" s="60">
        <v>0.12199</v>
      </c>
      <c r="P11" s="60">
        <v>9</v>
      </c>
      <c r="Q11" s="60">
        <v>9.1700000000000004E-2</v>
      </c>
      <c r="R11" s="60">
        <v>8.9014000000000006</v>
      </c>
      <c r="S11" s="60">
        <v>0.10881</v>
      </c>
      <c r="U11" s="60">
        <v>9</v>
      </c>
      <c r="V11" s="60">
        <v>65.3</v>
      </c>
      <c r="W11" s="60">
        <v>67.7</v>
      </c>
      <c r="X11" s="60">
        <v>70.099999999999994</v>
      </c>
      <c r="Y11" s="60">
        <v>72.599999999999994</v>
      </c>
      <c r="Z11" s="60">
        <v>75</v>
      </c>
      <c r="AB11" s="60">
        <v>9</v>
      </c>
      <c r="AC11" s="60">
        <v>67.5</v>
      </c>
      <c r="AD11" s="60">
        <v>69.7</v>
      </c>
      <c r="AE11" s="60">
        <v>72</v>
      </c>
      <c r="AF11" s="60">
        <v>74.2</v>
      </c>
      <c r="AG11" s="60">
        <v>76.5</v>
      </c>
      <c r="AI11" s="60">
        <v>9</v>
      </c>
      <c r="AJ11" s="60">
        <v>41.2</v>
      </c>
      <c r="AK11" s="60">
        <v>42.5</v>
      </c>
      <c r="AL11" s="60">
        <v>43.8</v>
      </c>
      <c r="AM11" s="60">
        <v>45.2</v>
      </c>
      <c r="AN11" s="60">
        <v>46.5</v>
      </c>
      <c r="AP11" s="60">
        <v>9</v>
      </c>
      <c r="AQ11" s="60">
        <v>42.5</v>
      </c>
      <c r="AR11" s="60">
        <v>43.7</v>
      </c>
      <c r="AS11" s="60">
        <v>45</v>
      </c>
      <c r="AT11" s="60">
        <v>46.3</v>
      </c>
      <c r="AU11" s="60">
        <v>47.5</v>
      </c>
      <c r="AW11" s="60">
        <v>49.5</v>
      </c>
      <c r="AX11" s="60">
        <v>-0.38329999999999997</v>
      </c>
      <c r="AY11" s="60">
        <v>3.2519999999999998</v>
      </c>
      <c r="AZ11" s="60">
        <v>9.0639999999999998E-2</v>
      </c>
      <c r="BA11" s="60">
        <v>2.7</v>
      </c>
      <c r="BB11" s="60">
        <v>3</v>
      </c>
      <c r="BC11" s="60">
        <v>3.3</v>
      </c>
      <c r="BD11" s="60">
        <v>3.6</v>
      </c>
      <c r="BE11" s="60">
        <v>3.9</v>
      </c>
      <c r="BG11" s="60">
        <v>49.5</v>
      </c>
      <c r="BH11" s="60">
        <v>-0.35210000000000002</v>
      </c>
      <c r="BI11" s="60">
        <v>3.2275999999999998</v>
      </c>
      <c r="BJ11" s="60">
        <v>8.9190000000000005E-2</v>
      </c>
      <c r="BK11" s="60">
        <v>2.7</v>
      </c>
      <c r="BL11" s="60">
        <v>3</v>
      </c>
      <c r="BM11" s="60">
        <v>3.2</v>
      </c>
      <c r="BN11" s="60">
        <v>3.5</v>
      </c>
      <c r="BO11" s="60">
        <v>3.9</v>
      </c>
      <c r="BQ11" s="60">
        <v>14</v>
      </c>
      <c r="BR11" s="60">
        <v>62.6</v>
      </c>
      <c r="BS11" s="60">
        <v>65.400000000000006</v>
      </c>
      <c r="BT11" s="60">
        <v>70.599999999999994</v>
      </c>
      <c r="BU11" s="60">
        <v>78.3</v>
      </c>
      <c r="BV11" s="60">
        <v>88.8</v>
      </c>
      <c r="BX11" s="60">
        <v>14</v>
      </c>
      <c r="BY11" s="60">
        <v>63.9</v>
      </c>
      <c r="BZ11" s="60">
        <v>67.2</v>
      </c>
      <c r="CA11" s="60">
        <v>71.5</v>
      </c>
      <c r="CB11" s="60">
        <v>79.400000000000006</v>
      </c>
      <c r="CC11" s="60">
        <v>91.6</v>
      </c>
    </row>
    <row r="12" spans="1:81">
      <c r="A12" s="60">
        <v>71</v>
      </c>
      <c r="B12" s="60">
        <v>-1.0629999999999999</v>
      </c>
      <c r="C12" s="60">
        <v>15.264099999999999</v>
      </c>
      <c r="D12" s="60">
        <v>0.10149</v>
      </c>
      <c r="F12" s="60">
        <v>71</v>
      </c>
      <c r="G12" s="60">
        <v>-0.96970000000000001</v>
      </c>
      <c r="H12" s="60">
        <v>15.2965</v>
      </c>
      <c r="I12" s="60">
        <v>8.6529999999999996E-2</v>
      </c>
      <c r="K12" s="60">
        <v>10</v>
      </c>
      <c r="L12" s="60">
        <v>-0.17</v>
      </c>
      <c r="M12" s="60">
        <v>8.48</v>
      </c>
      <c r="N12" s="60">
        <v>0.12223000000000001</v>
      </c>
      <c r="P12" s="60">
        <v>10</v>
      </c>
      <c r="Q12" s="60">
        <v>8.2000000000000003E-2</v>
      </c>
      <c r="R12" s="60">
        <v>9.1648999999999994</v>
      </c>
      <c r="S12" s="60">
        <v>0.10891000000000001</v>
      </c>
      <c r="U12" s="60">
        <v>10</v>
      </c>
      <c r="V12" s="60">
        <v>66.5</v>
      </c>
      <c r="W12" s="60">
        <v>69</v>
      </c>
      <c r="X12" s="60">
        <v>71.5</v>
      </c>
      <c r="Y12" s="60">
        <v>73.900000000000006</v>
      </c>
      <c r="Z12" s="60">
        <v>76.400000000000006</v>
      </c>
      <c r="AB12" s="60">
        <v>10</v>
      </c>
      <c r="AC12" s="60">
        <v>68.7</v>
      </c>
      <c r="AD12" s="60">
        <v>71</v>
      </c>
      <c r="AE12" s="60">
        <v>73.3</v>
      </c>
      <c r="AF12" s="60">
        <v>75.599999999999994</v>
      </c>
      <c r="AG12" s="60">
        <v>77.900000000000006</v>
      </c>
      <c r="AI12" s="60">
        <v>10</v>
      </c>
      <c r="AJ12" s="60">
        <v>41.5</v>
      </c>
      <c r="AK12" s="60">
        <v>42.9</v>
      </c>
      <c r="AL12" s="60">
        <v>44.2</v>
      </c>
      <c r="AM12" s="60">
        <v>45.6</v>
      </c>
      <c r="AN12" s="60">
        <v>46.9</v>
      </c>
      <c r="AP12" s="60">
        <v>10</v>
      </c>
      <c r="AQ12" s="60">
        <v>42.9</v>
      </c>
      <c r="AR12" s="60">
        <v>44.1</v>
      </c>
      <c r="AS12" s="60">
        <v>45.4</v>
      </c>
      <c r="AT12" s="60">
        <v>46.7</v>
      </c>
      <c r="AU12" s="60">
        <v>47.9</v>
      </c>
      <c r="AW12" s="60">
        <v>50</v>
      </c>
      <c r="AX12" s="60">
        <v>-0.38329999999999997</v>
      </c>
      <c r="AY12" s="60">
        <v>3.3517999999999999</v>
      </c>
      <c r="AZ12" s="60">
        <v>9.0679999999999997E-2</v>
      </c>
      <c r="BA12" s="60">
        <v>2.8</v>
      </c>
      <c r="BB12" s="60">
        <v>3.1</v>
      </c>
      <c r="BC12" s="60">
        <v>3.4</v>
      </c>
      <c r="BD12" s="60">
        <v>3.7</v>
      </c>
      <c r="BE12" s="60">
        <v>4</v>
      </c>
      <c r="BG12" s="60">
        <v>50</v>
      </c>
      <c r="BH12" s="60">
        <v>-0.35210000000000002</v>
      </c>
      <c r="BI12" s="60">
        <v>3.3277999999999999</v>
      </c>
      <c r="BJ12" s="60">
        <v>8.8900000000000007E-2</v>
      </c>
      <c r="BK12" s="60">
        <v>2.8</v>
      </c>
      <c r="BL12" s="60">
        <v>3</v>
      </c>
      <c r="BM12" s="60">
        <v>3.3</v>
      </c>
      <c r="BN12" s="60">
        <v>3.6</v>
      </c>
      <c r="BO12" s="60">
        <v>4</v>
      </c>
      <c r="BQ12" s="60">
        <v>15</v>
      </c>
      <c r="BR12" s="60">
        <v>64.2</v>
      </c>
      <c r="BS12" s="60">
        <v>67.099999999999994</v>
      </c>
      <c r="BT12" s="60">
        <v>72.599999999999994</v>
      </c>
      <c r="BU12" s="60">
        <v>80.7</v>
      </c>
      <c r="BV12" s="60">
        <v>91.9</v>
      </c>
      <c r="BX12" s="60">
        <v>15</v>
      </c>
      <c r="BY12" s="60">
        <v>65.599999999999994</v>
      </c>
      <c r="BZ12" s="60">
        <v>69.099999999999994</v>
      </c>
      <c r="CA12" s="60">
        <v>73.5</v>
      </c>
      <c r="CB12" s="60">
        <v>81.900000000000006</v>
      </c>
      <c r="CC12" s="60">
        <v>95</v>
      </c>
    </row>
    <row r="13" spans="1:81">
      <c r="A13" s="60">
        <v>72</v>
      </c>
      <c r="B13" s="60">
        <v>-1.0793999999999999</v>
      </c>
      <c r="C13" s="60">
        <v>15.2697</v>
      </c>
      <c r="D13" s="60">
        <v>0.10195</v>
      </c>
      <c r="F13" s="60">
        <v>72</v>
      </c>
      <c r="G13" s="60">
        <v>-0.99209999999999998</v>
      </c>
      <c r="H13" s="60">
        <v>15.3062</v>
      </c>
      <c r="I13" s="60">
        <v>8.6819999999999994E-2</v>
      </c>
      <c r="K13" s="60">
        <v>11</v>
      </c>
      <c r="L13" s="60">
        <v>-0.18720000000000001</v>
      </c>
      <c r="M13" s="60">
        <v>8.7192000000000007</v>
      </c>
      <c r="N13" s="60">
        <v>0.12247</v>
      </c>
      <c r="P13" s="60">
        <v>11</v>
      </c>
      <c r="Q13" s="60">
        <v>7.2999999999999995E-2</v>
      </c>
      <c r="R13" s="60">
        <v>9.4122000000000003</v>
      </c>
      <c r="S13" s="60">
        <v>0.10906</v>
      </c>
      <c r="U13" s="60">
        <v>11</v>
      </c>
      <c r="V13" s="60">
        <v>67.7</v>
      </c>
      <c r="W13" s="60">
        <v>70.3</v>
      </c>
      <c r="X13" s="60">
        <v>72.8</v>
      </c>
      <c r="Y13" s="60">
        <v>75.3</v>
      </c>
      <c r="Z13" s="60">
        <v>77.8</v>
      </c>
      <c r="AB13" s="60">
        <v>11</v>
      </c>
      <c r="AC13" s="60">
        <v>69.900000000000006</v>
      </c>
      <c r="AD13" s="60">
        <v>72.2</v>
      </c>
      <c r="AE13" s="60">
        <v>74.5</v>
      </c>
      <c r="AF13" s="60">
        <v>76.900000000000006</v>
      </c>
      <c r="AG13" s="60">
        <v>79.2</v>
      </c>
      <c r="AI13" s="60">
        <v>11</v>
      </c>
      <c r="AJ13" s="60">
        <v>41.9</v>
      </c>
      <c r="AK13" s="60">
        <v>43.2</v>
      </c>
      <c r="AL13" s="60">
        <v>44.6</v>
      </c>
      <c r="AM13" s="60">
        <v>45.9</v>
      </c>
      <c r="AN13" s="60">
        <v>47.3</v>
      </c>
      <c r="AP13" s="60">
        <v>11</v>
      </c>
      <c r="AQ13" s="60">
        <v>43.2</v>
      </c>
      <c r="AR13" s="60">
        <v>44.5</v>
      </c>
      <c r="AS13" s="60">
        <v>45.8</v>
      </c>
      <c r="AT13" s="60">
        <v>47</v>
      </c>
      <c r="AU13" s="60">
        <v>48.3</v>
      </c>
      <c r="AW13" s="60">
        <v>50.5</v>
      </c>
      <c r="AX13" s="60">
        <v>-0.38329999999999997</v>
      </c>
      <c r="AY13" s="60">
        <v>3.4557000000000002</v>
      </c>
      <c r="AZ13" s="60">
        <v>9.0719999999999995E-2</v>
      </c>
      <c r="BA13" s="60">
        <v>2.9</v>
      </c>
      <c r="BB13" s="60">
        <v>3.2</v>
      </c>
      <c r="BC13" s="60">
        <v>3.5</v>
      </c>
      <c r="BD13" s="60">
        <v>3.8</v>
      </c>
      <c r="BE13" s="60">
        <v>4.2</v>
      </c>
      <c r="BG13" s="60">
        <v>50.5</v>
      </c>
      <c r="BH13" s="60">
        <v>-0.35210000000000002</v>
      </c>
      <c r="BI13" s="60">
        <v>3.4310999999999998</v>
      </c>
      <c r="BJ13" s="60">
        <v>8.8609999999999994E-2</v>
      </c>
      <c r="BK13" s="60">
        <v>2.9</v>
      </c>
      <c r="BL13" s="60">
        <v>3.1</v>
      </c>
      <c r="BM13" s="60">
        <v>3.4</v>
      </c>
      <c r="BN13" s="60">
        <v>3.8</v>
      </c>
      <c r="BO13" s="60">
        <v>4.0999999999999996</v>
      </c>
      <c r="BQ13" s="60">
        <v>16</v>
      </c>
      <c r="BR13" s="60">
        <v>65.7</v>
      </c>
      <c r="BS13" s="60">
        <v>68.8</v>
      </c>
      <c r="BT13" s="60">
        <v>74.599999999999994</v>
      </c>
      <c r="BU13" s="60">
        <v>83.1</v>
      </c>
      <c r="BV13" s="60">
        <v>94.9</v>
      </c>
      <c r="BX13" s="60">
        <v>16</v>
      </c>
      <c r="BY13" s="60">
        <v>67.400000000000006</v>
      </c>
      <c r="BZ13" s="60">
        <v>70.900000000000006</v>
      </c>
      <c r="CA13" s="60">
        <v>75.599999999999994</v>
      </c>
      <c r="CB13" s="60">
        <v>84.5</v>
      </c>
      <c r="CC13" s="60">
        <v>98.4</v>
      </c>
    </row>
    <row r="14" spans="1:81">
      <c r="A14" s="60">
        <v>73</v>
      </c>
      <c r="B14" s="60">
        <v>-1.0955999999999999</v>
      </c>
      <c r="C14" s="60">
        <v>15.276</v>
      </c>
      <c r="D14" s="60">
        <v>0.10241</v>
      </c>
      <c r="F14" s="60">
        <v>73</v>
      </c>
      <c r="G14" s="60">
        <v>-1.0144</v>
      </c>
      <c r="H14" s="60">
        <v>15.3169</v>
      </c>
      <c r="I14" s="60">
        <v>8.7110000000000007E-2</v>
      </c>
      <c r="K14" s="60">
        <v>12</v>
      </c>
      <c r="L14" s="60">
        <v>-0.2024</v>
      </c>
      <c r="M14" s="60">
        <v>8.9481000000000002</v>
      </c>
      <c r="N14" s="60">
        <v>0.12268</v>
      </c>
      <c r="P14" s="60">
        <v>12</v>
      </c>
      <c r="Q14" s="60">
        <v>6.4399999999999999E-2</v>
      </c>
      <c r="R14" s="60">
        <v>9.6478999999999999</v>
      </c>
      <c r="S14" s="60">
        <v>0.10925</v>
      </c>
      <c r="U14" s="60">
        <v>12</v>
      </c>
      <c r="V14" s="60">
        <v>68.900000000000006</v>
      </c>
      <c r="W14" s="60">
        <v>71.400000000000006</v>
      </c>
      <c r="X14" s="60">
        <v>74</v>
      </c>
      <c r="Y14" s="60">
        <v>76.599999999999994</v>
      </c>
      <c r="Z14" s="60">
        <v>79.2</v>
      </c>
      <c r="AB14" s="60">
        <v>12</v>
      </c>
      <c r="AC14" s="60">
        <v>71</v>
      </c>
      <c r="AD14" s="60">
        <v>73.400000000000006</v>
      </c>
      <c r="AE14" s="60">
        <v>75.7</v>
      </c>
      <c r="AF14" s="60">
        <v>78.099999999999994</v>
      </c>
      <c r="AG14" s="60">
        <v>80.5</v>
      </c>
      <c r="AI14" s="60">
        <v>12</v>
      </c>
      <c r="AJ14" s="60">
        <v>42.2</v>
      </c>
      <c r="AK14" s="60">
        <v>43.5</v>
      </c>
      <c r="AL14" s="60">
        <v>44.9</v>
      </c>
      <c r="AM14" s="60">
        <v>46.3</v>
      </c>
      <c r="AN14" s="60">
        <v>47.6</v>
      </c>
      <c r="AP14" s="60">
        <v>12</v>
      </c>
      <c r="AQ14" s="60">
        <v>43.5</v>
      </c>
      <c r="AR14" s="60">
        <v>44.8</v>
      </c>
      <c r="AS14" s="60">
        <v>46.1</v>
      </c>
      <c r="AT14" s="60">
        <v>47.4</v>
      </c>
      <c r="AU14" s="60">
        <v>48.6</v>
      </c>
      <c r="AW14" s="60">
        <v>51</v>
      </c>
      <c r="AX14" s="60">
        <v>-0.38329999999999997</v>
      </c>
      <c r="AY14" s="60">
        <v>3.5636000000000001</v>
      </c>
      <c r="AZ14" s="60">
        <v>9.0759999999999993E-2</v>
      </c>
      <c r="BA14" s="60">
        <v>3</v>
      </c>
      <c r="BB14" s="60">
        <v>3.3</v>
      </c>
      <c r="BC14" s="60">
        <v>3.6</v>
      </c>
      <c r="BD14" s="60">
        <v>3.9</v>
      </c>
      <c r="BE14" s="60">
        <v>4.3</v>
      </c>
      <c r="BG14" s="60">
        <v>51</v>
      </c>
      <c r="BH14" s="60">
        <v>-0.35210000000000002</v>
      </c>
      <c r="BI14" s="60">
        <v>3.5375999999999999</v>
      </c>
      <c r="BJ14" s="60">
        <v>8.831E-2</v>
      </c>
      <c r="BK14" s="60">
        <v>3</v>
      </c>
      <c r="BL14" s="60">
        <v>3.2</v>
      </c>
      <c r="BM14" s="60">
        <v>3.5</v>
      </c>
      <c r="BN14" s="60">
        <v>3.9</v>
      </c>
      <c r="BO14" s="60">
        <v>4.2</v>
      </c>
      <c r="BQ14" s="60">
        <v>17</v>
      </c>
      <c r="BR14" s="60">
        <v>67.3</v>
      </c>
      <c r="BS14" s="60">
        <v>70.5</v>
      </c>
      <c r="BT14" s="60">
        <v>76.5</v>
      </c>
      <c r="BU14" s="60">
        <v>85.5</v>
      </c>
      <c r="BV14" s="60">
        <v>98</v>
      </c>
      <c r="BX14" s="60">
        <v>17</v>
      </c>
      <c r="BY14" s="60">
        <v>69.099999999999994</v>
      </c>
      <c r="BZ14" s="60">
        <v>72.8</v>
      </c>
      <c r="CA14" s="60">
        <v>77.599999999999994</v>
      </c>
      <c r="CB14" s="60">
        <v>87</v>
      </c>
      <c r="CC14" s="60">
        <v>101.8</v>
      </c>
    </row>
    <row r="15" spans="1:81">
      <c r="A15" s="60">
        <v>74</v>
      </c>
      <c r="B15" s="60">
        <v>-1.1114999999999999</v>
      </c>
      <c r="C15" s="60">
        <v>15.283099999999999</v>
      </c>
      <c r="D15" s="60">
        <v>0.10287</v>
      </c>
      <c r="F15" s="60">
        <v>74</v>
      </c>
      <c r="G15" s="60">
        <v>-1.0365</v>
      </c>
      <c r="H15" s="60">
        <v>15.3285</v>
      </c>
      <c r="I15" s="60">
        <v>8.7410000000000002E-2</v>
      </c>
      <c r="U15" s="60">
        <v>13</v>
      </c>
      <c r="V15" s="60">
        <v>70</v>
      </c>
      <c r="W15" s="60">
        <v>72.599999999999994</v>
      </c>
      <c r="X15" s="60">
        <v>75.2</v>
      </c>
      <c r="Y15" s="60">
        <v>77.8</v>
      </c>
      <c r="Z15" s="60">
        <v>80.5</v>
      </c>
      <c r="AB15" s="60">
        <v>13</v>
      </c>
      <c r="AC15" s="60">
        <v>72.099999999999994</v>
      </c>
      <c r="AD15" s="60">
        <v>74.5</v>
      </c>
      <c r="AE15" s="60">
        <v>76.900000000000006</v>
      </c>
      <c r="AF15" s="60">
        <v>79.3</v>
      </c>
      <c r="AG15" s="60">
        <v>81.8</v>
      </c>
      <c r="AI15" s="60">
        <v>13</v>
      </c>
      <c r="AJ15" s="60">
        <v>42.4</v>
      </c>
      <c r="AK15" s="60">
        <v>43.8</v>
      </c>
      <c r="AL15" s="60">
        <v>45.2</v>
      </c>
      <c r="AM15" s="60">
        <v>46.5</v>
      </c>
      <c r="AN15" s="60">
        <v>47.9</v>
      </c>
      <c r="AP15" s="60">
        <v>13</v>
      </c>
      <c r="AQ15" s="60">
        <v>43.8</v>
      </c>
      <c r="AR15" s="60">
        <v>45</v>
      </c>
      <c r="AS15" s="60">
        <v>46.3</v>
      </c>
      <c r="AT15" s="60">
        <v>47.6</v>
      </c>
      <c r="AU15" s="60">
        <v>48.9</v>
      </c>
      <c r="AW15" s="60">
        <v>51.5</v>
      </c>
      <c r="AX15" s="60">
        <v>-0.38329999999999997</v>
      </c>
      <c r="AY15" s="60">
        <v>3.6753999999999998</v>
      </c>
      <c r="AZ15" s="60">
        <v>9.0800000000000006E-2</v>
      </c>
      <c r="BA15" s="60">
        <v>3.1</v>
      </c>
      <c r="BB15" s="60">
        <v>3.4</v>
      </c>
      <c r="BC15" s="60">
        <v>3.7</v>
      </c>
      <c r="BD15" s="60">
        <v>4</v>
      </c>
      <c r="BE15" s="60">
        <v>4.4000000000000004</v>
      </c>
      <c r="BG15" s="60">
        <v>51.5</v>
      </c>
      <c r="BH15" s="60">
        <v>-0.35210000000000002</v>
      </c>
      <c r="BI15" s="60">
        <v>3.6476999999999999</v>
      </c>
      <c r="BJ15" s="60">
        <v>8.8010000000000005E-2</v>
      </c>
      <c r="BK15" s="60">
        <v>3.1</v>
      </c>
      <c r="BL15" s="60">
        <v>3.3</v>
      </c>
      <c r="BM15" s="60">
        <v>3.6</v>
      </c>
      <c r="BN15" s="60">
        <v>4</v>
      </c>
      <c r="BO15" s="60">
        <v>4.4000000000000004</v>
      </c>
      <c r="BQ15" s="60">
        <v>18</v>
      </c>
      <c r="BR15" s="60">
        <v>68.900000000000006</v>
      </c>
      <c r="BS15" s="60">
        <v>72.2</v>
      </c>
      <c r="BT15" s="60">
        <v>78.5</v>
      </c>
      <c r="BU15" s="60">
        <v>87.9</v>
      </c>
      <c r="BV15" s="60">
        <v>101</v>
      </c>
      <c r="BX15" s="60">
        <v>18</v>
      </c>
      <c r="BY15" s="60">
        <v>70.8</v>
      </c>
      <c r="BZ15" s="60">
        <v>74.599999999999994</v>
      </c>
      <c r="CA15" s="60">
        <v>79.599999999999994</v>
      </c>
      <c r="CB15" s="60">
        <v>89.6</v>
      </c>
      <c r="CC15" s="60">
        <v>105.2</v>
      </c>
    </row>
    <row r="16" spans="1:81">
      <c r="A16" s="60">
        <v>75</v>
      </c>
      <c r="B16" s="60">
        <v>-1.1272</v>
      </c>
      <c r="C16" s="60">
        <v>15.2911</v>
      </c>
      <c r="D16" s="60">
        <v>0.10333000000000001</v>
      </c>
      <c r="F16" s="60">
        <v>75</v>
      </c>
      <c r="G16" s="60">
        <v>-1.0584</v>
      </c>
      <c r="H16" s="60">
        <v>15.3408</v>
      </c>
      <c r="I16" s="60">
        <v>8.7709999999999996E-2</v>
      </c>
      <c r="U16" s="60">
        <v>14</v>
      </c>
      <c r="V16" s="60">
        <v>71</v>
      </c>
      <c r="W16" s="60">
        <v>73.7</v>
      </c>
      <c r="X16" s="60">
        <v>76.400000000000006</v>
      </c>
      <c r="Y16" s="60">
        <v>79.099999999999994</v>
      </c>
      <c r="Z16" s="60">
        <v>81.7</v>
      </c>
      <c r="AB16" s="60">
        <v>14</v>
      </c>
      <c r="AC16" s="60">
        <v>73.099999999999994</v>
      </c>
      <c r="AD16" s="60">
        <v>75.599999999999994</v>
      </c>
      <c r="AE16" s="60">
        <v>78</v>
      </c>
      <c r="AF16" s="60">
        <v>80.5</v>
      </c>
      <c r="AG16" s="60">
        <v>83</v>
      </c>
      <c r="AI16" s="60">
        <v>14</v>
      </c>
      <c r="AJ16" s="60">
        <v>42.7</v>
      </c>
      <c r="AK16" s="60">
        <v>44.1</v>
      </c>
      <c r="AL16" s="60">
        <v>45.4</v>
      </c>
      <c r="AM16" s="60">
        <v>46.8</v>
      </c>
      <c r="AN16" s="60">
        <v>48.2</v>
      </c>
      <c r="AP16" s="60">
        <v>14</v>
      </c>
      <c r="AQ16" s="60">
        <v>44</v>
      </c>
      <c r="AR16" s="60">
        <v>45.3</v>
      </c>
      <c r="AS16" s="60">
        <v>46.6</v>
      </c>
      <c r="AT16" s="60">
        <v>47.9</v>
      </c>
      <c r="AU16" s="60">
        <v>49.2</v>
      </c>
      <c r="AW16" s="60">
        <v>52</v>
      </c>
      <c r="AX16" s="60">
        <v>-0.38329999999999997</v>
      </c>
      <c r="AY16" s="60">
        <v>3.7911000000000001</v>
      </c>
      <c r="AZ16" s="60">
        <v>9.085E-2</v>
      </c>
      <c r="BA16" s="60">
        <v>3.2</v>
      </c>
      <c r="BB16" s="60">
        <v>3.5</v>
      </c>
      <c r="BC16" s="60">
        <v>3.8</v>
      </c>
      <c r="BD16" s="60">
        <v>4.2</v>
      </c>
      <c r="BE16" s="60">
        <v>4.5999999999999996</v>
      </c>
      <c r="BG16" s="60">
        <v>52</v>
      </c>
      <c r="BH16" s="60">
        <v>-0.35210000000000002</v>
      </c>
      <c r="BI16" s="60">
        <v>3.762</v>
      </c>
      <c r="BJ16" s="60">
        <v>8.7709999999999996E-2</v>
      </c>
      <c r="BK16" s="60">
        <v>3.2</v>
      </c>
      <c r="BL16" s="60">
        <v>3.5</v>
      </c>
      <c r="BM16" s="60">
        <v>3.8</v>
      </c>
      <c r="BN16" s="60">
        <v>4.0999999999999996</v>
      </c>
      <c r="BO16" s="60">
        <v>4.5</v>
      </c>
    </row>
    <row r="17" spans="1:67">
      <c r="A17" s="60">
        <v>76</v>
      </c>
      <c r="B17" s="60">
        <v>-1.1427</v>
      </c>
      <c r="C17" s="60">
        <v>15.299799999999999</v>
      </c>
      <c r="D17" s="60">
        <v>0.10378999999999999</v>
      </c>
      <c r="F17" s="60">
        <v>76</v>
      </c>
      <c r="G17" s="60">
        <v>-1.0801000000000001</v>
      </c>
      <c r="H17" s="60">
        <v>15.353999999999999</v>
      </c>
      <c r="I17" s="60">
        <v>8.8020000000000001E-2</v>
      </c>
      <c r="U17" s="60">
        <v>15</v>
      </c>
      <c r="V17" s="60">
        <v>72</v>
      </c>
      <c r="W17" s="60">
        <v>74.8</v>
      </c>
      <c r="X17" s="60">
        <v>77.5</v>
      </c>
      <c r="Y17" s="60">
        <v>80.2</v>
      </c>
      <c r="Z17" s="60">
        <v>83</v>
      </c>
      <c r="AB17" s="60">
        <v>15</v>
      </c>
      <c r="AC17" s="60">
        <v>74.099999999999994</v>
      </c>
      <c r="AD17" s="60">
        <v>76.599999999999994</v>
      </c>
      <c r="AE17" s="60">
        <v>79.099999999999994</v>
      </c>
      <c r="AF17" s="60">
        <v>81.7</v>
      </c>
      <c r="AG17" s="60">
        <v>84.2</v>
      </c>
      <c r="AI17" s="60">
        <v>15</v>
      </c>
      <c r="AJ17" s="60">
        <v>42.9</v>
      </c>
      <c r="AK17" s="60">
        <v>44.3</v>
      </c>
      <c r="AL17" s="60">
        <v>45.7</v>
      </c>
      <c r="AM17" s="60">
        <v>47</v>
      </c>
      <c r="AN17" s="60">
        <v>48.4</v>
      </c>
      <c r="AP17" s="60">
        <v>15</v>
      </c>
      <c r="AQ17" s="60">
        <v>44.2</v>
      </c>
      <c r="AR17" s="60">
        <v>45.5</v>
      </c>
      <c r="AS17" s="60">
        <v>46.8</v>
      </c>
      <c r="AT17" s="60">
        <v>48.1</v>
      </c>
      <c r="AU17" s="60">
        <v>49.4</v>
      </c>
      <c r="AW17" s="60">
        <v>52.5</v>
      </c>
      <c r="AX17" s="60">
        <v>-0.38329999999999997</v>
      </c>
      <c r="AY17" s="60">
        <v>3.9104999999999999</v>
      </c>
      <c r="AZ17" s="60">
        <v>9.0889999999999999E-2</v>
      </c>
      <c r="BA17" s="60">
        <v>3.3</v>
      </c>
      <c r="BB17" s="60">
        <v>3.6</v>
      </c>
      <c r="BC17" s="60">
        <v>3.9</v>
      </c>
      <c r="BD17" s="60">
        <v>4.3</v>
      </c>
      <c r="BE17" s="60">
        <v>4.7</v>
      </c>
      <c r="BG17" s="60">
        <v>52.5</v>
      </c>
      <c r="BH17" s="60">
        <v>-0.35210000000000002</v>
      </c>
      <c r="BI17" s="60">
        <v>3.8814000000000002</v>
      </c>
      <c r="BJ17" s="60">
        <v>8.7410000000000002E-2</v>
      </c>
      <c r="BK17" s="60">
        <v>3.3</v>
      </c>
      <c r="BL17" s="60">
        <v>3.6</v>
      </c>
      <c r="BM17" s="60">
        <v>3.9</v>
      </c>
      <c r="BN17" s="60">
        <v>4.2</v>
      </c>
      <c r="BO17" s="60">
        <v>4.5999999999999996</v>
      </c>
    </row>
    <row r="18" spans="1:67">
      <c r="A18" s="60">
        <v>77</v>
      </c>
      <c r="B18" s="60">
        <v>-1.1578999999999999</v>
      </c>
      <c r="C18" s="60">
        <v>15.3095</v>
      </c>
      <c r="D18" s="60">
        <v>0.10425</v>
      </c>
      <c r="F18" s="60">
        <v>77</v>
      </c>
      <c r="G18" s="60">
        <v>-1.1016999999999999</v>
      </c>
      <c r="H18" s="60">
        <v>15.367900000000001</v>
      </c>
      <c r="I18" s="60">
        <v>8.8330000000000006E-2</v>
      </c>
      <c r="U18" s="60">
        <v>16</v>
      </c>
      <c r="V18" s="60">
        <v>73</v>
      </c>
      <c r="W18" s="60">
        <v>75.8</v>
      </c>
      <c r="X18" s="60">
        <v>78.599999999999994</v>
      </c>
      <c r="Y18" s="60">
        <v>81.400000000000006</v>
      </c>
      <c r="Z18" s="60">
        <v>84.2</v>
      </c>
      <c r="AB18" s="60">
        <v>16</v>
      </c>
      <c r="AC18" s="60">
        <v>75</v>
      </c>
      <c r="AD18" s="60">
        <v>77.599999999999994</v>
      </c>
      <c r="AE18" s="60">
        <v>80.2</v>
      </c>
      <c r="AF18" s="60">
        <v>82.8</v>
      </c>
      <c r="AG18" s="60">
        <v>85.4</v>
      </c>
      <c r="AI18" s="60">
        <v>16</v>
      </c>
      <c r="AJ18" s="60">
        <v>43.1</v>
      </c>
      <c r="AK18" s="60">
        <v>44.5</v>
      </c>
      <c r="AL18" s="60">
        <v>45.9</v>
      </c>
      <c r="AM18" s="60">
        <v>47.2</v>
      </c>
      <c r="AN18" s="60">
        <v>48.6</v>
      </c>
      <c r="AP18" s="60">
        <v>16</v>
      </c>
      <c r="AQ18" s="60">
        <v>44.4</v>
      </c>
      <c r="AR18" s="60">
        <v>45.7</v>
      </c>
      <c r="AS18" s="60">
        <v>47</v>
      </c>
      <c r="AT18" s="60">
        <v>48.3</v>
      </c>
      <c r="AU18" s="60">
        <v>49.6</v>
      </c>
      <c r="AW18" s="60">
        <v>53</v>
      </c>
      <c r="AX18" s="60">
        <v>-0.38329999999999997</v>
      </c>
      <c r="AY18" s="60">
        <v>4.0331999999999999</v>
      </c>
      <c r="AZ18" s="60">
        <v>9.0929999999999997E-2</v>
      </c>
      <c r="BA18" s="60">
        <v>3.4</v>
      </c>
      <c r="BB18" s="60">
        <v>3.7</v>
      </c>
      <c r="BC18" s="60">
        <v>4</v>
      </c>
      <c r="BD18" s="60">
        <v>4.4000000000000004</v>
      </c>
      <c r="BE18" s="60">
        <v>4.9000000000000004</v>
      </c>
      <c r="BG18" s="60">
        <v>53</v>
      </c>
      <c r="BH18" s="60">
        <v>-0.35210000000000002</v>
      </c>
      <c r="BI18" s="60">
        <v>4.0060000000000002</v>
      </c>
      <c r="BJ18" s="60">
        <v>8.7110000000000007E-2</v>
      </c>
      <c r="BK18" s="60">
        <v>3.4</v>
      </c>
      <c r="BL18" s="60">
        <v>3.7</v>
      </c>
      <c r="BM18" s="60">
        <v>4</v>
      </c>
      <c r="BN18" s="60">
        <v>4.4000000000000004</v>
      </c>
      <c r="BO18" s="60">
        <v>4.8</v>
      </c>
    </row>
    <row r="19" spans="1:67">
      <c r="A19" s="60">
        <v>78</v>
      </c>
      <c r="B19" s="60">
        <v>-1.1728000000000001</v>
      </c>
      <c r="C19" s="60">
        <v>15.32</v>
      </c>
      <c r="D19" s="60">
        <v>0.10471</v>
      </c>
      <c r="F19" s="60">
        <v>78</v>
      </c>
      <c r="G19" s="60">
        <v>-1.123</v>
      </c>
      <c r="H19" s="60">
        <v>15.3825</v>
      </c>
      <c r="I19" s="60">
        <v>8.8650000000000007E-2</v>
      </c>
      <c r="U19" s="60">
        <v>17</v>
      </c>
      <c r="V19" s="60">
        <v>74</v>
      </c>
      <c r="W19" s="60">
        <v>76.8</v>
      </c>
      <c r="X19" s="60">
        <v>79.7</v>
      </c>
      <c r="Y19" s="60">
        <v>82.5</v>
      </c>
      <c r="Z19" s="60">
        <v>85.4</v>
      </c>
      <c r="AB19" s="60">
        <v>17</v>
      </c>
      <c r="AC19" s="60">
        <v>76</v>
      </c>
      <c r="AD19" s="60">
        <v>78.599999999999994</v>
      </c>
      <c r="AE19" s="60">
        <v>81.2</v>
      </c>
      <c r="AF19" s="60">
        <v>83.9</v>
      </c>
      <c r="AG19" s="60">
        <v>86.5</v>
      </c>
      <c r="AI19" s="60">
        <v>17</v>
      </c>
      <c r="AJ19" s="60">
        <v>43.3</v>
      </c>
      <c r="AK19" s="60">
        <v>44.7</v>
      </c>
      <c r="AL19" s="60">
        <v>46.1</v>
      </c>
      <c r="AM19" s="60">
        <v>47.4</v>
      </c>
      <c r="AN19" s="60">
        <v>48.8</v>
      </c>
      <c r="AP19" s="60">
        <v>17</v>
      </c>
      <c r="AQ19" s="60">
        <v>44.6</v>
      </c>
      <c r="AR19" s="60">
        <v>45.9</v>
      </c>
      <c r="AS19" s="60">
        <v>47.2</v>
      </c>
      <c r="AT19" s="60">
        <v>48.5</v>
      </c>
      <c r="AU19" s="60">
        <v>49.8</v>
      </c>
      <c r="AW19" s="60">
        <v>53.5</v>
      </c>
      <c r="AX19" s="60">
        <v>-0.38329999999999997</v>
      </c>
      <c r="AY19" s="60">
        <v>4.1590999999999996</v>
      </c>
      <c r="AZ19" s="60">
        <v>9.0980000000000005E-2</v>
      </c>
      <c r="BA19" s="60">
        <v>3.5</v>
      </c>
      <c r="BB19" s="60">
        <v>3.8</v>
      </c>
      <c r="BC19" s="60">
        <v>4.2</v>
      </c>
      <c r="BD19" s="60">
        <v>4.5999999999999996</v>
      </c>
      <c r="BE19" s="60">
        <v>5</v>
      </c>
      <c r="BG19" s="60">
        <v>53.5</v>
      </c>
      <c r="BH19" s="60">
        <v>-0.35210000000000002</v>
      </c>
      <c r="BI19" s="60">
        <v>4.1353999999999997</v>
      </c>
      <c r="BJ19" s="60">
        <v>8.6809999999999998E-2</v>
      </c>
      <c r="BK19" s="60">
        <v>3.5</v>
      </c>
      <c r="BL19" s="60">
        <v>3.8</v>
      </c>
      <c r="BM19" s="60">
        <v>4.0999999999999996</v>
      </c>
      <c r="BN19" s="60">
        <v>4.5</v>
      </c>
      <c r="BO19" s="60">
        <v>4.9000000000000004</v>
      </c>
    </row>
    <row r="20" spans="1:67">
      <c r="A20" s="60">
        <v>79</v>
      </c>
      <c r="B20" s="60">
        <v>-1.1875</v>
      </c>
      <c r="C20" s="60">
        <v>15.3314</v>
      </c>
      <c r="D20" s="60">
        <v>0.10517</v>
      </c>
      <c r="F20" s="60">
        <v>79</v>
      </c>
      <c r="G20" s="60">
        <v>-1.1440999999999999</v>
      </c>
      <c r="H20" s="60">
        <v>15.3978</v>
      </c>
      <c r="I20" s="60">
        <v>8.8980000000000004E-2</v>
      </c>
      <c r="U20" s="60">
        <v>18</v>
      </c>
      <c r="V20" s="60">
        <v>74.900000000000006</v>
      </c>
      <c r="W20" s="60">
        <v>77.8</v>
      </c>
      <c r="X20" s="60">
        <v>80.7</v>
      </c>
      <c r="Y20" s="60">
        <v>83.6</v>
      </c>
      <c r="Z20" s="60">
        <v>86.5</v>
      </c>
      <c r="AB20" s="60">
        <v>18</v>
      </c>
      <c r="AC20" s="60">
        <v>76.900000000000006</v>
      </c>
      <c r="AD20" s="60">
        <v>79.599999999999994</v>
      </c>
      <c r="AE20" s="60">
        <v>82.3</v>
      </c>
      <c r="AF20" s="60">
        <v>85</v>
      </c>
      <c r="AG20" s="60">
        <v>87.7</v>
      </c>
      <c r="AI20" s="60">
        <v>18</v>
      </c>
      <c r="AJ20" s="60">
        <v>43.5</v>
      </c>
      <c r="AK20" s="60">
        <v>44.9</v>
      </c>
      <c r="AL20" s="60">
        <v>46.2</v>
      </c>
      <c r="AM20" s="60">
        <v>47.6</v>
      </c>
      <c r="AN20" s="60">
        <v>49</v>
      </c>
      <c r="AP20" s="60">
        <v>18</v>
      </c>
      <c r="AQ20" s="60">
        <v>44.7</v>
      </c>
      <c r="AR20" s="60">
        <v>46</v>
      </c>
      <c r="AS20" s="60">
        <v>47.4</v>
      </c>
      <c r="AT20" s="60">
        <v>48.7</v>
      </c>
      <c r="AU20" s="60">
        <v>50</v>
      </c>
      <c r="AW20" s="60">
        <v>54</v>
      </c>
      <c r="AX20" s="60">
        <v>-0.38329999999999997</v>
      </c>
      <c r="AY20" s="60">
        <v>4.2874999999999996</v>
      </c>
      <c r="AZ20" s="60">
        <v>9.1020000000000004E-2</v>
      </c>
      <c r="BA20" s="60">
        <v>3.6</v>
      </c>
      <c r="BB20" s="60">
        <v>3.9</v>
      </c>
      <c r="BC20" s="60">
        <v>4.3</v>
      </c>
      <c r="BD20" s="60">
        <v>4.7</v>
      </c>
      <c r="BE20" s="60">
        <v>5.2</v>
      </c>
      <c r="BG20" s="60">
        <v>54</v>
      </c>
      <c r="BH20" s="60">
        <v>-0.35210000000000002</v>
      </c>
      <c r="BI20" s="60">
        <v>4.2693000000000003</v>
      </c>
      <c r="BJ20" s="60">
        <v>8.6510000000000004E-2</v>
      </c>
      <c r="BK20" s="60">
        <v>3.6</v>
      </c>
      <c r="BL20" s="60">
        <v>3.9</v>
      </c>
      <c r="BM20" s="60">
        <v>4.3</v>
      </c>
      <c r="BN20" s="60">
        <v>4.7</v>
      </c>
      <c r="BO20" s="60">
        <v>5.0999999999999996</v>
      </c>
    </row>
    <row r="21" spans="1:67">
      <c r="A21" s="60">
        <v>80</v>
      </c>
      <c r="B21" s="60">
        <v>-1.2019</v>
      </c>
      <c r="C21" s="60">
        <v>15.3439</v>
      </c>
      <c r="D21" s="60">
        <v>0.10562000000000001</v>
      </c>
      <c r="F21" s="60">
        <v>80</v>
      </c>
      <c r="G21" s="60">
        <v>-1.1649</v>
      </c>
      <c r="H21" s="60">
        <v>15.4137</v>
      </c>
      <c r="I21" s="60">
        <v>8.931E-2</v>
      </c>
      <c r="U21" s="60">
        <v>19</v>
      </c>
      <c r="V21" s="60">
        <v>75.8</v>
      </c>
      <c r="W21" s="60">
        <v>78.8</v>
      </c>
      <c r="X21" s="60">
        <v>81.7</v>
      </c>
      <c r="Y21" s="60">
        <v>84.7</v>
      </c>
      <c r="Z21" s="60">
        <v>87.6</v>
      </c>
      <c r="AB21" s="60">
        <v>19</v>
      </c>
      <c r="AC21" s="60">
        <v>77.7</v>
      </c>
      <c r="AD21" s="60">
        <v>80.5</v>
      </c>
      <c r="AE21" s="60">
        <v>83.2</v>
      </c>
      <c r="AF21" s="60">
        <v>86</v>
      </c>
      <c r="AG21" s="60">
        <v>88.8</v>
      </c>
      <c r="AI21" s="60">
        <v>19</v>
      </c>
      <c r="AJ21" s="60">
        <v>43.6</v>
      </c>
      <c r="AK21" s="60">
        <v>45</v>
      </c>
      <c r="AL21" s="60">
        <v>46.4</v>
      </c>
      <c r="AM21" s="60">
        <v>47.8</v>
      </c>
      <c r="AN21" s="60">
        <v>49.2</v>
      </c>
      <c r="AP21" s="60">
        <v>19</v>
      </c>
      <c r="AQ21" s="60">
        <v>44.9</v>
      </c>
      <c r="AR21" s="60">
        <v>46.2</v>
      </c>
      <c r="AS21" s="60">
        <v>47.5</v>
      </c>
      <c r="AT21" s="60">
        <v>48.9</v>
      </c>
      <c r="AU21" s="60">
        <v>50.2</v>
      </c>
      <c r="AW21" s="60">
        <v>54.5</v>
      </c>
      <c r="AX21" s="60">
        <v>-0.38329999999999997</v>
      </c>
      <c r="AY21" s="60">
        <v>4.4179000000000004</v>
      </c>
      <c r="AZ21" s="60">
        <v>9.1060000000000002E-2</v>
      </c>
      <c r="BA21" s="60">
        <v>3.7</v>
      </c>
      <c r="BB21" s="60">
        <v>4</v>
      </c>
      <c r="BC21" s="60">
        <v>4.4000000000000004</v>
      </c>
      <c r="BD21" s="60">
        <v>4.8</v>
      </c>
      <c r="BE21" s="60">
        <v>5.3</v>
      </c>
      <c r="BG21" s="60">
        <v>54.5</v>
      </c>
      <c r="BH21" s="60">
        <v>-0.35210000000000002</v>
      </c>
      <c r="BI21" s="60">
        <v>4.4066000000000001</v>
      </c>
      <c r="BJ21" s="60">
        <v>8.6209999999999995E-2</v>
      </c>
      <c r="BK21" s="60">
        <v>3.7</v>
      </c>
      <c r="BL21" s="60">
        <v>4</v>
      </c>
      <c r="BM21" s="60">
        <v>4.4000000000000004</v>
      </c>
      <c r="BN21" s="60">
        <v>4.8</v>
      </c>
      <c r="BO21" s="60">
        <v>5.3</v>
      </c>
    </row>
    <row r="22" spans="1:67">
      <c r="A22" s="60">
        <v>81</v>
      </c>
      <c r="B22" s="60">
        <v>-1.216</v>
      </c>
      <c r="C22" s="60">
        <v>15.357200000000001</v>
      </c>
      <c r="D22" s="60">
        <v>0.10607999999999999</v>
      </c>
      <c r="F22" s="60">
        <v>81</v>
      </c>
      <c r="G22" s="60">
        <v>-1.1856</v>
      </c>
      <c r="H22" s="60">
        <v>15.430199999999999</v>
      </c>
      <c r="I22" s="60">
        <v>8.9639999999999997E-2</v>
      </c>
      <c r="U22" s="60">
        <v>20</v>
      </c>
      <c r="V22" s="60">
        <v>76.7</v>
      </c>
      <c r="W22" s="60">
        <v>79.7</v>
      </c>
      <c r="X22" s="60">
        <v>82.7</v>
      </c>
      <c r="Y22" s="60">
        <v>85.7</v>
      </c>
      <c r="Z22" s="60">
        <v>88.7</v>
      </c>
      <c r="AB22" s="60">
        <v>20</v>
      </c>
      <c r="AC22" s="60">
        <v>78.599999999999994</v>
      </c>
      <c r="AD22" s="60">
        <v>81.400000000000006</v>
      </c>
      <c r="AE22" s="60">
        <v>84.2</v>
      </c>
      <c r="AF22" s="60">
        <v>87</v>
      </c>
      <c r="AG22" s="60">
        <v>89.8</v>
      </c>
      <c r="AI22" s="60">
        <v>20</v>
      </c>
      <c r="AJ22" s="60">
        <v>43.8</v>
      </c>
      <c r="AK22" s="60">
        <v>45.2</v>
      </c>
      <c r="AL22" s="60">
        <v>46.6</v>
      </c>
      <c r="AM22" s="60">
        <v>48</v>
      </c>
      <c r="AN22" s="60">
        <v>49.4</v>
      </c>
      <c r="AP22" s="60">
        <v>20</v>
      </c>
      <c r="AQ22" s="60">
        <v>45</v>
      </c>
      <c r="AR22" s="60">
        <v>46.4</v>
      </c>
      <c r="AS22" s="60">
        <v>47.7</v>
      </c>
      <c r="AT22" s="60">
        <v>49</v>
      </c>
      <c r="AU22" s="60">
        <v>50.4</v>
      </c>
      <c r="AW22" s="60">
        <v>55</v>
      </c>
      <c r="AX22" s="60">
        <v>-0.38329999999999997</v>
      </c>
      <c r="AY22" s="60">
        <v>4.5498000000000003</v>
      </c>
      <c r="AZ22" s="60">
        <v>9.11E-2</v>
      </c>
      <c r="BA22" s="60">
        <v>3.8</v>
      </c>
      <c r="BB22" s="60">
        <v>4.2</v>
      </c>
      <c r="BC22" s="60">
        <v>4.5</v>
      </c>
      <c r="BD22" s="60">
        <v>5</v>
      </c>
      <c r="BE22" s="60">
        <v>5.5</v>
      </c>
      <c r="BG22" s="60">
        <v>55</v>
      </c>
      <c r="BH22" s="60">
        <v>-0.35210000000000002</v>
      </c>
      <c r="BI22" s="60">
        <v>4.5467000000000004</v>
      </c>
      <c r="BJ22" s="60">
        <v>8.5919999999999996E-2</v>
      </c>
      <c r="BK22" s="60">
        <v>3.8</v>
      </c>
      <c r="BL22" s="60">
        <v>4.2</v>
      </c>
      <c r="BM22" s="60">
        <v>4.5</v>
      </c>
      <c r="BN22" s="60">
        <v>5</v>
      </c>
      <c r="BO22" s="60">
        <v>5.4</v>
      </c>
    </row>
    <row r="23" spans="1:67">
      <c r="A23" s="60">
        <v>82</v>
      </c>
      <c r="B23" s="60">
        <v>-1.2298</v>
      </c>
      <c r="C23" s="60">
        <v>15.371700000000001</v>
      </c>
      <c r="D23" s="60">
        <v>0.10654</v>
      </c>
      <c r="F23" s="60">
        <v>82</v>
      </c>
      <c r="G23" s="60">
        <v>-1.206</v>
      </c>
      <c r="H23" s="60">
        <v>15.4473</v>
      </c>
      <c r="I23" s="60">
        <v>8.9980000000000004E-2</v>
      </c>
      <c r="U23" s="60">
        <v>21</v>
      </c>
      <c r="V23" s="60">
        <v>77.5</v>
      </c>
      <c r="W23" s="60">
        <v>80.599999999999994</v>
      </c>
      <c r="X23" s="60">
        <v>83.7</v>
      </c>
      <c r="Y23" s="60">
        <v>86.7</v>
      </c>
      <c r="Z23" s="60">
        <v>89.8</v>
      </c>
      <c r="AB23" s="60">
        <v>21</v>
      </c>
      <c r="AC23" s="60">
        <v>79.400000000000006</v>
      </c>
      <c r="AD23" s="60">
        <v>82.3</v>
      </c>
      <c r="AE23" s="60">
        <v>85.1</v>
      </c>
      <c r="AF23" s="60">
        <v>88</v>
      </c>
      <c r="AG23" s="60">
        <v>90.9</v>
      </c>
      <c r="AI23" s="60">
        <v>21</v>
      </c>
      <c r="AJ23" s="60">
        <v>44</v>
      </c>
      <c r="AK23" s="60">
        <v>45.3</v>
      </c>
      <c r="AL23" s="60">
        <v>46.7</v>
      </c>
      <c r="AM23" s="60">
        <v>48.1</v>
      </c>
      <c r="AN23" s="60">
        <v>49.5</v>
      </c>
      <c r="AP23" s="60">
        <v>21</v>
      </c>
      <c r="AQ23" s="60">
        <v>45.2</v>
      </c>
      <c r="AR23" s="60">
        <v>46.5</v>
      </c>
      <c r="AS23" s="60">
        <v>47.8</v>
      </c>
      <c r="AT23" s="60">
        <v>49.2</v>
      </c>
      <c r="AU23" s="60">
        <v>50.5</v>
      </c>
      <c r="AW23" s="60">
        <v>55.5</v>
      </c>
      <c r="AX23" s="60">
        <v>-0.38329999999999997</v>
      </c>
      <c r="AY23" s="60">
        <v>4.6826999999999996</v>
      </c>
      <c r="AZ23" s="60">
        <v>9.1139999999999999E-2</v>
      </c>
      <c r="BA23" s="60">
        <v>3.9</v>
      </c>
      <c r="BB23" s="60">
        <v>4.3</v>
      </c>
      <c r="BC23" s="60">
        <v>4.7</v>
      </c>
      <c r="BD23" s="60">
        <v>5.0999999999999996</v>
      </c>
      <c r="BE23" s="60">
        <v>5.7</v>
      </c>
      <c r="BG23" s="60">
        <v>55.5</v>
      </c>
      <c r="BH23" s="60">
        <v>-0.35210000000000002</v>
      </c>
      <c r="BI23" s="60">
        <v>4.6891999999999996</v>
      </c>
      <c r="BJ23" s="60">
        <v>8.5629999999999998E-2</v>
      </c>
      <c r="BK23" s="60">
        <v>4</v>
      </c>
      <c r="BL23" s="60">
        <v>4.3</v>
      </c>
      <c r="BM23" s="60">
        <v>4.7</v>
      </c>
      <c r="BN23" s="60">
        <v>5.0999999999999996</v>
      </c>
      <c r="BO23" s="60">
        <v>5.6</v>
      </c>
    </row>
    <row r="24" spans="1:67">
      <c r="A24" s="60">
        <v>83</v>
      </c>
      <c r="B24" s="60">
        <v>-1.2433000000000001</v>
      </c>
      <c r="C24" s="60">
        <v>15.3871</v>
      </c>
      <c r="D24" s="60">
        <v>0.107</v>
      </c>
      <c r="F24" s="60">
        <v>83</v>
      </c>
      <c r="G24" s="60">
        <v>-1.2261</v>
      </c>
      <c r="H24" s="60">
        <v>15.465</v>
      </c>
      <c r="I24" s="60">
        <v>9.0329999999999994E-2</v>
      </c>
      <c r="U24" s="60">
        <v>22</v>
      </c>
      <c r="V24" s="60">
        <v>78.400000000000006</v>
      </c>
      <c r="W24" s="60">
        <v>81.5</v>
      </c>
      <c r="X24" s="60">
        <v>84.6</v>
      </c>
      <c r="Y24" s="60">
        <v>87.7</v>
      </c>
      <c r="Z24" s="60">
        <v>90.8</v>
      </c>
      <c r="AB24" s="60">
        <v>22</v>
      </c>
      <c r="AC24" s="60">
        <v>80.2</v>
      </c>
      <c r="AD24" s="60">
        <v>83.1</v>
      </c>
      <c r="AE24" s="60">
        <v>86</v>
      </c>
      <c r="AF24" s="60">
        <v>89</v>
      </c>
      <c r="AG24" s="60">
        <v>91.9</v>
      </c>
      <c r="AI24" s="60">
        <v>22</v>
      </c>
      <c r="AJ24" s="60">
        <v>44.1</v>
      </c>
      <c r="AK24" s="60">
        <v>45.5</v>
      </c>
      <c r="AL24" s="60">
        <v>46.9</v>
      </c>
      <c r="AM24" s="60">
        <v>48.3</v>
      </c>
      <c r="AN24" s="60">
        <v>49.7</v>
      </c>
      <c r="AP24" s="60">
        <v>22</v>
      </c>
      <c r="AQ24" s="60">
        <v>45.3</v>
      </c>
      <c r="AR24" s="60">
        <v>46.6</v>
      </c>
      <c r="AS24" s="60">
        <v>48</v>
      </c>
      <c r="AT24" s="60">
        <v>49.3</v>
      </c>
      <c r="AU24" s="60">
        <v>50.7</v>
      </c>
      <c r="AW24" s="60">
        <v>56</v>
      </c>
      <c r="AX24" s="60">
        <v>-0.38329999999999997</v>
      </c>
      <c r="AY24" s="60">
        <v>4.8162000000000003</v>
      </c>
      <c r="AZ24" s="60">
        <v>9.1179999999999997E-2</v>
      </c>
      <c r="BA24" s="60">
        <v>4</v>
      </c>
      <c r="BB24" s="60">
        <v>4.4000000000000004</v>
      </c>
      <c r="BC24" s="60">
        <v>4.8</v>
      </c>
      <c r="BD24" s="60">
        <v>5.3</v>
      </c>
      <c r="BE24" s="60">
        <v>5.8</v>
      </c>
      <c r="BG24" s="60">
        <v>56</v>
      </c>
      <c r="BH24" s="60">
        <v>-0.35210000000000002</v>
      </c>
      <c r="BI24" s="60">
        <v>4.8338000000000001</v>
      </c>
      <c r="BJ24" s="60">
        <v>8.5349999999999995E-2</v>
      </c>
      <c r="BK24" s="60">
        <v>4.0999999999999996</v>
      </c>
      <c r="BL24" s="60">
        <v>4.4000000000000004</v>
      </c>
      <c r="BM24" s="60">
        <v>4.8</v>
      </c>
      <c r="BN24" s="60">
        <v>5.3</v>
      </c>
      <c r="BO24" s="60">
        <v>5.8</v>
      </c>
    </row>
    <row r="25" spans="1:67">
      <c r="A25" s="60">
        <v>84</v>
      </c>
      <c r="B25" s="60">
        <v>-1.2565</v>
      </c>
      <c r="C25" s="60">
        <v>15.403600000000001</v>
      </c>
      <c r="D25" s="60">
        <v>0.10746</v>
      </c>
      <c r="F25" s="60">
        <v>84</v>
      </c>
      <c r="G25" s="60">
        <v>-1.246</v>
      </c>
      <c r="H25" s="60">
        <v>15.4832</v>
      </c>
      <c r="I25" s="60">
        <v>9.0679999999999997E-2</v>
      </c>
      <c r="U25" s="60">
        <v>23</v>
      </c>
      <c r="V25" s="60">
        <v>79.2</v>
      </c>
      <c r="W25" s="60">
        <v>82.3</v>
      </c>
      <c r="X25" s="60">
        <v>85.5</v>
      </c>
      <c r="Y25" s="60">
        <v>88.7</v>
      </c>
      <c r="Z25" s="60">
        <v>91.9</v>
      </c>
      <c r="AB25" s="60">
        <v>23</v>
      </c>
      <c r="AC25" s="60">
        <v>81</v>
      </c>
      <c r="AD25" s="60">
        <v>83.9</v>
      </c>
      <c r="AE25" s="60">
        <v>86.9</v>
      </c>
      <c r="AF25" s="60">
        <v>89.9</v>
      </c>
      <c r="AG25" s="60">
        <v>92.9</v>
      </c>
      <c r="AI25" s="60">
        <v>23</v>
      </c>
      <c r="AJ25" s="60">
        <v>44.3</v>
      </c>
      <c r="AK25" s="60">
        <v>45.6</v>
      </c>
      <c r="AL25" s="60">
        <v>47</v>
      </c>
      <c r="AM25" s="60">
        <v>48.4</v>
      </c>
      <c r="AN25" s="60">
        <v>49.8</v>
      </c>
      <c r="AP25" s="60">
        <v>23</v>
      </c>
      <c r="AQ25" s="60">
        <v>45.4</v>
      </c>
      <c r="AR25" s="60">
        <v>46.8</v>
      </c>
      <c r="AS25" s="60">
        <v>48.1</v>
      </c>
      <c r="AT25" s="60">
        <v>49.5</v>
      </c>
      <c r="AU25" s="60">
        <v>50.8</v>
      </c>
      <c r="AW25" s="60">
        <v>56.5</v>
      </c>
      <c r="AX25" s="60">
        <v>-0.38329999999999997</v>
      </c>
      <c r="AY25" s="60">
        <v>4.95</v>
      </c>
      <c r="AZ25" s="60">
        <v>9.1209999999999999E-2</v>
      </c>
      <c r="BA25" s="60">
        <v>4.0999999999999996</v>
      </c>
      <c r="BB25" s="60">
        <v>4.5</v>
      </c>
      <c r="BC25" s="60">
        <v>5</v>
      </c>
      <c r="BD25" s="60">
        <v>5.4</v>
      </c>
      <c r="BE25" s="60">
        <v>6</v>
      </c>
      <c r="BG25" s="60">
        <v>56.5</v>
      </c>
      <c r="BH25" s="60">
        <v>-0.35210000000000002</v>
      </c>
      <c r="BI25" s="60">
        <v>4.9795999999999996</v>
      </c>
      <c r="BJ25" s="60">
        <v>8.5070000000000007E-2</v>
      </c>
      <c r="BK25" s="60">
        <v>4.2</v>
      </c>
      <c r="BL25" s="60">
        <v>4.5999999999999996</v>
      </c>
      <c r="BM25" s="60">
        <v>5</v>
      </c>
      <c r="BN25" s="60">
        <v>5.4</v>
      </c>
      <c r="BO25" s="60">
        <v>5.9</v>
      </c>
    </row>
    <row r="26" spans="1:67">
      <c r="A26" s="60">
        <v>85</v>
      </c>
      <c r="B26" s="60">
        <v>-1.2693000000000001</v>
      </c>
      <c r="C26" s="60">
        <v>15.421099999999999</v>
      </c>
      <c r="D26" s="60">
        <v>0.10792</v>
      </c>
      <c r="F26" s="60">
        <v>85</v>
      </c>
      <c r="G26" s="60">
        <v>-1.2656000000000001</v>
      </c>
      <c r="H26" s="60">
        <v>15.501899999999999</v>
      </c>
      <c r="I26" s="60">
        <v>9.103E-2</v>
      </c>
      <c r="U26" s="60">
        <v>24</v>
      </c>
      <c r="V26" s="60">
        <v>79.3</v>
      </c>
      <c r="W26" s="60">
        <v>82.5</v>
      </c>
      <c r="X26" s="60">
        <v>85.7</v>
      </c>
      <c r="Y26" s="60">
        <v>88.9</v>
      </c>
      <c r="Z26" s="60">
        <v>92.2</v>
      </c>
      <c r="AB26" s="60">
        <v>24</v>
      </c>
      <c r="AC26" s="60">
        <v>81</v>
      </c>
      <c r="AD26" s="60">
        <v>84.1</v>
      </c>
      <c r="AE26" s="60">
        <v>87.1</v>
      </c>
      <c r="AF26" s="60">
        <v>90.2</v>
      </c>
      <c r="AG26" s="60">
        <v>93.2</v>
      </c>
      <c r="AI26" s="60">
        <v>24</v>
      </c>
      <c r="AJ26" s="60">
        <v>44.4</v>
      </c>
      <c r="AK26" s="60">
        <v>45.8</v>
      </c>
      <c r="AL26" s="60">
        <v>47.2</v>
      </c>
      <c r="AM26" s="60">
        <v>48.6</v>
      </c>
      <c r="AN26" s="60">
        <v>50</v>
      </c>
      <c r="AP26" s="60">
        <v>24</v>
      </c>
      <c r="AQ26" s="60">
        <v>45.5</v>
      </c>
      <c r="AR26" s="60">
        <v>46.9</v>
      </c>
      <c r="AS26" s="60">
        <v>48.3</v>
      </c>
      <c r="AT26" s="60">
        <v>49.6</v>
      </c>
      <c r="AU26" s="60">
        <v>51</v>
      </c>
      <c r="AW26" s="60">
        <v>57</v>
      </c>
      <c r="AX26" s="60">
        <v>-0.38329999999999997</v>
      </c>
      <c r="AY26" s="60">
        <v>5.0837000000000003</v>
      </c>
      <c r="AZ26" s="60">
        <v>9.1249999999999998E-2</v>
      </c>
      <c r="BA26" s="60">
        <v>4.3</v>
      </c>
      <c r="BB26" s="60">
        <v>4.5999999999999996</v>
      </c>
      <c r="BC26" s="60">
        <v>5.0999999999999996</v>
      </c>
      <c r="BD26" s="60">
        <v>5.6</v>
      </c>
      <c r="BE26" s="60">
        <v>6.1</v>
      </c>
      <c r="BG26" s="60">
        <v>57</v>
      </c>
      <c r="BH26" s="60">
        <v>-0.35210000000000002</v>
      </c>
      <c r="BI26" s="60">
        <v>5.1258999999999997</v>
      </c>
      <c r="BJ26" s="60">
        <v>8.4809999999999997E-2</v>
      </c>
      <c r="BK26" s="60">
        <v>4.3</v>
      </c>
      <c r="BL26" s="60">
        <v>4.7</v>
      </c>
      <c r="BM26" s="60">
        <v>5.0999999999999996</v>
      </c>
      <c r="BN26" s="60">
        <v>5.6</v>
      </c>
      <c r="BO26" s="60">
        <v>6.1</v>
      </c>
    </row>
    <row r="27" spans="1:67">
      <c r="A27" s="60">
        <v>86</v>
      </c>
      <c r="B27" s="60">
        <v>-1.2819</v>
      </c>
      <c r="C27" s="60">
        <v>15.4397</v>
      </c>
      <c r="D27" s="60">
        <v>0.10836999999999999</v>
      </c>
      <c r="F27" s="60">
        <v>86</v>
      </c>
      <c r="G27" s="60">
        <v>-1.2848999999999999</v>
      </c>
      <c r="H27" s="60">
        <v>15.521000000000001</v>
      </c>
      <c r="I27" s="60">
        <v>9.1389999999999999E-2</v>
      </c>
      <c r="U27" s="60">
        <v>25</v>
      </c>
      <c r="V27" s="60">
        <v>80</v>
      </c>
      <c r="W27" s="60">
        <v>83.3</v>
      </c>
      <c r="X27" s="60">
        <v>86.6</v>
      </c>
      <c r="Y27" s="60">
        <v>89.9</v>
      </c>
      <c r="Z27" s="60">
        <v>93.1</v>
      </c>
      <c r="AB27" s="60">
        <v>25</v>
      </c>
      <c r="AC27" s="60">
        <v>81.7</v>
      </c>
      <c r="AD27" s="60">
        <v>84.9</v>
      </c>
      <c r="AE27" s="60">
        <v>88</v>
      </c>
      <c r="AF27" s="60">
        <v>91.1</v>
      </c>
      <c r="AG27" s="60">
        <v>94.2</v>
      </c>
      <c r="AI27" s="60">
        <v>25</v>
      </c>
      <c r="AJ27" s="60">
        <v>44.5</v>
      </c>
      <c r="AK27" s="60">
        <v>45.9</v>
      </c>
      <c r="AL27" s="60">
        <v>47.3</v>
      </c>
      <c r="AM27" s="60">
        <v>48.7</v>
      </c>
      <c r="AN27" s="60">
        <v>50.1</v>
      </c>
      <c r="AP27" s="60">
        <v>25</v>
      </c>
      <c r="AQ27" s="60">
        <v>45.6</v>
      </c>
      <c r="AR27" s="60">
        <v>47</v>
      </c>
      <c r="AS27" s="60">
        <v>48.4</v>
      </c>
      <c r="AT27" s="60">
        <v>49.7</v>
      </c>
      <c r="AU27" s="60">
        <v>51.1</v>
      </c>
      <c r="AW27" s="60">
        <v>57.5</v>
      </c>
      <c r="AX27" s="60">
        <v>-0.38329999999999997</v>
      </c>
      <c r="AY27" s="60">
        <v>5.2172999999999998</v>
      </c>
      <c r="AZ27" s="60">
        <v>9.128E-2</v>
      </c>
      <c r="BA27" s="60">
        <v>4.4000000000000004</v>
      </c>
      <c r="BB27" s="60">
        <v>4.8</v>
      </c>
      <c r="BC27" s="60">
        <v>5.2</v>
      </c>
      <c r="BD27" s="60">
        <v>5.7</v>
      </c>
      <c r="BE27" s="60">
        <v>6.3</v>
      </c>
      <c r="BG27" s="60">
        <v>57.5</v>
      </c>
      <c r="BH27" s="60">
        <v>-0.35210000000000002</v>
      </c>
      <c r="BI27" s="60">
        <v>5.2721</v>
      </c>
      <c r="BJ27" s="60">
        <v>8.455E-2</v>
      </c>
      <c r="BK27" s="60">
        <v>4.5</v>
      </c>
      <c r="BL27" s="60">
        <v>4.9000000000000004</v>
      </c>
      <c r="BM27" s="60">
        <v>5.3</v>
      </c>
      <c r="BN27" s="60">
        <v>5.7</v>
      </c>
      <c r="BO27" s="60">
        <v>6.3</v>
      </c>
    </row>
    <row r="28" spans="1:67">
      <c r="A28" s="60">
        <v>87</v>
      </c>
      <c r="B28" s="60">
        <v>-1.2941</v>
      </c>
      <c r="C28" s="60">
        <v>15.459300000000001</v>
      </c>
      <c r="D28" s="60">
        <v>0.10883</v>
      </c>
      <c r="F28" s="60">
        <v>87</v>
      </c>
      <c r="G28" s="60">
        <v>-1.304</v>
      </c>
      <c r="H28" s="60">
        <v>15.540699999999999</v>
      </c>
      <c r="I28" s="60">
        <v>9.1759999999999994E-2</v>
      </c>
      <c r="U28" s="60">
        <v>26</v>
      </c>
      <c r="V28" s="60">
        <v>80.8</v>
      </c>
      <c r="W28" s="60">
        <v>84.1</v>
      </c>
      <c r="X28" s="60">
        <v>87.4</v>
      </c>
      <c r="Y28" s="60">
        <v>90.8</v>
      </c>
      <c r="Z28" s="60">
        <v>94.1</v>
      </c>
      <c r="AB28" s="60">
        <v>26</v>
      </c>
      <c r="AC28" s="60">
        <v>82.5</v>
      </c>
      <c r="AD28" s="60">
        <v>85.6</v>
      </c>
      <c r="AE28" s="60">
        <v>88.8</v>
      </c>
      <c r="AF28" s="60">
        <v>92</v>
      </c>
      <c r="AG28" s="60">
        <v>95.2</v>
      </c>
      <c r="AI28" s="60">
        <v>26</v>
      </c>
      <c r="AJ28" s="60">
        <v>44.7</v>
      </c>
      <c r="AK28" s="60">
        <v>46.1</v>
      </c>
      <c r="AL28" s="60">
        <v>47.5</v>
      </c>
      <c r="AM28" s="60">
        <v>48.9</v>
      </c>
      <c r="AN28" s="60">
        <v>50.3</v>
      </c>
      <c r="AP28" s="60">
        <v>26</v>
      </c>
      <c r="AQ28" s="60">
        <v>45.8</v>
      </c>
      <c r="AR28" s="60">
        <v>47.1</v>
      </c>
      <c r="AS28" s="60">
        <v>48.5</v>
      </c>
      <c r="AT28" s="60">
        <v>49.9</v>
      </c>
      <c r="AU28" s="60">
        <v>51.2</v>
      </c>
      <c r="AW28" s="60">
        <v>58</v>
      </c>
      <c r="AX28" s="60">
        <v>-0.38329999999999997</v>
      </c>
      <c r="AY28" s="60">
        <v>5.3506999999999998</v>
      </c>
      <c r="AZ28" s="60">
        <v>9.1300000000000006E-2</v>
      </c>
      <c r="BA28" s="60">
        <v>4.5</v>
      </c>
      <c r="BB28" s="60">
        <v>4.9000000000000004</v>
      </c>
      <c r="BC28" s="60">
        <v>5.4</v>
      </c>
      <c r="BD28" s="60">
        <v>5.9</v>
      </c>
      <c r="BE28" s="60">
        <v>6.5</v>
      </c>
      <c r="BG28" s="60">
        <v>58</v>
      </c>
      <c r="BH28" s="60">
        <v>-0.35210000000000002</v>
      </c>
      <c r="BI28" s="60">
        <v>5.4180000000000001</v>
      </c>
      <c r="BJ28" s="60">
        <v>8.43E-2</v>
      </c>
      <c r="BK28" s="60">
        <v>4.5999999999999996</v>
      </c>
      <c r="BL28" s="60">
        <v>5</v>
      </c>
      <c r="BM28" s="60">
        <v>5.4</v>
      </c>
      <c r="BN28" s="60">
        <v>5.9</v>
      </c>
      <c r="BO28" s="60">
        <v>6.4</v>
      </c>
    </row>
    <row r="29" spans="1:67">
      <c r="A29" s="60">
        <v>88</v>
      </c>
      <c r="B29" s="60">
        <v>-1.306</v>
      </c>
      <c r="C29" s="60">
        <v>15.479799999999999</v>
      </c>
      <c r="D29" s="60">
        <v>0.10929</v>
      </c>
      <c r="F29" s="60">
        <v>88</v>
      </c>
      <c r="G29" s="60">
        <v>-1.3228</v>
      </c>
      <c r="H29" s="60">
        <v>15.5608</v>
      </c>
      <c r="I29" s="60">
        <v>9.2130000000000004E-2</v>
      </c>
      <c r="U29" s="60">
        <v>27</v>
      </c>
      <c r="V29" s="60">
        <v>81.5</v>
      </c>
      <c r="W29" s="60">
        <v>84.9</v>
      </c>
      <c r="X29" s="60">
        <v>88.3</v>
      </c>
      <c r="Y29" s="60">
        <v>91.7</v>
      </c>
      <c r="Z29" s="60">
        <v>95</v>
      </c>
      <c r="AB29" s="60">
        <v>27</v>
      </c>
      <c r="AC29" s="60">
        <v>83.1</v>
      </c>
      <c r="AD29" s="60">
        <v>86.4</v>
      </c>
      <c r="AE29" s="60">
        <v>89.6</v>
      </c>
      <c r="AF29" s="60">
        <v>92.9</v>
      </c>
      <c r="AG29" s="60">
        <v>96.1</v>
      </c>
      <c r="AI29" s="60">
        <v>27</v>
      </c>
      <c r="AJ29" s="60">
        <v>44.8</v>
      </c>
      <c r="AK29" s="60">
        <v>46.2</v>
      </c>
      <c r="AL29" s="60">
        <v>47.6</v>
      </c>
      <c r="AM29" s="60">
        <v>49</v>
      </c>
      <c r="AN29" s="60">
        <v>50.4</v>
      </c>
      <c r="AP29" s="60">
        <v>27</v>
      </c>
      <c r="AQ29" s="60">
        <v>45.9</v>
      </c>
      <c r="AR29" s="60">
        <v>47.2</v>
      </c>
      <c r="AS29" s="60">
        <v>48.6</v>
      </c>
      <c r="AT29" s="60">
        <v>50</v>
      </c>
      <c r="AU29" s="60">
        <v>51.4</v>
      </c>
      <c r="AW29" s="60">
        <v>58.5</v>
      </c>
      <c r="AX29" s="60">
        <v>-0.38329999999999997</v>
      </c>
      <c r="AY29" s="60">
        <v>5.4833999999999996</v>
      </c>
      <c r="AZ29" s="60">
        <v>9.1319999999999998E-2</v>
      </c>
      <c r="BA29" s="60">
        <v>4.5999999999999996</v>
      </c>
      <c r="BB29" s="60">
        <v>5</v>
      </c>
      <c r="BC29" s="60">
        <v>5.5</v>
      </c>
      <c r="BD29" s="60">
        <v>6</v>
      </c>
      <c r="BE29" s="60">
        <v>6.6</v>
      </c>
      <c r="BG29" s="60">
        <v>58.5</v>
      </c>
      <c r="BH29" s="60">
        <v>-0.35210000000000002</v>
      </c>
      <c r="BI29" s="60">
        <v>5.5632000000000001</v>
      </c>
      <c r="BJ29" s="60">
        <v>8.4059999999999996E-2</v>
      </c>
      <c r="BK29" s="60">
        <v>4.7</v>
      </c>
      <c r="BL29" s="60">
        <v>5.0999999999999996</v>
      </c>
      <c r="BM29" s="60">
        <v>5.6</v>
      </c>
      <c r="BN29" s="60">
        <v>6.1</v>
      </c>
      <c r="BO29" s="60">
        <v>6.6</v>
      </c>
    </row>
    <row r="30" spans="1:67">
      <c r="A30" s="60">
        <v>89</v>
      </c>
      <c r="B30" s="60">
        <v>-1.3174999999999999</v>
      </c>
      <c r="C30" s="60">
        <v>15.5014</v>
      </c>
      <c r="D30" s="60">
        <v>0.10974</v>
      </c>
      <c r="F30" s="60">
        <v>89</v>
      </c>
      <c r="G30" s="60">
        <v>-1.3413999999999999</v>
      </c>
      <c r="H30" s="60">
        <v>15.5814</v>
      </c>
      <c r="I30" s="60">
        <v>9.2509999999999995E-2</v>
      </c>
      <c r="U30" s="60">
        <v>28</v>
      </c>
      <c r="V30" s="60">
        <v>82.2</v>
      </c>
      <c r="W30" s="60">
        <v>85.7</v>
      </c>
      <c r="X30" s="60">
        <v>89.1</v>
      </c>
      <c r="Y30" s="60">
        <v>92.5</v>
      </c>
      <c r="Z30" s="60">
        <v>96</v>
      </c>
      <c r="AB30" s="60">
        <v>28</v>
      </c>
      <c r="AC30" s="60">
        <v>83.8</v>
      </c>
      <c r="AD30" s="60">
        <v>87.1</v>
      </c>
      <c r="AE30" s="60">
        <v>90.4</v>
      </c>
      <c r="AF30" s="60">
        <v>93.7</v>
      </c>
      <c r="AG30" s="60">
        <v>97</v>
      </c>
      <c r="AI30" s="60">
        <v>28</v>
      </c>
      <c r="AJ30" s="60">
        <v>44.9</v>
      </c>
      <c r="AK30" s="60">
        <v>46.3</v>
      </c>
      <c r="AL30" s="60">
        <v>47.7</v>
      </c>
      <c r="AM30" s="60">
        <v>49.1</v>
      </c>
      <c r="AN30" s="60">
        <v>50.5</v>
      </c>
      <c r="AP30" s="60">
        <v>28</v>
      </c>
      <c r="AQ30" s="60">
        <v>46</v>
      </c>
      <c r="AR30" s="60">
        <v>47.3</v>
      </c>
      <c r="AS30" s="60">
        <v>48.7</v>
      </c>
      <c r="AT30" s="60">
        <v>50.1</v>
      </c>
      <c r="AU30" s="60">
        <v>51.5</v>
      </c>
      <c r="AW30" s="60">
        <v>59</v>
      </c>
      <c r="AX30" s="60">
        <v>-0.38329999999999997</v>
      </c>
      <c r="AY30" s="60">
        <v>5.6151</v>
      </c>
      <c r="AZ30" s="60">
        <v>9.1340000000000005E-2</v>
      </c>
      <c r="BA30" s="60">
        <v>4.7</v>
      </c>
      <c r="BB30" s="60">
        <v>5.0999999999999996</v>
      </c>
      <c r="BC30" s="60">
        <v>5.6</v>
      </c>
      <c r="BD30" s="60">
        <v>6.2</v>
      </c>
      <c r="BE30" s="60">
        <v>6.8</v>
      </c>
      <c r="BG30" s="60">
        <v>59</v>
      </c>
      <c r="BH30" s="60">
        <v>-0.35210000000000002</v>
      </c>
      <c r="BI30" s="60">
        <v>5.7073999999999998</v>
      </c>
      <c r="BJ30" s="60">
        <v>8.3830000000000002E-2</v>
      </c>
      <c r="BK30" s="60">
        <v>4.8</v>
      </c>
      <c r="BL30" s="60">
        <v>5.3</v>
      </c>
      <c r="BM30" s="60">
        <v>5.7</v>
      </c>
      <c r="BN30" s="60">
        <v>6.2</v>
      </c>
      <c r="BO30" s="60">
        <v>6.8</v>
      </c>
    </row>
    <row r="31" spans="1:67">
      <c r="A31" s="60">
        <v>90</v>
      </c>
      <c r="B31" s="60">
        <v>-1.3287</v>
      </c>
      <c r="C31" s="60">
        <v>15.523999999999999</v>
      </c>
      <c r="D31" s="60">
        <v>0.11020000000000001</v>
      </c>
      <c r="F31" s="60">
        <v>90</v>
      </c>
      <c r="G31" s="60">
        <v>-1.3595999999999999</v>
      </c>
      <c r="H31" s="60">
        <v>15.6023</v>
      </c>
      <c r="I31" s="60">
        <v>9.289E-2</v>
      </c>
      <c r="U31" s="60">
        <v>29</v>
      </c>
      <c r="V31" s="60">
        <v>82.9</v>
      </c>
      <c r="W31" s="60">
        <v>86.4</v>
      </c>
      <c r="X31" s="60">
        <v>89.9</v>
      </c>
      <c r="Y31" s="60">
        <v>93.4</v>
      </c>
      <c r="Z31" s="60">
        <v>96.9</v>
      </c>
      <c r="AB31" s="60">
        <v>29</v>
      </c>
      <c r="AC31" s="60">
        <v>84.5</v>
      </c>
      <c r="AD31" s="60">
        <v>87.8</v>
      </c>
      <c r="AE31" s="60">
        <v>91.2</v>
      </c>
      <c r="AF31" s="60">
        <v>94.5</v>
      </c>
      <c r="AG31" s="60">
        <v>97.9</v>
      </c>
      <c r="AI31" s="60">
        <v>29</v>
      </c>
      <c r="AJ31" s="60">
        <v>45</v>
      </c>
      <c r="AK31" s="60">
        <v>46.4</v>
      </c>
      <c r="AL31" s="60">
        <v>47.8</v>
      </c>
      <c r="AM31" s="60">
        <v>49.2</v>
      </c>
      <c r="AN31" s="60">
        <v>50.6</v>
      </c>
      <c r="AP31" s="60">
        <v>29</v>
      </c>
      <c r="AQ31" s="60">
        <v>46.1</v>
      </c>
      <c r="AR31" s="60">
        <v>47.4</v>
      </c>
      <c r="AS31" s="60">
        <v>48.8</v>
      </c>
      <c r="AT31" s="60">
        <v>50.2</v>
      </c>
      <c r="AU31" s="60">
        <v>51.6</v>
      </c>
      <c r="AW31" s="60">
        <v>59.5</v>
      </c>
      <c r="AX31" s="60">
        <v>-0.38329999999999997</v>
      </c>
      <c r="AY31" s="60">
        <v>5.7454000000000001</v>
      </c>
      <c r="AZ31" s="60">
        <v>9.1350000000000001E-2</v>
      </c>
      <c r="BA31" s="60">
        <v>4.8</v>
      </c>
      <c r="BB31" s="60">
        <v>5.3</v>
      </c>
      <c r="BC31" s="60">
        <v>5.7</v>
      </c>
      <c r="BD31" s="60">
        <v>6.3</v>
      </c>
      <c r="BE31" s="60">
        <v>6.9</v>
      </c>
      <c r="BG31" s="60">
        <v>59.5</v>
      </c>
      <c r="BH31" s="60">
        <v>-0.35210000000000002</v>
      </c>
      <c r="BI31" s="60">
        <v>5.8501000000000003</v>
      </c>
      <c r="BJ31" s="60">
        <v>8.362E-2</v>
      </c>
      <c r="BK31" s="60">
        <v>5</v>
      </c>
      <c r="BL31" s="60">
        <v>5.4</v>
      </c>
      <c r="BM31" s="60">
        <v>5.9</v>
      </c>
      <c r="BN31" s="60">
        <v>6.4</v>
      </c>
      <c r="BO31" s="60">
        <v>7</v>
      </c>
    </row>
    <row r="32" spans="1:67">
      <c r="A32" s="60">
        <v>91</v>
      </c>
      <c r="B32" s="60">
        <v>-1.3394999999999999</v>
      </c>
      <c r="C32" s="60">
        <v>15.547599999999999</v>
      </c>
      <c r="D32" s="60">
        <v>0.11065</v>
      </c>
      <c r="F32" s="60">
        <v>91</v>
      </c>
      <c r="G32" s="60">
        <v>-1.3775999999999999</v>
      </c>
      <c r="H32" s="60">
        <v>15.623699999999999</v>
      </c>
      <c r="I32" s="60">
        <v>9.3270000000000006E-2</v>
      </c>
      <c r="U32" s="60">
        <v>30</v>
      </c>
      <c r="V32" s="60">
        <v>83.6</v>
      </c>
      <c r="W32" s="60">
        <v>87.1</v>
      </c>
      <c r="X32" s="60">
        <v>90.7</v>
      </c>
      <c r="Y32" s="60">
        <v>94.2</v>
      </c>
      <c r="Z32" s="60">
        <v>97.7</v>
      </c>
      <c r="AB32" s="60">
        <v>30</v>
      </c>
      <c r="AC32" s="60">
        <v>85.1</v>
      </c>
      <c r="AD32" s="60">
        <v>88.5</v>
      </c>
      <c r="AE32" s="60">
        <v>91.9</v>
      </c>
      <c r="AF32" s="60">
        <v>95.3</v>
      </c>
      <c r="AG32" s="60">
        <v>98.7</v>
      </c>
      <c r="AI32" s="60">
        <v>30</v>
      </c>
      <c r="AJ32" s="60">
        <v>45.1</v>
      </c>
      <c r="AK32" s="60">
        <v>46.5</v>
      </c>
      <c r="AL32" s="60">
        <v>47.9</v>
      </c>
      <c r="AM32" s="60">
        <v>49.3</v>
      </c>
      <c r="AN32" s="60">
        <v>50.7</v>
      </c>
      <c r="AP32" s="60">
        <v>30</v>
      </c>
      <c r="AQ32" s="60">
        <v>46.1</v>
      </c>
      <c r="AR32" s="60">
        <v>47.5</v>
      </c>
      <c r="AS32" s="60">
        <v>48.9</v>
      </c>
      <c r="AT32" s="60">
        <v>50.3</v>
      </c>
      <c r="AU32" s="60">
        <v>51.7</v>
      </c>
      <c r="AW32" s="60">
        <v>60</v>
      </c>
      <c r="AX32" s="60">
        <v>-0.38329999999999997</v>
      </c>
      <c r="AY32" s="60">
        <v>5.8742000000000001</v>
      </c>
      <c r="AZ32" s="60">
        <v>9.1359999999999997E-2</v>
      </c>
      <c r="BA32" s="60">
        <v>4.9000000000000004</v>
      </c>
      <c r="BB32" s="60">
        <v>5.4</v>
      </c>
      <c r="BC32" s="60">
        <v>5.9</v>
      </c>
      <c r="BD32" s="60">
        <v>6.4</v>
      </c>
      <c r="BE32" s="60">
        <v>7.1</v>
      </c>
      <c r="BG32" s="60">
        <v>60</v>
      </c>
      <c r="BH32" s="60">
        <v>-0.35210000000000002</v>
      </c>
      <c r="BI32" s="60">
        <v>5.9907000000000004</v>
      </c>
      <c r="BJ32" s="60">
        <v>8.3419999999999994E-2</v>
      </c>
      <c r="BK32" s="60">
        <v>5.0999999999999996</v>
      </c>
      <c r="BL32" s="60">
        <v>5.5</v>
      </c>
      <c r="BM32" s="60">
        <v>6</v>
      </c>
      <c r="BN32" s="60">
        <v>6.5</v>
      </c>
      <c r="BO32" s="60">
        <v>7.1</v>
      </c>
    </row>
    <row r="33" spans="1:67">
      <c r="A33" s="60">
        <v>92</v>
      </c>
      <c r="B33" s="60">
        <v>-1.3499000000000001</v>
      </c>
      <c r="C33" s="60">
        <v>15.5723</v>
      </c>
      <c r="D33" s="60">
        <v>0.1111</v>
      </c>
      <c r="F33" s="60">
        <v>92</v>
      </c>
      <c r="G33" s="60">
        <v>-1.3953</v>
      </c>
      <c r="H33" s="60">
        <v>15.6455</v>
      </c>
      <c r="I33" s="60">
        <v>9.3659999999999993E-2</v>
      </c>
      <c r="U33" s="60">
        <v>31</v>
      </c>
      <c r="V33" s="60">
        <v>84.3</v>
      </c>
      <c r="W33" s="60">
        <v>87.9</v>
      </c>
      <c r="X33" s="60">
        <v>91.4</v>
      </c>
      <c r="Y33" s="60">
        <v>95</v>
      </c>
      <c r="Z33" s="60">
        <v>98.6</v>
      </c>
      <c r="AB33" s="60">
        <v>31</v>
      </c>
      <c r="AC33" s="60">
        <v>85.7</v>
      </c>
      <c r="AD33" s="60">
        <v>89.2</v>
      </c>
      <c r="AE33" s="60">
        <v>92.7</v>
      </c>
      <c r="AF33" s="60">
        <v>96.1</v>
      </c>
      <c r="AG33" s="60">
        <v>99.6</v>
      </c>
      <c r="AI33" s="60">
        <v>31</v>
      </c>
      <c r="AJ33" s="60">
        <v>45.2</v>
      </c>
      <c r="AK33" s="60">
        <v>46.6</v>
      </c>
      <c r="AL33" s="60">
        <v>48</v>
      </c>
      <c r="AM33" s="60">
        <v>49.4</v>
      </c>
      <c r="AN33" s="60">
        <v>50.9</v>
      </c>
      <c r="AP33" s="60">
        <v>31</v>
      </c>
      <c r="AQ33" s="60">
        <v>46.2</v>
      </c>
      <c r="AR33" s="60">
        <v>47.6</v>
      </c>
      <c r="AS33" s="60">
        <v>49</v>
      </c>
      <c r="AT33" s="60">
        <v>50.4</v>
      </c>
      <c r="AU33" s="60">
        <v>51.8</v>
      </c>
      <c r="AW33" s="60">
        <v>60.5</v>
      </c>
      <c r="AX33" s="60">
        <v>-0.38329999999999997</v>
      </c>
      <c r="AY33" s="60">
        <v>6.0014000000000003</v>
      </c>
      <c r="AZ33" s="60">
        <v>9.1370000000000007E-2</v>
      </c>
      <c r="BA33" s="60">
        <v>5</v>
      </c>
      <c r="BB33" s="60">
        <v>5.5</v>
      </c>
      <c r="BC33" s="60">
        <v>6</v>
      </c>
      <c r="BD33" s="60">
        <v>6.6</v>
      </c>
      <c r="BE33" s="60">
        <v>7.3</v>
      </c>
      <c r="BG33" s="60">
        <v>60.5</v>
      </c>
      <c r="BH33" s="60">
        <v>-0.35210000000000002</v>
      </c>
      <c r="BI33" s="60">
        <v>6.1284000000000001</v>
      </c>
      <c r="BJ33" s="60">
        <v>8.3239999999999995E-2</v>
      </c>
      <c r="BK33" s="60">
        <v>5.2</v>
      </c>
      <c r="BL33" s="60">
        <v>5.6</v>
      </c>
      <c r="BM33" s="60">
        <v>6.1</v>
      </c>
      <c r="BN33" s="60">
        <v>6.7</v>
      </c>
      <c r="BO33" s="60">
        <v>7.3</v>
      </c>
    </row>
    <row r="34" spans="1:67">
      <c r="A34" s="60">
        <v>93</v>
      </c>
      <c r="B34" s="60">
        <v>-1.36</v>
      </c>
      <c r="C34" s="60">
        <v>15.597899999999999</v>
      </c>
      <c r="D34" s="60">
        <v>0.11156000000000001</v>
      </c>
      <c r="F34" s="60">
        <v>93</v>
      </c>
      <c r="G34" s="60">
        <v>-1.4126000000000001</v>
      </c>
      <c r="H34" s="60">
        <v>15.6677</v>
      </c>
      <c r="I34" s="60">
        <v>9.4060000000000005E-2</v>
      </c>
      <c r="U34" s="60">
        <v>32</v>
      </c>
      <c r="V34" s="60">
        <v>84.9</v>
      </c>
      <c r="W34" s="60">
        <v>88.6</v>
      </c>
      <c r="X34" s="60">
        <v>92.2</v>
      </c>
      <c r="Y34" s="60">
        <v>95.8</v>
      </c>
      <c r="Z34" s="60">
        <v>99.4</v>
      </c>
      <c r="AB34" s="60">
        <v>32</v>
      </c>
      <c r="AC34" s="60">
        <v>86.4</v>
      </c>
      <c r="AD34" s="60">
        <v>89.9</v>
      </c>
      <c r="AE34" s="60">
        <v>93.4</v>
      </c>
      <c r="AF34" s="60">
        <v>96.9</v>
      </c>
      <c r="AG34" s="60">
        <v>100.4</v>
      </c>
      <c r="AI34" s="60">
        <v>32</v>
      </c>
      <c r="AJ34" s="60">
        <v>45.3</v>
      </c>
      <c r="AK34" s="60">
        <v>46.7</v>
      </c>
      <c r="AL34" s="60">
        <v>48.1</v>
      </c>
      <c r="AM34" s="60">
        <v>49.6</v>
      </c>
      <c r="AN34" s="60">
        <v>51</v>
      </c>
      <c r="AP34" s="60">
        <v>32</v>
      </c>
      <c r="AQ34" s="60">
        <v>46.3</v>
      </c>
      <c r="AR34" s="60">
        <v>47.7</v>
      </c>
      <c r="AS34" s="60">
        <v>49.1</v>
      </c>
      <c r="AT34" s="60">
        <v>50.5</v>
      </c>
      <c r="AU34" s="60">
        <v>51.9</v>
      </c>
      <c r="AW34" s="60">
        <v>61</v>
      </c>
      <c r="AX34" s="60">
        <v>-0.38329999999999997</v>
      </c>
      <c r="AY34" s="60">
        <v>6.1269999999999998</v>
      </c>
      <c r="AZ34" s="60">
        <v>9.1370000000000007E-2</v>
      </c>
      <c r="BA34" s="60">
        <v>5.0999999999999996</v>
      </c>
      <c r="BB34" s="60">
        <v>5.6</v>
      </c>
      <c r="BC34" s="60">
        <v>6.1</v>
      </c>
      <c r="BD34" s="60">
        <v>6.7</v>
      </c>
      <c r="BE34" s="60">
        <v>7.4</v>
      </c>
      <c r="BG34" s="60">
        <v>61</v>
      </c>
      <c r="BH34" s="60">
        <v>-0.35210000000000002</v>
      </c>
      <c r="BI34" s="60">
        <v>6.2632000000000003</v>
      </c>
      <c r="BJ34" s="60">
        <v>8.3080000000000001E-2</v>
      </c>
      <c r="BK34" s="60">
        <v>5.3</v>
      </c>
      <c r="BL34" s="60">
        <v>5.8</v>
      </c>
      <c r="BM34" s="60">
        <v>6.3</v>
      </c>
      <c r="BN34" s="60">
        <v>6.8</v>
      </c>
      <c r="BO34" s="60">
        <v>7.4</v>
      </c>
    </row>
    <row r="35" spans="1:67">
      <c r="A35" s="60">
        <v>94</v>
      </c>
      <c r="B35" s="60">
        <v>-1.3696999999999999</v>
      </c>
      <c r="C35" s="60">
        <v>15.624599999999999</v>
      </c>
      <c r="D35" s="60">
        <v>0.11201</v>
      </c>
      <c r="F35" s="60">
        <v>94</v>
      </c>
      <c r="G35" s="60">
        <v>-1.4297</v>
      </c>
      <c r="H35" s="60">
        <v>15.690300000000001</v>
      </c>
      <c r="I35" s="60">
        <v>9.4450000000000006E-2</v>
      </c>
      <c r="U35" s="60">
        <v>33</v>
      </c>
      <c r="V35" s="60">
        <v>85.6</v>
      </c>
      <c r="W35" s="60">
        <v>89.3</v>
      </c>
      <c r="X35" s="60">
        <v>92.9</v>
      </c>
      <c r="Y35" s="60">
        <v>96.6</v>
      </c>
      <c r="Z35" s="60">
        <v>100.3</v>
      </c>
      <c r="AB35" s="60">
        <v>33</v>
      </c>
      <c r="AC35" s="60">
        <v>86.9</v>
      </c>
      <c r="AD35" s="60">
        <v>90.5</v>
      </c>
      <c r="AE35" s="60">
        <v>94.1</v>
      </c>
      <c r="AF35" s="60">
        <v>97.6</v>
      </c>
      <c r="AG35" s="60">
        <v>101.2</v>
      </c>
      <c r="AI35" s="60">
        <v>33</v>
      </c>
      <c r="AJ35" s="60">
        <v>45.4</v>
      </c>
      <c r="AK35" s="60">
        <v>46.8</v>
      </c>
      <c r="AL35" s="60">
        <v>48.2</v>
      </c>
      <c r="AM35" s="60">
        <v>49.7</v>
      </c>
      <c r="AN35" s="60">
        <v>51.1</v>
      </c>
      <c r="AP35" s="60">
        <v>33</v>
      </c>
      <c r="AQ35" s="60">
        <v>46.4</v>
      </c>
      <c r="AR35" s="60">
        <v>47.8</v>
      </c>
      <c r="AS35" s="60">
        <v>49.2</v>
      </c>
      <c r="AT35" s="60">
        <v>50.6</v>
      </c>
      <c r="AU35" s="60">
        <v>52</v>
      </c>
      <c r="AW35" s="60">
        <v>61.5</v>
      </c>
      <c r="AX35" s="60">
        <v>-0.38329999999999997</v>
      </c>
      <c r="AY35" s="60">
        <v>6.2511000000000001</v>
      </c>
      <c r="AZ35" s="60">
        <v>9.1359999999999997E-2</v>
      </c>
      <c r="BA35" s="60">
        <v>5.2</v>
      </c>
      <c r="BB35" s="60">
        <v>5.7</v>
      </c>
      <c r="BC35" s="60">
        <v>6.3</v>
      </c>
      <c r="BD35" s="60">
        <v>6.9</v>
      </c>
      <c r="BE35" s="60">
        <v>7.6</v>
      </c>
      <c r="BG35" s="60">
        <v>61.5</v>
      </c>
      <c r="BH35" s="60">
        <v>-0.35210000000000002</v>
      </c>
      <c r="BI35" s="60">
        <v>6.3954000000000004</v>
      </c>
      <c r="BJ35" s="60">
        <v>8.2919999999999994E-2</v>
      </c>
      <c r="BK35" s="60">
        <v>5.4</v>
      </c>
      <c r="BL35" s="60">
        <v>5.9</v>
      </c>
      <c r="BM35" s="60">
        <v>6.4</v>
      </c>
      <c r="BN35" s="60">
        <v>7</v>
      </c>
      <c r="BO35" s="60">
        <v>7.6</v>
      </c>
    </row>
    <row r="36" spans="1:67">
      <c r="A36" s="60">
        <v>95</v>
      </c>
      <c r="B36" s="60">
        <v>-1.379</v>
      </c>
      <c r="C36" s="60">
        <v>15.6523</v>
      </c>
      <c r="D36" s="60">
        <v>0.11246</v>
      </c>
      <c r="F36" s="60">
        <v>95</v>
      </c>
      <c r="G36" s="60">
        <v>-1.4463999999999999</v>
      </c>
      <c r="H36" s="60">
        <v>15.7133</v>
      </c>
      <c r="I36" s="60">
        <v>9.486E-2</v>
      </c>
      <c r="U36" s="60">
        <v>34</v>
      </c>
      <c r="V36" s="60">
        <v>86.2</v>
      </c>
      <c r="W36" s="60">
        <v>89.9</v>
      </c>
      <c r="X36" s="60">
        <v>93.6</v>
      </c>
      <c r="Y36" s="60">
        <v>97.4</v>
      </c>
      <c r="Z36" s="60">
        <v>101.1</v>
      </c>
      <c r="AB36" s="60">
        <v>34</v>
      </c>
      <c r="AC36" s="60">
        <v>87.5</v>
      </c>
      <c r="AD36" s="60">
        <v>91.1</v>
      </c>
      <c r="AE36" s="60">
        <v>94.8</v>
      </c>
      <c r="AF36" s="60">
        <v>98.4</v>
      </c>
      <c r="AG36" s="60">
        <v>102</v>
      </c>
      <c r="AI36" s="60">
        <v>34</v>
      </c>
      <c r="AJ36" s="60">
        <v>45.5</v>
      </c>
      <c r="AK36" s="60">
        <v>46.9</v>
      </c>
      <c r="AL36" s="60">
        <v>48.3</v>
      </c>
      <c r="AM36" s="60">
        <v>49.7</v>
      </c>
      <c r="AN36" s="60">
        <v>51.2</v>
      </c>
      <c r="AP36" s="60">
        <v>34</v>
      </c>
      <c r="AQ36" s="60">
        <v>46.5</v>
      </c>
      <c r="AR36" s="60">
        <v>47.9</v>
      </c>
      <c r="AS36" s="60">
        <v>49.3</v>
      </c>
      <c r="AT36" s="60">
        <v>50.7</v>
      </c>
      <c r="AU36" s="60">
        <v>52.1</v>
      </c>
      <c r="AW36" s="60">
        <v>62</v>
      </c>
      <c r="AX36" s="60">
        <v>-0.38329999999999997</v>
      </c>
      <c r="AY36" s="60">
        <v>6.3738000000000001</v>
      </c>
      <c r="AZ36" s="60">
        <v>9.1350000000000001E-2</v>
      </c>
      <c r="BA36" s="60">
        <v>5.3</v>
      </c>
      <c r="BB36" s="60">
        <v>5.8</v>
      </c>
      <c r="BC36" s="60">
        <v>6.4</v>
      </c>
      <c r="BD36" s="60">
        <v>7</v>
      </c>
      <c r="BE36" s="60">
        <v>7.7</v>
      </c>
      <c r="BG36" s="60">
        <v>62</v>
      </c>
      <c r="BH36" s="60">
        <v>-0.35210000000000002</v>
      </c>
      <c r="BI36" s="60">
        <v>6.5251000000000001</v>
      </c>
      <c r="BJ36" s="60">
        <v>8.2790000000000002E-2</v>
      </c>
      <c r="BK36" s="60">
        <v>5.6</v>
      </c>
      <c r="BL36" s="60">
        <v>6</v>
      </c>
      <c r="BM36" s="60">
        <v>6.5</v>
      </c>
      <c r="BN36" s="60">
        <v>7.1</v>
      </c>
      <c r="BO36" s="60">
        <v>7.7</v>
      </c>
    </row>
    <row r="37" spans="1:67">
      <c r="A37" s="60">
        <v>96</v>
      </c>
      <c r="B37" s="60">
        <v>-1.3879999999999999</v>
      </c>
      <c r="C37" s="60">
        <v>15.680999999999999</v>
      </c>
      <c r="D37" s="60">
        <v>0.11291</v>
      </c>
      <c r="F37" s="60">
        <v>96</v>
      </c>
      <c r="G37" s="60">
        <v>-1.4629000000000001</v>
      </c>
      <c r="H37" s="60">
        <v>15.736800000000001</v>
      </c>
      <c r="I37" s="60">
        <v>9.5259999999999997E-2</v>
      </c>
      <c r="U37" s="60">
        <v>35</v>
      </c>
      <c r="V37" s="60">
        <v>86.8</v>
      </c>
      <c r="W37" s="60">
        <v>90.6</v>
      </c>
      <c r="X37" s="60">
        <v>94.4</v>
      </c>
      <c r="Y37" s="60">
        <v>98.1</v>
      </c>
      <c r="Z37" s="60">
        <v>101.9</v>
      </c>
      <c r="AB37" s="60">
        <v>35</v>
      </c>
      <c r="AC37" s="60">
        <v>88.1</v>
      </c>
      <c r="AD37" s="60">
        <v>91.8</v>
      </c>
      <c r="AE37" s="60">
        <v>95.4</v>
      </c>
      <c r="AF37" s="60">
        <v>99.1</v>
      </c>
      <c r="AG37" s="60">
        <v>102.7</v>
      </c>
      <c r="AI37" s="60">
        <v>35</v>
      </c>
      <c r="AJ37" s="60">
        <v>45.6</v>
      </c>
      <c r="AK37" s="60">
        <v>47</v>
      </c>
      <c r="AL37" s="60">
        <v>48.4</v>
      </c>
      <c r="AM37" s="60">
        <v>49.8</v>
      </c>
      <c r="AN37" s="60">
        <v>51.2</v>
      </c>
      <c r="AP37" s="60">
        <v>35</v>
      </c>
      <c r="AQ37" s="60">
        <v>46.6</v>
      </c>
      <c r="AR37" s="60">
        <v>48</v>
      </c>
      <c r="AS37" s="60">
        <v>49.4</v>
      </c>
      <c r="AT37" s="60">
        <v>50.8</v>
      </c>
      <c r="AU37" s="60">
        <v>52.2</v>
      </c>
      <c r="AW37" s="60">
        <v>62.5</v>
      </c>
      <c r="AX37" s="60">
        <v>-0.38329999999999997</v>
      </c>
      <c r="AY37" s="60">
        <v>6.4947999999999997</v>
      </c>
      <c r="AZ37" s="60">
        <v>9.1329999999999995E-2</v>
      </c>
      <c r="BA37" s="60">
        <v>5.4</v>
      </c>
      <c r="BB37" s="60">
        <v>5.9</v>
      </c>
      <c r="BC37" s="60">
        <v>6.5</v>
      </c>
      <c r="BD37" s="60">
        <v>7.1</v>
      </c>
      <c r="BE37" s="60">
        <v>7.8</v>
      </c>
      <c r="BG37" s="60">
        <v>62.5</v>
      </c>
      <c r="BH37" s="60">
        <v>-0.35210000000000002</v>
      </c>
      <c r="BI37" s="60">
        <v>6.6527000000000003</v>
      </c>
      <c r="BJ37" s="60">
        <v>8.2659999999999997E-2</v>
      </c>
      <c r="BK37" s="60">
        <v>5.7</v>
      </c>
      <c r="BL37" s="60">
        <v>6.1</v>
      </c>
      <c r="BM37" s="60">
        <v>6.7</v>
      </c>
      <c r="BN37" s="60">
        <v>7.2</v>
      </c>
      <c r="BO37" s="60">
        <v>7.9</v>
      </c>
    </row>
    <row r="38" spans="1:67">
      <c r="A38" s="60">
        <v>97</v>
      </c>
      <c r="B38" s="60">
        <v>-1.3966000000000001</v>
      </c>
      <c r="C38" s="60">
        <v>15.710699999999999</v>
      </c>
      <c r="D38" s="60">
        <v>0.11335000000000001</v>
      </c>
      <c r="F38" s="60">
        <v>97</v>
      </c>
      <c r="G38" s="60">
        <v>-1.4790000000000001</v>
      </c>
      <c r="H38" s="60">
        <v>15.7606</v>
      </c>
      <c r="I38" s="60">
        <v>9.5670000000000005E-2</v>
      </c>
      <c r="U38" s="60">
        <v>36</v>
      </c>
      <c r="V38" s="60">
        <v>87.4</v>
      </c>
      <c r="W38" s="60">
        <v>91.2</v>
      </c>
      <c r="X38" s="60">
        <v>95.1</v>
      </c>
      <c r="Y38" s="60">
        <v>98.9</v>
      </c>
      <c r="Z38" s="60">
        <v>102.7</v>
      </c>
      <c r="AB38" s="60">
        <v>36</v>
      </c>
      <c r="AC38" s="60">
        <v>88.7</v>
      </c>
      <c r="AD38" s="60">
        <v>92.4</v>
      </c>
      <c r="AE38" s="60">
        <v>96.1</v>
      </c>
      <c r="AF38" s="60">
        <v>99.8</v>
      </c>
      <c r="AG38" s="60">
        <v>103.5</v>
      </c>
      <c r="AI38" s="60">
        <v>36</v>
      </c>
      <c r="AJ38" s="60">
        <v>45.7</v>
      </c>
      <c r="AK38" s="60">
        <v>47.1</v>
      </c>
      <c r="AL38" s="60">
        <v>48.5</v>
      </c>
      <c r="AM38" s="60">
        <v>49.9</v>
      </c>
      <c r="AN38" s="60">
        <v>51.3</v>
      </c>
      <c r="AP38" s="60">
        <v>36</v>
      </c>
      <c r="AQ38" s="60">
        <v>46.6</v>
      </c>
      <c r="AR38" s="60">
        <v>48</v>
      </c>
      <c r="AS38" s="60">
        <v>49.5</v>
      </c>
      <c r="AT38" s="60">
        <v>50.9</v>
      </c>
      <c r="AU38" s="60">
        <v>52.3</v>
      </c>
      <c r="AW38" s="60">
        <v>63</v>
      </c>
      <c r="AX38" s="60">
        <v>-0.38329999999999997</v>
      </c>
      <c r="AY38" s="60">
        <v>6.6143999999999998</v>
      </c>
      <c r="AZ38" s="60">
        <v>9.1310000000000002E-2</v>
      </c>
      <c r="BA38" s="60">
        <v>5.5</v>
      </c>
      <c r="BB38" s="60">
        <v>6</v>
      </c>
      <c r="BC38" s="60">
        <v>6.6</v>
      </c>
      <c r="BD38" s="60">
        <v>7.3</v>
      </c>
      <c r="BE38" s="60">
        <v>8</v>
      </c>
      <c r="BG38" s="60">
        <v>63</v>
      </c>
      <c r="BH38" s="60">
        <v>-0.35210000000000002</v>
      </c>
      <c r="BI38" s="60">
        <v>6.7786</v>
      </c>
      <c r="BJ38" s="60">
        <v>8.2549999999999998E-2</v>
      </c>
      <c r="BK38" s="60">
        <v>5.8</v>
      </c>
      <c r="BL38" s="60">
        <v>6.2</v>
      </c>
      <c r="BM38" s="60">
        <v>6.8</v>
      </c>
      <c r="BN38" s="60">
        <v>7.4</v>
      </c>
      <c r="BO38" s="60">
        <v>8</v>
      </c>
    </row>
    <row r="39" spans="1:67">
      <c r="A39" s="60">
        <v>98</v>
      </c>
      <c r="B39" s="60">
        <v>-1.4047000000000001</v>
      </c>
      <c r="C39" s="60">
        <v>15.7415</v>
      </c>
      <c r="D39" s="60">
        <v>0.1138</v>
      </c>
      <c r="F39" s="60">
        <v>98</v>
      </c>
      <c r="G39" s="60">
        <v>-1.4946999999999999</v>
      </c>
      <c r="H39" s="60">
        <v>15.784800000000001</v>
      </c>
      <c r="I39" s="60">
        <v>9.6089999999999995E-2</v>
      </c>
      <c r="U39" s="60">
        <v>37</v>
      </c>
      <c r="V39" s="60">
        <v>88</v>
      </c>
      <c r="W39" s="60">
        <v>91.9</v>
      </c>
      <c r="X39" s="60">
        <v>95.7</v>
      </c>
      <c r="Y39" s="60">
        <v>99.6</v>
      </c>
      <c r="Z39" s="60">
        <v>103.4</v>
      </c>
      <c r="AB39" s="60">
        <v>37</v>
      </c>
      <c r="AC39" s="60">
        <v>89.2</v>
      </c>
      <c r="AD39" s="60">
        <v>93</v>
      </c>
      <c r="AE39" s="60">
        <v>96.7</v>
      </c>
      <c r="AF39" s="60">
        <v>100.5</v>
      </c>
      <c r="AG39" s="60">
        <v>104.2</v>
      </c>
      <c r="AW39" s="60">
        <v>63.5</v>
      </c>
      <c r="AX39" s="60">
        <v>-0.38329999999999997</v>
      </c>
      <c r="AY39" s="60">
        <v>6.7328000000000001</v>
      </c>
      <c r="AZ39" s="60">
        <v>9.1289999999999996E-2</v>
      </c>
      <c r="BA39" s="60">
        <v>5.6</v>
      </c>
      <c r="BB39" s="60">
        <v>6.2</v>
      </c>
      <c r="BC39" s="60">
        <v>6.7</v>
      </c>
      <c r="BD39" s="60">
        <v>7.4</v>
      </c>
      <c r="BE39" s="60">
        <v>8.1</v>
      </c>
      <c r="BG39" s="60">
        <v>63.5</v>
      </c>
      <c r="BH39" s="60">
        <v>-0.35210000000000002</v>
      </c>
      <c r="BI39" s="60">
        <v>6.9028</v>
      </c>
      <c r="BJ39" s="60">
        <v>8.2449999999999996E-2</v>
      </c>
      <c r="BK39" s="60">
        <v>5.9</v>
      </c>
      <c r="BL39" s="60">
        <v>6.4</v>
      </c>
      <c r="BM39" s="60">
        <v>6.9</v>
      </c>
      <c r="BN39" s="60">
        <v>7.5</v>
      </c>
      <c r="BO39" s="60">
        <v>8.1999999999999993</v>
      </c>
    </row>
    <row r="40" spans="1:67">
      <c r="A40" s="60">
        <v>99</v>
      </c>
      <c r="B40" s="60">
        <v>-1.4125000000000001</v>
      </c>
      <c r="C40" s="60">
        <v>15.773199999999999</v>
      </c>
      <c r="D40" s="60">
        <v>0.11423999999999999</v>
      </c>
      <c r="F40" s="60">
        <v>99</v>
      </c>
      <c r="G40" s="60">
        <v>-1.5101</v>
      </c>
      <c r="H40" s="60">
        <v>15.8094</v>
      </c>
      <c r="I40" s="60">
        <v>9.6509999999999999E-2</v>
      </c>
      <c r="U40" s="60">
        <v>38</v>
      </c>
      <c r="V40" s="60">
        <v>88.6</v>
      </c>
      <c r="W40" s="60">
        <v>92.5</v>
      </c>
      <c r="X40" s="60">
        <v>96.4</v>
      </c>
      <c r="Y40" s="60">
        <v>100.3</v>
      </c>
      <c r="Z40" s="60">
        <v>104.2</v>
      </c>
      <c r="AB40" s="60">
        <v>38</v>
      </c>
      <c r="AC40" s="60">
        <v>89.8</v>
      </c>
      <c r="AD40" s="60">
        <v>93.6</v>
      </c>
      <c r="AE40" s="60">
        <v>97.4</v>
      </c>
      <c r="AF40" s="60">
        <v>101.2</v>
      </c>
      <c r="AG40" s="60">
        <v>105</v>
      </c>
      <c r="AW40" s="60">
        <v>64</v>
      </c>
      <c r="AX40" s="60">
        <v>-0.38329999999999997</v>
      </c>
      <c r="AY40" s="60">
        <v>6.8501000000000003</v>
      </c>
      <c r="AZ40" s="60">
        <v>9.1259999999999994E-2</v>
      </c>
      <c r="BA40" s="60">
        <v>5.7</v>
      </c>
      <c r="BB40" s="60">
        <v>6.3</v>
      </c>
      <c r="BC40" s="60">
        <v>6.9</v>
      </c>
      <c r="BD40" s="60">
        <v>7.5</v>
      </c>
      <c r="BE40" s="60">
        <v>8.3000000000000007</v>
      </c>
      <c r="BG40" s="60">
        <v>64</v>
      </c>
      <c r="BH40" s="60">
        <v>-0.35210000000000002</v>
      </c>
      <c r="BI40" s="60">
        <v>7.0255000000000001</v>
      </c>
      <c r="BJ40" s="60">
        <v>8.2360000000000003E-2</v>
      </c>
      <c r="BK40" s="60">
        <v>6</v>
      </c>
      <c r="BL40" s="60">
        <v>6.5</v>
      </c>
      <c r="BM40" s="60">
        <v>7</v>
      </c>
      <c r="BN40" s="60">
        <v>7.6</v>
      </c>
      <c r="BO40" s="60">
        <v>8.3000000000000007</v>
      </c>
    </row>
    <row r="41" spans="1:67">
      <c r="A41" s="60">
        <v>100</v>
      </c>
      <c r="B41" s="60">
        <v>-1.4198999999999999</v>
      </c>
      <c r="C41" s="60">
        <v>15.8058</v>
      </c>
      <c r="D41" s="60">
        <v>0.11469</v>
      </c>
      <c r="F41" s="60">
        <v>100</v>
      </c>
      <c r="G41" s="60">
        <v>-1.5251999999999999</v>
      </c>
      <c r="H41" s="60">
        <v>15.8344</v>
      </c>
      <c r="I41" s="60">
        <v>9.6930000000000002E-2</v>
      </c>
      <c r="U41" s="60">
        <v>39</v>
      </c>
      <c r="V41" s="60">
        <v>89.2</v>
      </c>
      <c r="W41" s="60">
        <v>93.1</v>
      </c>
      <c r="X41" s="60">
        <v>97.1</v>
      </c>
      <c r="Y41" s="60">
        <v>101</v>
      </c>
      <c r="Z41" s="60">
        <v>105</v>
      </c>
      <c r="AB41" s="60">
        <v>39</v>
      </c>
      <c r="AC41" s="60">
        <v>90.3</v>
      </c>
      <c r="AD41" s="60">
        <v>94.2</v>
      </c>
      <c r="AE41" s="60">
        <v>98</v>
      </c>
      <c r="AF41" s="60">
        <v>101.8</v>
      </c>
      <c r="AG41" s="60">
        <v>105.7</v>
      </c>
      <c r="AW41" s="60">
        <v>64.5</v>
      </c>
      <c r="AX41" s="60">
        <v>-0.38329999999999997</v>
      </c>
      <c r="AY41" s="60">
        <v>6.9661999999999997</v>
      </c>
      <c r="AZ41" s="60">
        <v>9.1230000000000006E-2</v>
      </c>
      <c r="BA41" s="60">
        <v>5.8</v>
      </c>
      <c r="BB41" s="60">
        <v>6.4</v>
      </c>
      <c r="BC41" s="60">
        <v>7</v>
      </c>
      <c r="BD41" s="60">
        <v>7.6</v>
      </c>
      <c r="BE41" s="60">
        <v>8.4</v>
      </c>
      <c r="BG41" s="60">
        <v>64.5</v>
      </c>
      <c r="BH41" s="60">
        <v>-0.35210000000000002</v>
      </c>
      <c r="BI41" s="60">
        <v>7.1467000000000001</v>
      </c>
      <c r="BJ41" s="60">
        <v>8.2290000000000002E-2</v>
      </c>
      <c r="BK41" s="60">
        <v>6.1</v>
      </c>
      <c r="BL41" s="60">
        <v>6.6</v>
      </c>
      <c r="BM41" s="60">
        <v>7.1</v>
      </c>
      <c r="BN41" s="60">
        <v>7.8</v>
      </c>
      <c r="BO41" s="60">
        <v>8.5</v>
      </c>
    </row>
    <row r="42" spans="1:67">
      <c r="A42" s="60">
        <v>101</v>
      </c>
      <c r="B42" s="60">
        <v>-1.427</v>
      </c>
      <c r="C42" s="60">
        <v>15.839399999999999</v>
      </c>
      <c r="D42" s="60">
        <v>0.11513</v>
      </c>
      <c r="F42" s="60">
        <v>101</v>
      </c>
      <c r="G42" s="60">
        <v>-1.5399</v>
      </c>
      <c r="H42" s="60">
        <v>15.8597</v>
      </c>
      <c r="I42" s="60">
        <v>9.7350000000000006E-2</v>
      </c>
      <c r="U42" s="60">
        <v>40</v>
      </c>
      <c r="V42" s="60">
        <v>89.8</v>
      </c>
      <c r="W42" s="60">
        <v>93.8</v>
      </c>
      <c r="X42" s="60">
        <v>97.7</v>
      </c>
      <c r="Y42" s="60">
        <v>101.7</v>
      </c>
      <c r="Z42" s="60">
        <v>105.7</v>
      </c>
      <c r="AB42" s="60">
        <v>40</v>
      </c>
      <c r="AC42" s="60">
        <v>90.9</v>
      </c>
      <c r="AD42" s="60">
        <v>94.7</v>
      </c>
      <c r="AE42" s="60">
        <v>98.6</v>
      </c>
      <c r="AF42" s="60">
        <v>102.5</v>
      </c>
      <c r="AG42" s="60">
        <v>106.4</v>
      </c>
      <c r="AW42" s="60">
        <v>65</v>
      </c>
      <c r="AX42" s="60">
        <v>-0.38329999999999997</v>
      </c>
      <c r="AY42" s="60">
        <v>7.2401999999999997</v>
      </c>
      <c r="AZ42" s="60">
        <v>9.1130000000000003E-2</v>
      </c>
      <c r="BA42" s="60">
        <v>6.1</v>
      </c>
      <c r="BB42" s="60">
        <v>6.6</v>
      </c>
      <c r="BC42" s="60">
        <v>7.2</v>
      </c>
      <c r="BD42" s="60">
        <v>7.9</v>
      </c>
      <c r="BE42" s="60">
        <v>8.6999999999999993</v>
      </c>
      <c r="BG42" s="60">
        <v>65</v>
      </c>
      <c r="BH42" s="60">
        <v>-0.35210000000000002</v>
      </c>
      <c r="BI42" s="60">
        <v>7.2666000000000004</v>
      </c>
      <c r="BJ42" s="60">
        <v>8.2229999999999998E-2</v>
      </c>
      <c r="BK42" s="60">
        <v>6.2</v>
      </c>
      <c r="BL42" s="60">
        <v>6.7</v>
      </c>
      <c r="BM42" s="60">
        <v>7.3</v>
      </c>
      <c r="BN42" s="60">
        <v>7.9</v>
      </c>
      <c r="BO42" s="60">
        <v>8.6</v>
      </c>
    </row>
    <row r="43" spans="1:67">
      <c r="A43" s="60">
        <v>102</v>
      </c>
      <c r="B43" s="60">
        <v>-1.4336</v>
      </c>
      <c r="C43" s="60">
        <v>15.873799999999999</v>
      </c>
      <c r="D43" s="60">
        <v>0.11557000000000001</v>
      </c>
      <c r="F43" s="60">
        <v>102</v>
      </c>
      <c r="G43" s="60">
        <v>-1.5542</v>
      </c>
      <c r="H43" s="60">
        <v>15.8855</v>
      </c>
      <c r="I43" s="60">
        <v>9.7780000000000006E-2</v>
      </c>
      <c r="U43" s="60">
        <v>41</v>
      </c>
      <c r="V43" s="60">
        <v>90.4</v>
      </c>
      <c r="W43" s="60">
        <v>94.4</v>
      </c>
      <c r="X43" s="60">
        <v>98.4</v>
      </c>
      <c r="Y43" s="60">
        <v>102.4</v>
      </c>
      <c r="Z43" s="60">
        <v>106.4</v>
      </c>
      <c r="AB43" s="60">
        <v>41</v>
      </c>
      <c r="AC43" s="60">
        <v>91.4</v>
      </c>
      <c r="AD43" s="60">
        <v>95.3</v>
      </c>
      <c r="AE43" s="60">
        <v>99.2</v>
      </c>
      <c r="AF43" s="60">
        <v>103.2</v>
      </c>
      <c r="AG43" s="60">
        <v>107.1</v>
      </c>
      <c r="AW43" s="60">
        <v>65.5</v>
      </c>
      <c r="AX43" s="60">
        <v>-0.38329999999999997</v>
      </c>
      <c r="AY43" s="60">
        <v>7.3522999999999996</v>
      </c>
      <c r="AZ43" s="60">
        <v>9.1090000000000004E-2</v>
      </c>
      <c r="BA43" s="60">
        <v>6.2</v>
      </c>
      <c r="BB43" s="60">
        <v>6.7</v>
      </c>
      <c r="BC43" s="60">
        <v>7.4</v>
      </c>
      <c r="BD43" s="60">
        <v>8.1</v>
      </c>
      <c r="BE43" s="60">
        <v>8.9</v>
      </c>
      <c r="BG43" s="60">
        <v>65.5</v>
      </c>
      <c r="BH43" s="60">
        <v>-0.35210000000000002</v>
      </c>
      <c r="BI43" s="60">
        <v>7.3853999999999997</v>
      </c>
      <c r="BJ43" s="60">
        <v>8.2180000000000003E-2</v>
      </c>
      <c r="BK43" s="60">
        <v>6.3</v>
      </c>
      <c r="BL43" s="60">
        <v>6.8</v>
      </c>
      <c r="BM43" s="60">
        <v>7.4</v>
      </c>
      <c r="BN43" s="60">
        <v>8</v>
      </c>
      <c r="BO43" s="60">
        <v>8.6999999999999993</v>
      </c>
    </row>
    <row r="44" spans="1:67">
      <c r="A44" s="60">
        <v>103</v>
      </c>
      <c r="B44" s="60">
        <v>-1.4398</v>
      </c>
      <c r="C44" s="60">
        <v>15.909000000000001</v>
      </c>
      <c r="D44" s="60">
        <v>0.11601</v>
      </c>
      <c r="F44" s="60">
        <v>103</v>
      </c>
      <c r="G44" s="60">
        <v>-1.5681</v>
      </c>
      <c r="H44" s="60">
        <v>15.9116</v>
      </c>
      <c r="I44" s="60">
        <v>9.8210000000000006E-2</v>
      </c>
      <c r="U44" s="60">
        <v>42</v>
      </c>
      <c r="V44" s="60">
        <v>90.9</v>
      </c>
      <c r="W44" s="60">
        <v>95</v>
      </c>
      <c r="X44" s="60">
        <v>99</v>
      </c>
      <c r="Y44" s="60">
        <v>103.1</v>
      </c>
      <c r="Z44" s="60">
        <v>107.2</v>
      </c>
      <c r="AB44" s="60">
        <v>42</v>
      </c>
      <c r="AC44" s="60">
        <v>91.9</v>
      </c>
      <c r="AD44" s="60">
        <v>95.9</v>
      </c>
      <c r="AE44" s="60">
        <v>99.9</v>
      </c>
      <c r="AF44" s="60">
        <v>103.8</v>
      </c>
      <c r="AG44" s="60">
        <v>107.8</v>
      </c>
      <c r="AW44" s="60">
        <v>66</v>
      </c>
      <c r="AX44" s="60">
        <v>-0.38329999999999997</v>
      </c>
      <c r="AY44" s="60">
        <v>7.4630000000000001</v>
      </c>
      <c r="AZ44" s="60">
        <v>9.1039999999999996E-2</v>
      </c>
      <c r="BA44" s="60">
        <v>6.3</v>
      </c>
      <c r="BB44" s="60">
        <v>6.8</v>
      </c>
      <c r="BC44" s="60">
        <v>7.5</v>
      </c>
      <c r="BD44" s="60">
        <v>8.1999999999999993</v>
      </c>
      <c r="BE44" s="60">
        <v>9</v>
      </c>
      <c r="BG44" s="60">
        <v>66</v>
      </c>
      <c r="BH44" s="60">
        <v>-0.35210000000000002</v>
      </c>
      <c r="BI44" s="60">
        <v>7.5034000000000001</v>
      </c>
      <c r="BJ44" s="60">
        <v>8.2150000000000001E-2</v>
      </c>
      <c r="BK44" s="60">
        <v>6.4</v>
      </c>
      <c r="BL44" s="60">
        <v>6.9</v>
      </c>
      <c r="BM44" s="60">
        <v>7.5</v>
      </c>
      <c r="BN44" s="60">
        <v>8.1999999999999993</v>
      </c>
      <c r="BO44" s="60">
        <v>8.9</v>
      </c>
    </row>
    <row r="45" spans="1:67">
      <c r="A45" s="60">
        <v>104</v>
      </c>
      <c r="B45" s="60">
        <v>-1.4456</v>
      </c>
      <c r="C45" s="60">
        <v>15.9451</v>
      </c>
      <c r="D45" s="60">
        <v>0.11644</v>
      </c>
      <c r="F45" s="60">
        <v>104</v>
      </c>
      <c r="G45" s="60">
        <v>-1.5817000000000001</v>
      </c>
      <c r="H45" s="60">
        <v>15.9381</v>
      </c>
      <c r="I45" s="60">
        <v>9.8640000000000005E-2</v>
      </c>
      <c r="U45" s="60">
        <v>43</v>
      </c>
      <c r="V45" s="60">
        <v>91.5</v>
      </c>
      <c r="W45" s="60">
        <v>95.6</v>
      </c>
      <c r="X45" s="60">
        <v>99.7</v>
      </c>
      <c r="Y45" s="60">
        <v>103.8</v>
      </c>
      <c r="Z45" s="60">
        <v>107.9</v>
      </c>
      <c r="AB45" s="60">
        <v>43</v>
      </c>
      <c r="AC45" s="60">
        <v>92.4</v>
      </c>
      <c r="AD45" s="60">
        <v>96.4</v>
      </c>
      <c r="AE45" s="60">
        <v>100.4</v>
      </c>
      <c r="AF45" s="60">
        <v>104.5</v>
      </c>
      <c r="AG45" s="60">
        <v>108.5</v>
      </c>
      <c r="AW45" s="60">
        <v>66.5</v>
      </c>
      <c r="AX45" s="60">
        <v>-0.38329999999999997</v>
      </c>
      <c r="AY45" s="60">
        <v>7.5724</v>
      </c>
      <c r="AZ45" s="60">
        <v>9.0990000000000001E-2</v>
      </c>
      <c r="BA45" s="60">
        <v>6.4</v>
      </c>
      <c r="BB45" s="60">
        <v>6.9</v>
      </c>
      <c r="BC45" s="60">
        <v>7.6</v>
      </c>
      <c r="BD45" s="60">
        <v>8.3000000000000007</v>
      </c>
      <c r="BE45" s="60">
        <v>9.1</v>
      </c>
      <c r="BG45" s="60">
        <v>66.5</v>
      </c>
      <c r="BH45" s="60">
        <v>-0.35210000000000002</v>
      </c>
      <c r="BI45" s="60">
        <v>7.6205999999999996</v>
      </c>
      <c r="BJ45" s="60">
        <v>8.2129999999999995E-2</v>
      </c>
      <c r="BK45" s="60">
        <v>6.5</v>
      </c>
      <c r="BL45" s="60">
        <v>7</v>
      </c>
      <c r="BM45" s="60">
        <v>7.6</v>
      </c>
      <c r="BN45" s="60">
        <v>8.3000000000000007</v>
      </c>
      <c r="BO45" s="60">
        <v>9</v>
      </c>
    </row>
    <row r="46" spans="1:67">
      <c r="A46" s="60">
        <v>105</v>
      </c>
      <c r="B46" s="60">
        <v>-1.4511000000000001</v>
      </c>
      <c r="C46" s="60">
        <v>15.9818</v>
      </c>
      <c r="D46" s="60">
        <v>0.11688</v>
      </c>
      <c r="F46" s="60">
        <v>105</v>
      </c>
      <c r="G46" s="60">
        <v>-1.5948</v>
      </c>
      <c r="H46" s="60">
        <v>15.9651</v>
      </c>
      <c r="I46" s="60">
        <v>9.9070000000000005E-2</v>
      </c>
      <c r="U46" s="60">
        <v>44</v>
      </c>
      <c r="V46" s="60">
        <v>92</v>
      </c>
      <c r="W46" s="60">
        <v>96.2</v>
      </c>
      <c r="X46" s="60">
        <v>100.3</v>
      </c>
      <c r="Y46" s="60">
        <v>104.5</v>
      </c>
      <c r="Z46" s="60">
        <v>108.6</v>
      </c>
      <c r="AB46" s="60">
        <v>44</v>
      </c>
      <c r="AC46" s="60">
        <v>93</v>
      </c>
      <c r="AD46" s="60">
        <v>97</v>
      </c>
      <c r="AE46" s="60">
        <v>101</v>
      </c>
      <c r="AF46" s="60">
        <v>105.1</v>
      </c>
      <c r="AG46" s="60">
        <v>109.1</v>
      </c>
      <c r="AW46" s="60">
        <v>67</v>
      </c>
      <c r="AX46" s="60">
        <v>-0.38329999999999997</v>
      </c>
      <c r="AY46" s="60">
        <v>7.6806000000000001</v>
      </c>
      <c r="AZ46" s="60">
        <v>9.0939999999999993E-2</v>
      </c>
      <c r="BA46" s="60">
        <v>6.4</v>
      </c>
      <c r="BB46" s="60">
        <v>7</v>
      </c>
      <c r="BC46" s="60">
        <v>7.7</v>
      </c>
      <c r="BD46" s="60">
        <v>8.4</v>
      </c>
      <c r="BE46" s="60">
        <v>9.3000000000000007</v>
      </c>
      <c r="BG46" s="60">
        <v>67</v>
      </c>
      <c r="BH46" s="60">
        <v>-0.35210000000000002</v>
      </c>
      <c r="BI46" s="60">
        <v>7.7370000000000001</v>
      </c>
      <c r="BJ46" s="60">
        <v>8.2119999999999999E-2</v>
      </c>
      <c r="BK46" s="60">
        <v>6.6</v>
      </c>
      <c r="BL46" s="60">
        <v>7.1</v>
      </c>
      <c r="BM46" s="60">
        <v>7.7</v>
      </c>
      <c r="BN46" s="60">
        <v>8.4</v>
      </c>
      <c r="BO46" s="60">
        <v>9.1999999999999993</v>
      </c>
    </row>
    <row r="47" spans="1:67">
      <c r="A47" s="60">
        <v>106</v>
      </c>
      <c r="B47" s="60">
        <v>-1.4560999999999999</v>
      </c>
      <c r="C47" s="60">
        <v>16.019400000000001</v>
      </c>
      <c r="D47" s="60">
        <v>0.11731</v>
      </c>
      <c r="F47" s="60">
        <v>106</v>
      </c>
      <c r="G47" s="60">
        <v>-1.6075999999999999</v>
      </c>
      <c r="H47" s="60">
        <v>15.9925</v>
      </c>
      <c r="I47" s="60">
        <v>9.9510000000000001E-2</v>
      </c>
      <c r="U47" s="60">
        <v>45</v>
      </c>
      <c r="V47" s="60">
        <v>92.5</v>
      </c>
      <c r="W47" s="60">
        <v>96.7</v>
      </c>
      <c r="X47" s="60">
        <v>100.9</v>
      </c>
      <c r="Y47" s="60">
        <v>105.1</v>
      </c>
      <c r="Z47" s="60">
        <v>109.3</v>
      </c>
      <c r="AB47" s="60">
        <v>45</v>
      </c>
      <c r="AC47" s="60">
        <v>93.5</v>
      </c>
      <c r="AD47" s="60">
        <v>97.5</v>
      </c>
      <c r="AE47" s="60">
        <v>101.6</v>
      </c>
      <c r="AF47" s="60">
        <v>105.7</v>
      </c>
      <c r="AG47" s="60">
        <v>109.8</v>
      </c>
      <c r="AW47" s="60">
        <v>67.5</v>
      </c>
      <c r="AX47" s="60">
        <v>-0.38329999999999997</v>
      </c>
      <c r="AY47" s="60">
        <v>7.7873999999999999</v>
      </c>
      <c r="AZ47" s="60">
        <v>9.0880000000000002E-2</v>
      </c>
      <c r="BA47" s="60">
        <v>6.5</v>
      </c>
      <c r="BB47" s="60">
        <v>7.1</v>
      </c>
      <c r="BC47" s="60">
        <v>7.8</v>
      </c>
      <c r="BD47" s="60">
        <v>8.5</v>
      </c>
      <c r="BE47" s="60">
        <v>9.4</v>
      </c>
      <c r="BG47" s="60">
        <v>67.5</v>
      </c>
      <c r="BH47" s="60">
        <v>-0.35210000000000002</v>
      </c>
      <c r="BI47" s="60">
        <v>7.8525999999999998</v>
      </c>
      <c r="BJ47" s="60">
        <v>8.2119999999999999E-2</v>
      </c>
      <c r="BK47" s="60">
        <v>6.7</v>
      </c>
      <c r="BL47" s="60">
        <v>7.2</v>
      </c>
      <c r="BM47" s="60">
        <v>7.9</v>
      </c>
      <c r="BN47" s="60">
        <v>8.5</v>
      </c>
      <c r="BO47" s="60">
        <v>9.3000000000000007</v>
      </c>
    </row>
    <row r="48" spans="1:67">
      <c r="A48" s="60">
        <v>107</v>
      </c>
      <c r="B48" s="60">
        <v>-1.4607000000000001</v>
      </c>
      <c r="C48" s="60">
        <v>16.057500000000001</v>
      </c>
      <c r="D48" s="60">
        <v>0.11774</v>
      </c>
      <c r="F48" s="60">
        <v>107</v>
      </c>
      <c r="G48" s="60">
        <v>-1.6198999999999999</v>
      </c>
      <c r="H48" s="60">
        <v>16.020499999999998</v>
      </c>
      <c r="I48" s="60">
        <v>9.9940000000000001E-2</v>
      </c>
      <c r="U48" s="60">
        <v>46</v>
      </c>
      <c r="V48" s="60">
        <v>93.1</v>
      </c>
      <c r="W48" s="60">
        <v>97.3</v>
      </c>
      <c r="X48" s="60">
        <v>101.5</v>
      </c>
      <c r="Y48" s="60">
        <v>105.8</v>
      </c>
      <c r="Z48" s="60">
        <v>110</v>
      </c>
      <c r="AB48" s="60">
        <v>46</v>
      </c>
      <c r="AC48" s="60">
        <v>94</v>
      </c>
      <c r="AD48" s="60">
        <v>98.1</v>
      </c>
      <c r="AE48" s="60">
        <v>102.2</v>
      </c>
      <c r="AF48" s="60">
        <v>106.3</v>
      </c>
      <c r="AG48" s="60">
        <v>110.4</v>
      </c>
      <c r="AW48" s="60">
        <v>68</v>
      </c>
      <c r="AX48" s="60">
        <v>-0.38329999999999997</v>
      </c>
      <c r="AY48" s="60">
        <v>7.8929999999999998</v>
      </c>
      <c r="AZ48" s="60">
        <v>9.0829999999999994E-2</v>
      </c>
      <c r="BA48" s="60">
        <v>6.6</v>
      </c>
      <c r="BB48" s="60">
        <v>7.2</v>
      </c>
      <c r="BC48" s="60">
        <v>7.9</v>
      </c>
      <c r="BD48" s="60">
        <v>8.6999999999999993</v>
      </c>
      <c r="BE48" s="60">
        <v>9.5</v>
      </c>
      <c r="BG48" s="60">
        <v>68</v>
      </c>
      <c r="BH48" s="60">
        <v>-0.35210000000000002</v>
      </c>
      <c r="BI48" s="60">
        <v>7.9673999999999996</v>
      </c>
      <c r="BJ48" s="60">
        <v>8.2140000000000005E-2</v>
      </c>
      <c r="BK48" s="60">
        <v>6.8</v>
      </c>
      <c r="BL48" s="60">
        <v>7.3</v>
      </c>
      <c r="BM48" s="60">
        <v>8</v>
      </c>
      <c r="BN48" s="60">
        <v>8.6999999999999993</v>
      </c>
      <c r="BO48" s="60">
        <v>9.4</v>
      </c>
    </row>
    <row r="49" spans="1:67">
      <c r="A49" s="60">
        <v>108</v>
      </c>
      <c r="B49" s="60">
        <v>-1.4650000000000001</v>
      </c>
      <c r="C49" s="60">
        <v>16.096399999999999</v>
      </c>
      <c r="D49" s="60">
        <v>0.11816</v>
      </c>
      <c r="F49" s="60">
        <v>108</v>
      </c>
      <c r="G49" s="60">
        <v>-1.6317999999999999</v>
      </c>
      <c r="H49" s="60">
        <v>16.048999999999999</v>
      </c>
      <c r="I49" s="60">
        <v>0.10038</v>
      </c>
      <c r="U49" s="60">
        <v>47</v>
      </c>
      <c r="V49" s="60">
        <v>93.6</v>
      </c>
      <c r="W49" s="60">
        <v>97.9</v>
      </c>
      <c r="X49" s="60">
        <v>102.1</v>
      </c>
      <c r="Y49" s="60">
        <v>106.4</v>
      </c>
      <c r="Z49" s="60">
        <v>110.7</v>
      </c>
      <c r="AB49" s="60">
        <v>47</v>
      </c>
      <c r="AC49" s="60">
        <v>94.4</v>
      </c>
      <c r="AD49" s="60">
        <v>98.6</v>
      </c>
      <c r="AE49" s="60">
        <v>102.8</v>
      </c>
      <c r="AF49" s="60">
        <v>106.9</v>
      </c>
      <c r="AG49" s="60">
        <v>111.1</v>
      </c>
      <c r="AW49" s="60">
        <v>68.5</v>
      </c>
      <c r="AX49" s="60">
        <v>-0.38329999999999997</v>
      </c>
      <c r="AY49" s="60">
        <v>7.9976000000000003</v>
      </c>
      <c r="AZ49" s="60">
        <v>9.0770000000000003E-2</v>
      </c>
      <c r="BA49" s="60">
        <v>6.7</v>
      </c>
      <c r="BB49" s="60">
        <v>7.3</v>
      </c>
      <c r="BC49" s="60">
        <v>8</v>
      </c>
      <c r="BD49" s="60">
        <v>8.8000000000000007</v>
      </c>
      <c r="BE49" s="60">
        <v>9.6999999999999993</v>
      </c>
      <c r="BG49" s="60">
        <v>68.5</v>
      </c>
      <c r="BH49" s="60">
        <v>-0.35210000000000002</v>
      </c>
      <c r="BI49" s="60">
        <v>8.0815999999999999</v>
      </c>
      <c r="BJ49" s="60">
        <v>8.2159999999999997E-2</v>
      </c>
      <c r="BK49" s="60">
        <v>6.9</v>
      </c>
      <c r="BL49" s="60">
        <v>7.5</v>
      </c>
      <c r="BM49" s="60">
        <v>8.1</v>
      </c>
      <c r="BN49" s="60">
        <v>8.8000000000000007</v>
      </c>
      <c r="BO49" s="60">
        <v>9.6</v>
      </c>
    </row>
    <row r="50" spans="1:67">
      <c r="A50" s="60">
        <v>109</v>
      </c>
      <c r="B50" s="60">
        <v>-1.4688000000000001</v>
      </c>
      <c r="C50" s="60">
        <v>16.1358</v>
      </c>
      <c r="D50" s="60">
        <v>0.11859</v>
      </c>
      <c r="F50" s="60">
        <v>109</v>
      </c>
      <c r="G50" s="60">
        <v>-1.6433</v>
      </c>
      <c r="H50" s="60">
        <v>16.078099999999999</v>
      </c>
      <c r="I50" s="60">
        <v>0.10082000000000001</v>
      </c>
      <c r="U50" s="60">
        <v>48</v>
      </c>
      <c r="V50" s="60">
        <v>94.1</v>
      </c>
      <c r="W50" s="60">
        <v>98.4</v>
      </c>
      <c r="X50" s="60">
        <v>102.7</v>
      </c>
      <c r="Y50" s="60">
        <v>107</v>
      </c>
      <c r="Z50" s="60">
        <v>111.3</v>
      </c>
      <c r="AB50" s="60">
        <v>48</v>
      </c>
      <c r="AC50" s="60">
        <v>94.9</v>
      </c>
      <c r="AD50" s="60">
        <v>99.1</v>
      </c>
      <c r="AE50" s="60">
        <v>103.3</v>
      </c>
      <c r="AF50" s="60">
        <v>107.5</v>
      </c>
      <c r="AG50" s="60">
        <v>111.7</v>
      </c>
      <c r="AW50" s="60">
        <v>69</v>
      </c>
      <c r="AX50" s="60">
        <v>-0.38329999999999997</v>
      </c>
      <c r="AY50" s="60">
        <v>8.1012000000000004</v>
      </c>
      <c r="AZ50" s="60">
        <v>9.0709999999999999E-2</v>
      </c>
      <c r="BA50" s="60">
        <v>6.8</v>
      </c>
      <c r="BB50" s="60">
        <v>7.4</v>
      </c>
      <c r="BC50" s="60">
        <v>8.1</v>
      </c>
      <c r="BD50" s="60">
        <v>8.9</v>
      </c>
      <c r="BE50" s="60">
        <v>9.8000000000000007</v>
      </c>
      <c r="BG50" s="60">
        <v>69</v>
      </c>
      <c r="BH50" s="60">
        <v>-0.35210000000000002</v>
      </c>
      <c r="BI50" s="60">
        <v>8.1954999999999991</v>
      </c>
      <c r="BJ50" s="60">
        <v>8.2189999999999999E-2</v>
      </c>
      <c r="BK50" s="60">
        <v>7</v>
      </c>
      <c r="BL50" s="60">
        <v>7.6</v>
      </c>
      <c r="BM50" s="60">
        <v>8.1999999999999993</v>
      </c>
      <c r="BN50" s="60">
        <v>8.9</v>
      </c>
      <c r="BO50" s="60">
        <v>9.6999999999999993</v>
      </c>
    </row>
    <row r="51" spans="1:67">
      <c r="A51" s="60">
        <v>110</v>
      </c>
      <c r="B51" s="60">
        <v>-1.4722999999999999</v>
      </c>
      <c r="C51" s="60">
        <v>16.175899999999999</v>
      </c>
      <c r="D51" s="60">
        <v>0.11901</v>
      </c>
      <c r="F51" s="60">
        <v>110</v>
      </c>
      <c r="G51" s="60">
        <v>-1.6544000000000001</v>
      </c>
      <c r="H51" s="60">
        <v>16.107800000000001</v>
      </c>
      <c r="I51" s="60">
        <v>0.10126</v>
      </c>
      <c r="U51" s="60">
        <v>49</v>
      </c>
      <c r="V51" s="60">
        <v>94.6</v>
      </c>
      <c r="W51" s="60">
        <v>99</v>
      </c>
      <c r="X51" s="60">
        <v>103.3</v>
      </c>
      <c r="Y51" s="60">
        <v>107.7</v>
      </c>
      <c r="Z51" s="60">
        <v>112</v>
      </c>
      <c r="AB51" s="60">
        <v>49</v>
      </c>
      <c r="AC51" s="60">
        <v>95.4</v>
      </c>
      <c r="AD51" s="60">
        <v>99.7</v>
      </c>
      <c r="AE51" s="60">
        <v>103.9</v>
      </c>
      <c r="AF51" s="60">
        <v>108.1</v>
      </c>
      <c r="AG51" s="60">
        <v>112.4</v>
      </c>
      <c r="AW51" s="60">
        <v>69.5</v>
      </c>
      <c r="AX51" s="60">
        <v>-0.38329999999999997</v>
      </c>
      <c r="AY51" s="60">
        <v>8.2039000000000009</v>
      </c>
      <c r="AZ51" s="60">
        <v>9.0649999999999994E-2</v>
      </c>
      <c r="BA51" s="60">
        <v>6.9</v>
      </c>
      <c r="BB51" s="60">
        <v>7.5</v>
      </c>
      <c r="BC51" s="60">
        <v>8.1999999999999993</v>
      </c>
      <c r="BD51" s="60">
        <v>9</v>
      </c>
      <c r="BE51" s="60">
        <v>9.9</v>
      </c>
      <c r="BG51" s="60">
        <v>69.5</v>
      </c>
      <c r="BH51" s="60">
        <v>-0.35210000000000002</v>
      </c>
      <c r="BI51" s="60">
        <v>8.3092000000000006</v>
      </c>
      <c r="BJ51" s="60">
        <v>8.2239999999999994E-2</v>
      </c>
      <c r="BK51" s="60">
        <v>7.1</v>
      </c>
      <c r="BL51" s="60">
        <v>7.7</v>
      </c>
      <c r="BM51" s="60">
        <v>8.3000000000000007</v>
      </c>
      <c r="BN51" s="60">
        <v>9</v>
      </c>
      <c r="BO51" s="60">
        <v>9.8000000000000007</v>
      </c>
    </row>
    <row r="52" spans="1:67">
      <c r="A52" s="60">
        <v>111</v>
      </c>
      <c r="B52" s="60">
        <v>-1.4753000000000001</v>
      </c>
      <c r="C52" s="60">
        <v>16.2166</v>
      </c>
      <c r="D52" s="60">
        <v>0.11942999999999999</v>
      </c>
      <c r="F52" s="60">
        <v>111</v>
      </c>
      <c r="G52" s="60">
        <v>-1.6651</v>
      </c>
      <c r="H52" s="60">
        <v>16.138100000000001</v>
      </c>
      <c r="I52" s="60">
        <v>0.1017</v>
      </c>
      <c r="U52" s="60">
        <v>50</v>
      </c>
      <c r="V52" s="60">
        <v>95.1</v>
      </c>
      <c r="W52" s="60">
        <v>99.5</v>
      </c>
      <c r="X52" s="60">
        <v>103.9</v>
      </c>
      <c r="Y52" s="60">
        <v>108.3</v>
      </c>
      <c r="Z52" s="60">
        <v>112.7</v>
      </c>
      <c r="AB52" s="60">
        <v>50</v>
      </c>
      <c r="AC52" s="60">
        <v>95.9</v>
      </c>
      <c r="AD52" s="60">
        <v>100.2</v>
      </c>
      <c r="AE52" s="60">
        <v>104.4</v>
      </c>
      <c r="AF52" s="60">
        <v>108.7</v>
      </c>
      <c r="AG52" s="60">
        <v>113</v>
      </c>
      <c r="AW52" s="60">
        <v>70</v>
      </c>
      <c r="AX52" s="60">
        <v>-0.38329999999999997</v>
      </c>
      <c r="AY52" s="60">
        <v>8.3057999999999996</v>
      </c>
      <c r="AZ52" s="60">
        <v>9.0590000000000004E-2</v>
      </c>
      <c r="BA52" s="60">
        <v>7</v>
      </c>
      <c r="BB52" s="60">
        <v>7.6</v>
      </c>
      <c r="BC52" s="60">
        <v>8.3000000000000007</v>
      </c>
      <c r="BD52" s="60">
        <v>9.1</v>
      </c>
      <c r="BE52" s="60">
        <v>10</v>
      </c>
      <c r="BG52" s="60">
        <v>70</v>
      </c>
      <c r="BH52" s="60">
        <v>-0.35210000000000002</v>
      </c>
      <c r="BI52" s="60">
        <v>8.4227000000000007</v>
      </c>
      <c r="BJ52" s="60">
        <v>8.2290000000000002E-2</v>
      </c>
      <c r="BK52" s="60">
        <v>7.2</v>
      </c>
      <c r="BL52" s="60">
        <v>7.8</v>
      </c>
      <c r="BM52" s="60">
        <v>8.4</v>
      </c>
      <c r="BN52" s="60">
        <v>9.1999999999999993</v>
      </c>
      <c r="BO52" s="60">
        <v>10</v>
      </c>
    </row>
    <row r="53" spans="1:67">
      <c r="A53" s="60">
        <v>112</v>
      </c>
      <c r="B53" s="60">
        <v>-1.478</v>
      </c>
      <c r="C53" s="60">
        <v>16.257999999999999</v>
      </c>
      <c r="D53" s="60">
        <v>0.11985</v>
      </c>
      <c r="F53" s="60">
        <v>112</v>
      </c>
      <c r="G53" s="60">
        <v>-1.6753</v>
      </c>
      <c r="H53" s="60">
        <v>16.1692</v>
      </c>
      <c r="I53" s="60">
        <v>0.10213999999999999</v>
      </c>
      <c r="U53" s="60">
        <v>51</v>
      </c>
      <c r="V53" s="60">
        <v>95.6</v>
      </c>
      <c r="W53" s="60">
        <v>100.1</v>
      </c>
      <c r="X53" s="60">
        <v>104.5</v>
      </c>
      <c r="Y53" s="60">
        <v>108.9</v>
      </c>
      <c r="Z53" s="60">
        <v>113.3</v>
      </c>
      <c r="AB53" s="60">
        <v>51</v>
      </c>
      <c r="AC53" s="60">
        <v>96.4</v>
      </c>
      <c r="AD53" s="60">
        <v>100.7</v>
      </c>
      <c r="AE53" s="60">
        <v>105</v>
      </c>
      <c r="AF53" s="60">
        <v>109.3</v>
      </c>
      <c r="AG53" s="60">
        <v>113.6</v>
      </c>
      <c r="AW53" s="60">
        <v>70.5</v>
      </c>
      <c r="AX53" s="60">
        <v>-0.38329999999999997</v>
      </c>
      <c r="AY53" s="60">
        <v>8.4070999999999998</v>
      </c>
      <c r="AZ53" s="60">
        <v>9.0529999999999999E-2</v>
      </c>
      <c r="BA53" s="60">
        <v>7.1</v>
      </c>
      <c r="BB53" s="60">
        <v>7.7</v>
      </c>
      <c r="BC53" s="60">
        <v>8.4</v>
      </c>
      <c r="BD53" s="60">
        <v>9.1999999999999993</v>
      </c>
      <c r="BE53" s="60">
        <v>10.1</v>
      </c>
      <c r="BG53" s="60">
        <v>70.5</v>
      </c>
      <c r="BH53" s="60">
        <v>-0.35210000000000002</v>
      </c>
      <c r="BI53" s="60">
        <v>8.5358000000000001</v>
      </c>
      <c r="BJ53" s="60">
        <v>8.2350000000000007E-2</v>
      </c>
      <c r="BK53" s="60">
        <v>7.3</v>
      </c>
      <c r="BL53" s="60">
        <v>7.9</v>
      </c>
      <c r="BM53" s="60">
        <v>8.5</v>
      </c>
      <c r="BN53" s="60">
        <v>9.3000000000000007</v>
      </c>
      <c r="BO53" s="60">
        <v>10.1</v>
      </c>
    </row>
    <row r="54" spans="1:67">
      <c r="A54" s="60">
        <v>113</v>
      </c>
      <c r="B54" s="60">
        <v>-1.4802999999999999</v>
      </c>
      <c r="C54" s="60">
        <v>16.299900000000001</v>
      </c>
      <c r="D54" s="60">
        <v>0.12026000000000001</v>
      </c>
      <c r="F54" s="60">
        <v>113</v>
      </c>
      <c r="G54" s="60">
        <v>-1.6851</v>
      </c>
      <c r="H54" s="60">
        <v>16.200900000000001</v>
      </c>
      <c r="I54" s="60">
        <v>0.10259</v>
      </c>
      <c r="U54" s="60">
        <v>52</v>
      </c>
      <c r="V54" s="60">
        <v>96.1</v>
      </c>
      <c r="W54" s="60">
        <v>100.6</v>
      </c>
      <c r="X54" s="60">
        <v>105</v>
      </c>
      <c r="Y54" s="60">
        <v>109.5</v>
      </c>
      <c r="Z54" s="60">
        <v>114</v>
      </c>
      <c r="AB54" s="60">
        <v>52</v>
      </c>
      <c r="AC54" s="60">
        <v>96.9</v>
      </c>
      <c r="AD54" s="60">
        <v>101.2</v>
      </c>
      <c r="AE54" s="60">
        <v>105.6</v>
      </c>
      <c r="AF54" s="60">
        <v>109.9</v>
      </c>
      <c r="AG54" s="60">
        <v>114.2</v>
      </c>
      <c r="AW54" s="60">
        <v>71</v>
      </c>
      <c r="AX54" s="60">
        <v>-0.38329999999999997</v>
      </c>
      <c r="AY54" s="60">
        <v>8.5077999999999996</v>
      </c>
      <c r="AZ54" s="60">
        <v>9.0469999999999995E-2</v>
      </c>
      <c r="BA54" s="60">
        <v>7.1</v>
      </c>
      <c r="BB54" s="60">
        <v>7.8</v>
      </c>
      <c r="BC54" s="60">
        <v>8.5</v>
      </c>
      <c r="BD54" s="60">
        <v>9.3000000000000007</v>
      </c>
      <c r="BE54" s="60">
        <v>10.3</v>
      </c>
      <c r="BG54" s="60">
        <v>71</v>
      </c>
      <c r="BH54" s="60">
        <v>-0.35210000000000002</v>
      </c>
      <c r="BI54" s="60">
        <v>8.6479999999999997</v>
      </c>
      <c r="BJ54" s="60">
        <v>8.2409999999999997E-2</v>
      </c>
      <c r="BK54" s="60">
        <v>7.4</v>
      </c>
      <c r="BL54" s="60">
        <v>8</v>
      </c>
      <c r="BM54" s="60">
        <v>8.6</v>
      </c>
      <c r="BN54" s="60">
        <v>9.4</v>
      </c>
      <c r="BO54" s="60">
        <v>10.199999999999999</v>
      </c>
    </row>
    <row r="55" spans="1:67">
      <c r="A55" s="60">
        <v>114</v>
      </c>
      <c r="B55" s="60">
        <v>-1.4823</v>
      </c>
      <c r="C55" s="60">
        <v>16.342500000000001</v>
      </c>
      <c r="D55" s="60">
        <v>0.12067</v>
      </c>
      <c r="F55" s="60">
        <v>114</v>
      </c>
      <c r="G55" s="60">
        <v>-1.6943999999999999</v>
      </c>
      <c r="H55" s="60">
        <v>16.2333</v>
      </c>
      <c r="I55" s="60">
        <v>0.10303</v>
      </c>
      <c r="U55" s="60">
        <v>53</v>
      </c>
      <c r="V55" s="60">
        <v>96.6</v>
      </c>
      <c r="W55" s="60">
        <v>101.1</v>
      </c>
      <c r="X55" s="60">
        <v>105.6</v>
      </c>
      <c r="Y55" s="60">
        <v>110.1</v>
      </c>
      <c r="Z55" s="60">
        <v>114.6</v>
      </c>
      <c r="AB55" s="60">
        <v>53</v>
      </c>
      <c r="AC55" s="60">
        <v>97.4</v>
      </c>
      <c r="AD55" s="60">
        <v>101.7</v>
      </c>
      <c r="AE55" s="60">
        <v>106.1</v>
      </c>
      <c r="AF55" s="60">
        <v>110.5</v>
      </c>
      <c r="AG55" s="60">
        <v>114.9</v>
      </c>
      <c r="AW55" s="60">
        <v>71.5</v>
      </c>
      <c r="AX55" s="60">
        <v>-0.38329999999999997</v>
      </c>
      <c r="AY55" s="60">
        <v>8.6077999999999992</v>
      </c>
      <c r="AZ55" s="60">
        <v>9.0410000000000004E-2</v>
      </c>
      <c r="BA55" s="60">
        <v>7.2</v>
      </c>
      <c r="BB55" s="60">
        <v>7.9</v>
      </c>
      <c r="BC55" s="60">
        <v>8.6</v>
      </c>
      <c r="BD55" s="60">
        <v>9.4</v>
      </c>
      <c r="BE55" s="60">
        <v>10.4</v>
      </c>
      <c r="BG55" s="60">
        <v>71.5</v>
      </c>
      <c r="BH55" s="60">
        <v>-0.35210000000000002</v>
      </c>
      <c r="BI55" s="60">
        <v>8.7593999999999994</v>
      </c>
      <c r="BJ55" s="60">
        <v>8.2479999999999998E-2</v>
      </c>
      <c r="BK55" s="60">
        <v>7.5</v>
      </c>
      <c r="BL55" s="60">
        <v>8.1</v>
      </c>
      <c r="BM55" s="60">
        <v>8.8000000000000007</v>
      </c>
      <c r="BN55" s="60">
        <v>9.5</v>
      </c>
      <c r="BO55" s="60">
        <v>10.4</v>
      </c>
    </row>
    <row r="56" spans="1:67">
      <c r="A56" s="60">
        <v>115</v>
      </c>
      <c r="B56" s="60">
        <v>-1.4838</v>
      </c>
      <c r="C56" s="60">
        <v>16.3858</v>
      </c>
      <c r="D56" s="60">
        <v>0.12107999999999999</v>
      </c>
      <c r="F56" s="60">
        <v>115</v>
      </c>
      <c r="G56" s="60">
        <v>-1.7032</v>
      </c>
      <c r="H56" s="60">
        <v>16.266500000000001</v>
      </c>
      <c r="I56" s="60">
        <v>0.10347000000000001</v>
      </c>
      <c r="U56" s="60">
        <v>54</v>
      </c>
      <c r="V56" s="60">
        <v>97.1</v>
      </c>
      <c r="W56" s="60">
        <v>101.6</v>
      </c>
      <c r="X56" s="60">
        <v>106.2</v>
      </c>
      <c r="Y56" s="60">
        <v>110.7</v>
      </c>
      <c r="Z56" s="60">
        <v>115.2</v>
      </c>
      <c r="AB56" s="60">
        <v>54</v>
      </c>
      <c r="AC56" s="60">
        <v>97.8</v>
      </c>
      <c r="AD56" s="60">
        <v>102.3</v>
      </c>
      <c r="AE56" s="60">
        <v>106.7</v>
      </c>
      <c r="AF56" s="60">
        <v>111.1</v>
      </c>
      <c r="AG56" s="60">
        <v>115.5</v>
      </c>
      <c r="AW56" s="60">
        <v>72</v>
      </c>
      <c r="AX56" s="60">
        <v>-0.38329999999999997</v>
      </c>
      <c r="AY56" s="60">
        <v>8.7070000000000007</v>
      </c>
      <c r="AZ56" s="60">
        <v>9.035E-2</v>
      </c>
      <c r="BA56" s="60">
        <v>7.3</v>
      </c>
      <c r="BB56" s="60">
        <v>8</v>
      </c>
      <c r="BC56" s="60">
        <v>8.6999999999999993</v>
      </c>
      <c r="BD56" s="60">
        <v>9.5</v>
      </c>
      <c r="BE56" s="60">
        <v>10.5</v>
      </c>
      <c r="BG56" s="60">
        <v>72</v>
      </c>
      <c r="BH56" s="60">
        <v>-0.35210000000000002</v>
      </c>
      <c r="BI56" s="60">
        <v>8.8696999999999999</v>
      </c>
      <c r="BJ56" s="60">
        <v>8.2540000000000002E-2</v>
      </c>
      <c r="BK56" s="60">
        <v>7.6</v>
      </c>
      <c r="BL56" s="60">
        <v>8.1999999999999993</v>
      </c>
      <c r="BM56" s="60">
        <v>8.9</v>
      </c>
      <c r="BN56" s="60">
        <v>9.6</v>
      </c>
      <c r="BO56" s="60">
        <v>10.5</v>
      </c>
    </row>
    <row r="57" spans="1:67">
      <c r="A57" s="60">
        <v>116</v>
      </c>
      <c r="B57" s="60">
        <v>-1.4850000000000001</v>
      </c>
      <c r="C57" s="60">
        <v>16.4298</v>
      </c>
      <c r="D57" s="60">
        <v>0.12148</v>
      </c>
      <c r="F57" s="60">
        <v>116</v>
      </c>
      <c r="G57" s="60">
        <v>-1.7116</v>
      </c>
      <c r="H57" s="60">
        <v>16.3004</v>
      </c>
      <c r="I57" s="60">
        <v>0.10391</v>
      </c>
      <c r="U57" s="60">
        <v>55</v>
      </c>
      <c r="V57" s="60">
        <v>97.6</v>
      </c>
      <c r="W57" s="60">
        <v>102.2</v>
      </c>
      <c r="X57" s="60">
        <v>106.7</v>
      </c>
      <c r="Y57" s="60">
        <v>111.3</v>
      </c>
      <c r="Z57" s="60">
        <v>115.9</v>
      </c>
      <c r="AB57" s="60">
        <v>55</v>
      </c>
      <c r="AC57" s="60">
        <v>98.3</v>
      </c>
      <c r="AD57" s="60">
        <v>102.8</v>
      </c>
      <c r="AE57" s="60">
        <v>107.2</v>
      </c>
      <c r="AF57" s="60">
        <v>111.7</v>
      </c>
      <c r="AG57" s="60">
        <v>116.1</v>
      </c>
      <c r="AW57" s="60">
        <v>72.5</v>
      </c>
      <c r="AX57" s="60">
        <v>-0.38329999999999997</v>
      </c>
      <c r="AY57" s="60">
        <v>8.8053000000000008</v>
      </c>
      <c r="AZ57" s="60">
        <v>9.0279999999999999E-2</v>
      </c>
      <c r="BA57" s="60">
        <v>7.4</v>
      </c>
      <c r="BB57" s="60">
        <v>8.1</v>
      </c>
      <c r="BC57" s="60">
        <v>8.8000000000000007</v>
      </c>
      <c r="BD57" s="60">
        <v>9.6999999999999993</v>
      </c>
      <c r="BE57" s="60">
        <v>10.6</v>
      </c>
      <c r="BG57" s="60">
        <v>72.5</v>
      </c>
      <c r="BH57" s="60">
        <v>-0.35210000000000002</v>
      </c>
      <c r="BI57" s="60">
        <v>8.9787999999999997</v>
      </c>
      <c r="BJ57" s="60">
        <v>8.2619999999999999E-2</v>
      </c>
      <c r="BK57" s="60">
        <v>7.6</v>
      </c>
      <c r="BL57" s="60">
        <v>8.3000000000000007</v>
      </c>
      <c r="BM57" s="60">
        <v>9</v>
      </c>
      <c r="BN57" s="60">
        <v>9.8000000000000007</v>
      </c>
      <c r="BO57" s="60">
        <v>10.6</v>
      </c>
    </row>
    <row r="58" spans="1:67">
      <c r="A58" s="60">
        <v>117</v>
      </c>
      <c r="B58" s="60">
        <v>-1.4859</v>
      </c>
      <c r="C58" s="60">
        <v>16.474599999999999</v>
      </c>
      <c r="D58" s="60">
        <v>0.12188</v>
      </c>
      <c r="F58" s="60">
        <v>117</v>
      </c>
      <c r="G58" s="60">
        <v>-1.7196</v>
      </c>
      <c r="H58" s="60">
        <v>16.335100000000001</v>
      </c>
      <c r="I58" s="60">
        <v>0.10435</v>
      </c>
      <c r="U58" s="60">
        <v>56</v>
      </c>
      <c r="V58" s="60">
        <v>98.1</v>
      </c>
      <c r="W58" s="60">
        <v>102.7</v>
      </c>
      <c r="X58" s="60">
        <v>107.3</v>
      </c>
      <c r="Y58" s="60">
        <v>111.9</v>
      </c>
      <c r="Z58" s="60">
        <v>116.5</v>
      </c>
      <c r="AB58" s="60">
        <v>56</v>
      </c>
      <c r="AC58" s="60">
        <v>98.8</v>
      </c>
      <c r="AD58" s="60">
        <v>103.3</v>
      </c>
      <c r="AE58" s="60">
        <v>107.8</v>
      </c>
      <c r="AF58" s="60">
        <v>112.3</v>
      </c>
      <c r="AG58" s="60">
        <v>116.7</v>
      </c>
      <c r="AW58" s="60">
        <v>73</v>
      </c>
      <c r="AX58" s="60">
        <v>-0.38329999999999997</v>
      </c>
      <c r="AY58" s="60">
        <v>8.9024999999999999</v>
      </c>
      <c r="AZ58" s="60">
        <v>9.0219999999999995E-2</v>
      </c>
      <c r="BA58" s="60">
        <v>7.5</v>
      </c>
      <c r="BB58" s="60">
        <v>8.1</v>
      </c>
      <c r="BC58" s="60">
        <v>8.9</v>
      </c>
      <c r="BD58" s="60">
        <v>9.8000000000000007</v>
      </c>
      <c r="BE58" s="60">
        <v>10.7</v>
      </c>
      <c r="BG58" s="60">
        <v>73</v>
      </c>
      <c r="BH58" s="60">
        <v>-0.35210000000000002</v>
      </c>
      <c r="BI58" s="60">
        <v>9.0864999999999991</v>
      </c>
      <c r="BJ58" s="60">
        <v>8.269E-2</v>
      </c>
      <c r="BK58" s="60">
        <v>7.7</v>
      </c>
      <c r="BL58" s="60">
        <v>8.4</v>
      </c>
      <c r="BM58" s="60">
        <v>9.1</v>
      </c>
      <c r="BN58" s="60">
        <v>9.9</v>
      </c>
      <c r="BO58" s="60">
        <v>10.8</v>
      </c>
    </row>
    <row r="59" spans="1:67">
      <c r="A59" s="60">
        <v>118</v>
      </c>
      <c r="B59" s="60">
        <v>-1.4863999999999999</v>
      </c>
      <c r="C59" s="60">
        <v>16.52</v>
      </c>
      <c r="D59" s="60">
        <v>0.12228</v>
      </c>
      <c r="F59" s="60">
        <v>118</v>
      </c>
      <c r="G59" s="60">
        <v>-1.7271000000000001</v>
      </c>
      <c r="H59" s="60">
        <v>16.3704</v>
      </c>
      <c r="I59" s="60">
        <v>0.10478</v>
      </c>
      <c r="U59" s="60">
        <v>57</v>
      </c>
      <c r="V59" s="60">
        <v>98.5</v>
      </c>
      <c r="W59" s="60">
        <v>103.2</v>
      </c>
      <c r="X59" s="60">
        <v>107.8</v>
      </c>
      <c r="Y59" s="60">
        <v>112.5</v>
      </c>
      <c r="Z59" s="60">
        <v>117.1</v>
      </c>
      <c r="AB59" s="60">
        <v>57</v>
      </c>
      <c r="AC59" s="60">
        <v>99.3</v>
      </c>
      <c r="AD59" s="60">
        <v>103.8</v>
      </c>
      <c r="AE59" s="60">
        <v>108.3</v>
      </c>
      <c r="AF59" s="60">
        <v>112.8</v>
      </c>
      <c r="AG59" s="60">
        <v>117.4</v>
      </c>
      <c r="AW59" s="60">
        <v>73.5</v>
      </c>
      <c r="AX59" s="60">
        <v>-0.38329999999999997</v>
      </c>
      <c r="AY59" s="60">
        <v>8.9983000000000004</v>
      </c>
      <c r="AZ59" s="60">
        <v>9.0160000000000004E-2</v>
      </c>
      <c r="BA59" s="60">
        <v>7.6</v>
      </c>
      <c r="BB59" s="60">
        <v>8.1999999999999993</v>
      </c>
      <c r="BC59" s="60">
        <v>9</v>
      </c>
      <c r="BD59" s="60">
        <v>9.9</v>
      </c>
      <c r="BE59" s="60">
        <v>10.8</v>
      </c>
      <c r="BG59" s="60">
        <v>73.5</v>
      </c>
      <c r="BH59" s="60">
        <v>-0.35210000000000002</v>
      </c>
      <c r="BI59" s="60">
        <v>9.1927000000000003</v>
      </c>
      <c r="BJ59" s="60">
        <v>8.276E-2</v>
      </c>
      <c r="BK59" s="60">
        <v>7.8</v>
      </c>
      <c r="BL59" s="60">
        <v>8.5</v>
      </c>
      <c r="BM59" s="60">
        <v>9.1999999999999993</v>
      </c>
      <c r="BN59" s="60">
        <v>10</v>
      </c>
      <c r="BO59" s="60">
        <v>10.9</v>
      </c>
    </row>
    <row r="60" spans="1:67">
      <c r="A60" s="60">
        <v>119</v>
      </c>
      <c r="B60" s="60">
        <v>-1.4865999999999999</v>
      </c>
      <c r="C60" s="60">
        <v>16.566299999999998</v>
      </c>
      <c r="D60" s="60">
        <v>0.12268</v>
      </c>
      <c r="F60" s="60">
        <v>119</v>
      </c>
      <c r="G60" s="60">
        <v>-1.7341</v>
      </c>
      <c r="H60" s="60">
        <v>16.406500000000001</v>
      </c>
      <c r="I60" s="60">
        <v>0.10521999999999999</v>
      </c>
      <c r="U60" s="60">
        <v>58</v>
      </c>
      <c r="V60" s="60">
        <v>99</v>
      </c>
      <c r="W60" s="60">
        <v>103.7</v>
      </c>
      <c r="X60" s="60">
        <v>108.4</v>
      </c>
      <c r="Y60" s="60">
        <v>113</v>
      </c>
      <c r="Z60" s="60">
        <v>117.7</v>
      </c>
      <c r="AB60" s="60">
        <v>58</v>
      </c>
      <c r="AC60" s="60">
        <v>99.7</v>
      </c>
      <c r="AD60" s="60">
        <v>104.3</v>
      </c>
      <c r="AE60" s="60">
        <v>108.9</v>
      </c>
      <c r="AF60" s="60">
        <v>113.4</v>
      </c>
      <c r="AG60" s="60">
        <v>118</v>
      </c>
      <c r="AW60" s="60">
        <v>74</v>
      </c>
      <c r="AX60" s="60">
        <v>-0.38329999999999997</v>
      </c>
      <c r="AY60" s="60">
        <v>9.0928000000000004</v>
      </c>
      <c r="AZ60" s="60">
        <v>9.0090000000000003E-2</v>
      </c>
      <c r="BA60" s="60">
        <v>7.6</v>
      </c>
      <c r="BB60" s="60">
        <v>8.3000000000000007</v>
      </c>
      <c r="BC60" s="60">
        <v>9.1</v>
      </c>
      <c r="BD60" s="60">
        <v>10</v>
      </c>
      <c r="BE60" s="60">
        <v>11</v>
      </c>
      <c r="BG60" s="60">
        <v>74</v>
      </c>
      <c r="BH60" s="60">
        <v>-0.35210000000000002</v>
      </c>
      <c r="BI60" s="60">
        <v>9.2973999999999997</v>
      </c>
      <c r="BJ60" s="60">
        <v>8.2830000000000001E-2</v>
      </c>
      <c r="BK60" s="60">
        <v>7.9</v>
      </c>
      <c r="BL60" s="60">
        <v>8.6</v>
      </c>
      <c r="BM60" s="60">
        <v>9.3000000000000007</v>
      </c>
      <c r="BN60" s="60">
        <v>10.1</v>
      </c>
      <c r="BO60" s="60">
        <v>11</v>
      </c>
    </row>
    <row r="61" spans="1:67">
      <c r="A61" s="60">
        <v>120</v>
      </c>
      <c r="B61" s="60">
        <v>-1.4863999999999999</v>
      </c>
      <c r="C61" s="60">
        <v>16.613299999999999</v>
      </c>
      <c r="D61" s="60">
        <v>0.12307</v>
      </c>
      <c r="F61" s="60">
        <v>120</v>
      </c>
      <c r="G61" s="60">
        <v>-1.7406999999999999</v>
      </c>
      <c r="H61" s="60">
        <v>16.443300000000001</v>
      </c>
      <c r="I61" s="60">
        <v>0.10566</v>
      </c>
      <c r="U61" s="60">
        <v>59</v>
      </c>
      <c r="V61" s="60">
        <v>99.5</v>
      </c>
      <c r="W61" s="60">
        <v>104.2</v>
      </c>
      <c r="X61" s="60">
        <v>108.9</v>
      </c>
      <c r="Y61" s="60">
        <v>113.6</v>
      </c>
      <c r="Z61" s="60">
        <v>118.3</v>
      </c>
      <c r="AB61" s="60">
        <v>59</v>
      </c>
      <c r="AC61" s="60">
        <v>100.2</v>
      </c>
      <c r="AD61" s="60">
        <v>104.8</v>
      </c>
      <c r="AE61" s="60">
        <v>109.4</v>
      </c>
      <c r="AF61" s="60">
        <v>114</v>
      </c>
      <c r="AG61" s="60">
        <v>118.6</v>
      </c>
      <c r="AW61" s="60">
        <v>74.5</v>
      </c>
      <c r="AX61" s="60">
        <v>-0.38329999999999997</v>
      </c>
      <c r="AY61" s="60">
        <v>9.1861999999999995</v>
      </c>
      <c r="AZ61" s="60">
        <v>9.0029999999999999E-2</v>
      </c>
      <c r="BA61" s="60">
        <v>7.7</v>
      </c>
      <c r="BB61" s="60">
        <v>8.4</v>
      </c>
      <c r="BC61" s="60">
        <v>9.1999999999999993</v>
      </c>
      <c r="BD61" s="60">
        <v>10.1</v>
      </c>
      <c r="BE61" s="60">
        <v>11.1</v>
      </c>
      <c r="BG61" s="60">
        <v>74.5</v>
      </c>
      <c r="BH61" s="60">
        <v>-0.35210000000000002</v>
      </c>
      <c r="BI61" s="60">
        <v>9.4009999999999998</v>
      </c>
      <c r="BJ61" s="60">
        <v>8.2890000000000005E-2</v>
      </c>
      <c r="BK61" s="60">
        <v>8</v>
      </c>
      <c r="BL61" s="60">
        <v>8.6999999999999993</v>
      </c>
      <c r="BM61" s="60">
        <v>9.4</v>
      </c>
      <c r="BN61" s="60">
        <v>10.199999999999999</v>
      </c>
      <c r="BO61" s="60">
        <v>11.2</v>
      </c>
    </row>
    <row r="62" spans="1:67">
      <c r="A62" s="60">
        <v>121</v>
      </c>
      <c r="B62" s="60">
        <v>-1.4859</v>
      </c>
      <c r="C62" s="60">
        <v>16.661200000000001</v>
      </c>
      <c r="D62" s="60">
        <v>0.12346</v>
      </c>
      <c r="F62" s="60">
        <v>121</v>
      </c>
      <c r="G62" s="60">
        <v>-1.7467999999999999</v>
      </c>
      <c r="H62" s="60">
        <v>16.480699999999999</v>
      </c>
      <c r="I62" s="60">
        <v>0.10609</v>
      </c>
      <c r="U62" s="60">
        <v>60</v>
      </c>
      <c r="V62" s="60">
        <v>99.9</v>
      </c>
      <c r="W62" s="60">
        <v>104.7</v>
      </c>
      <c r="X62" s="60">
        <v>109.4</v>
      </c>
      <c r="Y62" s="60">
        <v>114.2</v>
      </c>
      <c r="Z62" s="60">
        <v>118.9</v>
      </c>
      <c r="AB62" s="60">
        <v>60</v>
      </c>
      <c r="AC62" s="60">
        <v>100.7</v>
      </c>
      <c r="AD62" s="60">
        <v>105.3</v>
      </c>
      <c r="AE62" s="60">
        <v>110</v>
      </c>
      <c r="AF62" s="60">
        <v>114.6</v>
      </c>
      <c r="AG62" s="60">
        <v>119.2</v>
      </c>
      <c r="AW62" s="60">
        <v>75</v>
      </c>
      <c r="AX62" s="60">
        <v>-0.38329999999999997</v>
      </c>
      <c r="AY62" s="60">
        <v>9.2786000000000008</v>
      </c>
      <c r="AZ62" s="60">
        <v>8.9959999999999998E-2</v>
      </c>
      <c r="BA62" s="60">
        <v>7.8</v>
      </c>
      <c r="BB62" s="60">
        <v>8.5</v>
      </c>
      <c r="BC62" s="60">
        <v>9.3000000000000007</v>
      </c>
      <c r="BD62" s="60">
        <v>10.199999999999999</v>
      </c>
      <c r="BE62" s="60">
        <v>11.2</v>
      </c>
      <c r="BG62" s="60">
        <v>75</v>
      </c>
      <c r="BH62" s="60">
        <v>-0.35210000000000002</v>
      </c>
      <c r="BI62" s="60">
        <v>9.5031999999999996</v>
      </c>
      <c r="BJ62" s="60">
        <v>8.2949999999999996E-2</v>
      </c>
      <c r="BK62" s="60">
        <v>8.1</v>
      </c>
      <c r="BL62" s="60">
        <v>8.8000000000000007</v>
      </c>
      <c r="BM62" s="60">
        <v>9.5</v>
      </c>
      <c r="BN62" s="60">
        <v>10.3</v>
      </c>
      <c r="BO62" s="60">
        <v>11.3</v>
      </c>
    </row>
    <row r="63" spans="1:67">
      <c r="A63" s="60">
        <v>122</v>
      </c>
      <c r="B63" s="60">
        <v>-1.4851000000000001</v>
      </c>
      <c r="C63" s="60">
        <v>16.71</v>
      </c>
      <c r="D63" s="60">
        <v>0.12384000000000001</v>
      </c>
      <c r="F63" s="60">
        <v>122</v>
      </c>
      <c r="G63" s="60">
        <v>-1.7524999999999999</v>
      </c>
      <c r="H63" s="60">
        <v>16.518899999999999</v>
      </c>
      <c r="I63" s="60">
        <v>0.10652</v>
      </c>
      <c r="U63" s="60">
        <v>61</v>
      </c>
      <c r="V63" s="60">
        <v>100.1</v>
      </c>
      <c r="W63" s="60">
        <v>104.8</v>
      </c>
      <c r="X63" s="60">
        <v>109.6</v>
      </c>
      <c r="Y63" s="60">
        <v>114.4</v>
      </c>
      <c r="Z63" s="60">
        <v>119.1</v>
      </c>
      <c r="AB63" s="60">
        <v>61</v>
      </c>
      <c r="AC63" s="60">
        <v>101.1</v>
      </c>
      <c r="AD63" s="60">
        <v>105.7</v>
      </c>
      <c r="AE63" s="60">
        <v>110.3</v>
      </c>
      <c r="AF63" s="60">
        <v>114.9</v>
      </c>
      <c r="AG63" s="60">
        <v>119.4</v>
      </c>
      <c r="AW63" s="60">
        <v>75.5</v>
      </c>
      <c r="AX63" s="60">
        <v>-0.38329999999999997</v>
      </c>
      <c r="AY63" s="60">
        <v>9.3703000000000003</v>
      </c>
      <c r="AZ63" s="60">
        <v>8.9889999999999998E-2</v>
      </c>
      <c r="BA63" s="60">
        <v>7.9</v>
      </c>
      <c r="BB63" s="60">
        <v>8.6</v>
      </c>
      <c r="BC63" s="60">
        <v>9.4</v>
      </c>
      <c r="BD63" s="60">
        <v>10.3</v>
      </c>
      <c r="BE63" s="60">
        <v>11.3</v>
      </c>
      <c r="BG63" s="60">
        <v>75.5</v>
      </c>
      <c r="BH63" s="60">
        <v>-0.35210000000000002</v>
      </c>
      <c r="BI63" s="60">
        <v>9.6041000000000007</v>
      </c>
      <c r="BJ63" s="60">
        <v>8.301E-2</v>
      </c>
      <c r="BK63" s="60">
        <v>8.1999999999999993</v>
      </c>
      <c r="BL63" s="60">
        <v>8.8000000000000007</v>
      </c>
      <c r="BM63" s="60">
        <v>9.6</v>
      </c>
      <c r="BN63" s="60">
        <v>10.4</v>
      </c>
      <c r="BO63" s="60">
        <v>11.4</v>
      </c>
    </row>
    <row r="64" spans="1:67">
      <c r="A64" s="60">
        <v>123</v>
      </c>
      <c r="B64" s="60">
        <v>-1.4839</v>
      </c>
      <c r="C64" s="60">
        <v>16.759499999999999</v>
      </c>
      <c r="D64" s="60">
        <v>0.12422</v>
      </c>
      <c r="F64" s="60">
        <v>123</v>
      </c>
      <c r="G64" s="60">
        <v>-1.7578</v>
      </c>
      <c r="H64" s="60">
        <v>16.5578</v>
      </c>
      <c r="I64" s="60">
        <v>0.10695</v>
      </c>
      <c r="U64" s="60">
        <v>62</v>
      </c>
      <c r="V64" s="60">
        <v>100.5</v>
      </c>
      <c r="W64" s="60">
        <v>105.3</v>
      </c>
      <c r="X64" s="60">
        <v>110.1</v>
      </c>
      <c r="Y64" s="60">
        <v>114.9</v>
      </c>
      <c r="Z64" s="60">
        <v>119.7</v>
      </c>
      <c r="AB64" s="60">
        <v>62</v>
      </c>
      <c r="AC64" s="60">
        <v>101.6</v>
      </c>
      <c r="AD64" s="60">
        <v>106.2</v>
      </c>
      <c r="AE64" s="60">
        <v>110.8</v>
      </c>
      <c r="AF64" s="60">
        <v>115.4</v>
      </c>
      <c r="AG64" s="60">
        <v>120</v>
      </c>
      <c r="AW64" s="60">
        <v>76</v>
      </c>
      <c r="AX64" s="60">
        <v>-0.38329999999999997</v>
      </c>
      <c r="AY64" s="60">
        <v>9.4617000000000004</v>
      </c>
      <c r="AZ64" s="60">
        <v>8.9829999999999993E-2</v>
      </c>
      <c r="BA64" s="60">
        <v>8</v>
      </c>
      <c r="BB64" s="60">
        <v>8.6999999999999993</v>
      </c>
      <c r="BC64" s="60">
        <v>9.5</v>
      </c>
      <c r="BD64" s="60">
        <v>10.4</v>
      </c>
      <c r="BE64" s="60">
        <v>11.4</v>
      </c>
      <c r="BG64" s="60">
        <v>76</v>
      </c>
      <c r="BH64" s="60">
        <v>-0.35210000000000002</v>
      </c>
      <c r="BI64" s="60">
        <v>9.7033000000000005</v>
      </c>
      <c r="BJ64" s="60">
        <v>8.3070000000000005E-2</v>
      </c>
      <c r="BK64" s="60">
        <v>8.3000000000000007</v>
      </c>
      <c r="BL64" s="60">
        <v>8.9</v>
      </c>
      <c r="BM64" s="60">
        <v>9.6999999999999993</v>
      </c>
      <c r="BN64" s="60">
        <v>10.6</v>
      </c>
      <c r="BO64" s="60">
        <v>11.5</v>
      </c>
    </row>
    <row r="65" spans="1:67">
      <c r="A65" s="60">
        <v>124</v>
      </c>
      <c r="B65" s="60">
        <v>-1.4824999999999999</v>
      </c>
      <c r="C65" s="60">
        <v>16.809999999999999</v>
      </c>
      <c r="D65" s="60">
        <v>0.1246</v>
      </c>
      <c r="F65" s="60">
        <v>124</v>
      </c>
      <c r="G65" s="60">
        <v>-1.7625999999999999</v>
      </c>
      <c r="H65" s="60">
        <v>16.5974</v>
      </c>
      <c r="I65" s="60">
        <v>0.10738</v>
      </c>
      <c r="U65" s="60">
        <v>63</v>
      </c>
      <c r="V65" s="60">
        <v>101</v>
      </c>
      <c r="W65" s="60">
        <v>105.8</v>
      </c>
      <c r="X65" s="60">
        <v>110.6</v>
      </c>
      <c r="Y65" s="60">
        <v>115.5</v>
      </c>
      <c r="Z65" s="60">
        <v>120.3</v>
      </c>
      <c r="AB65" s="60">
        <v>63</v>
      </c>
      <c r="AC65" s="60">
        <v>102</v>
      </c>
      <c r="AD65" s="60">
        <v>106.7</v>
      </c>
      <c r="AE65" s="60">
        <v>111.3</v>
      </c>
      <c r="AF65" s="60">
        <v>116</v>
      </c>
      <c r="AG65" s="60">
        <v>120.6</v>
      </c>
      <c r="AW65" s="60">
        <v>76.5</v>
      </c>
      <c r="AX65" s="60">
        <v>-0.38329999999999997</v>
      </c>
      <c r="AY65" s="60">
        <v>9.5533000000000001</v>
      </c>
      <c r="AZ65" s="60">
        <v>8.9760000000000006E-2</v>
      </c>
      <c r="BA65" s="60">
        <v>8</v>
      </c>
      <c r="BB65" s="60">
        <v>8.6999999999999993</v>
      </c>
      <c r="BC65" s="60">
        <v>9.6</v>
      </c>
      <c r="BD65" s="60">
        <v>10.5</v>
      </c>
      <c r="BE65" s="60">
        <v>11.5</v>
      </c>
      <c r="BG65" s="60">
        <v>76.5</v>
      </c>
      <c r="BH65" s="60">
        <v>-0.35210000000000002</v>
      </c>
      <c r="BI65" s="60">
        <v>9.8007000000000009</v>
      </c>
      <c r="BJ65" s="60">
        <v>8.3110000000000003E-2</v>
      </c>
      <c r="BK65" s="60">
        <v>8.3000000000000007</v>
      </c>
      <c r="BL65" s="60">
        <v>9</v>
      </c>
      <c r="BM65" s="60">
        <v>9.8000000000000007</v>
      </c>
      <c r="BN65" s="60">
        <v>10.7</v>
      </c>
      <c r="BO65" s="60">
        <v>11.6</v>
      </c>
    </row>
    <row r="66" spans="1:67">
      <c r="A66" s="60">
        <v>125</v>
      </c>
      <c r="B66" s="60">
        <v>-1.4806999999999999</v>
      </c>
      <c r="C66" s="60">
        <v>16.8614</v>
      </c>
      <c r="D66" s="60">
        <v>0.12497</v>
      </c>
      <c r="F66" s="60">
        <v>125</v>
      </c>
      <c r="G66" s="60">
        <v>-1.7669999999999999</v>
      </c>
      <c r="H66" s="60">
        <v>16.637599999999999</v>
      </c>
      <c r="I66" s="60">
        <v>0.10780000000000001</v>
      </c>
      <c r="U66" s="60">
        <v>64</v>
      </c>
      <c r="V66" s="60">
        <v>101.4</v>
      </c>
      <c r="W66" s="60">
        <v>106.3</v>
      </c>
      <c r="X66" s="60">
        <v>111.2</v>
      </c>
      <c r="Y66" s="60">
        <v>116</v>
      </c>
      <c r="Z66" s="60">
        <v>120.9</v>
      </c>
      <c r="AB66" s="60">
        <v>64</v>
      </c>
      <c r="AC66" s="60">
        <v>102.5</v>
      </c>
      <c r="AD66" s="60">
        <v>107.2</v>
      </c>
      <c r="AE66" s="60">
        <v>111.9</v>
      </c>
      <c r="AF66" s="60">
        <v>116.5</v>
      </c>
      <c r="AG66" s="60">
        <v>121.2</v>
      </c>
      <c r="AW66" s="60">
        <v>77</v>
      </c>
      <c r="AX66" s="60">
        <v>-0.38329999999999997</v>
      </c>
      <c r="AY66" s="60">
        <v>9.6456</v>
      </c>
      <c r="AZ66" s="60">
        <v>8.9690000000000006E-2</v>
      </c>
      <c r="BA66" s="60">
        <v>8.1</v>
      </c>
      <c r="BB66" s="60">
        <v>8.8000000000000007</v>
      </c>
      <c r="BC66" s="60">
        <v>9.6</v>
      </c>
      <c r="BD66" s="60">
        <v>10.6</v>
      </c>
      <c r="BE66" s="60">
        <v>11.6</v>
      </c>
      <c r="BG66" s="60">
        <v>77</v>
      </c>
      <c r="BH66" s="60">
        <v>-0.35210000000000002</v>
      </c>
      <c r="BI66" s="60">
        <v>9.8963000000000001</v>
      </c>
      <c r="BJ66" s="60">
        <v>8.3140000000000006E-2</v>
      </c>
      <c r="BK66" s="60">
        <v>8.4</v>
      </c>
      <c r="BL66" s="60">
        <v>9.1</v>
      </c>
      <c r="BM66" s="60">
        <v>9.9</v>
      </c>
      <c r="BN66" s="60">
        <v>10.8</v>
      </c>
      <c r="BO66" s="60">
        <v>11.7</v>
      </c>
    </row>
    <row r="67" spans="1:67">
      <c r="A67" s="60">
        <v>126</v>
      </c>
      <c r="B67" s="60">
        <v>-1.4786999999999999</v>
      </c>
      <c r="C67" s="60">
        <v>16.913599999999999</v>
      </c>
      <c r="D67" s="60">
        <v>0.12534000000000001</v>
      </c>
      <c r="F67" s="60">
        <v>126</v>
      </c>
      <c r="G67" s="60">
        <v>-1.7709999999999999</v>
      </c>
      <c r="H67" s="60">
        <v>16.678599999999999</v>
      </c>
      <c r="I67" s="60">
        <v>0.10823000000000001</v>
      </c>
      <c r="U67" s="60">
        <v>65</v>
      </c>
      <c r="V67" s="60">
        <v>101.9</v>
      </c>
      <c r="W67" s="60">
        <v>106.8</v>
      </c>
      <c r="X67" s="60">
        <v>111.7</v>
      </c>
      <c r="Y67" s="60">
        <v>116.6</v>
      </c>
      <c r="Z67" s="60">
        <v>121.5</v>
      </c>
      <c r="AB67" s="60">
        <v>65</v>
      </c>
      <c r="AC67" s="60">
        <v>103</v>
      </c>
      <c r="AD67" s="60">
        <v>107.7</v>
      </c>
      <c r="AE67" s="60">
        <v>112.4</v>
      </c>
      <c r="AF67" s="60">
        <v>117.1</v>
      </c>
      <c r="AG67" s="60">
        <v>121.8</v>
      </c>
      <c r="AW67" s="60">
        <v>77.5</v>
      </c>
      <c r="AX67" s="60">
        <v>-0.38329999999999997</v>
      </c>
      <c r="AY67" s="60">
        <v>9.7390000000000008</v>
      </c>
      <c r="AZ67" s="60">
        <v>8.9630000000000001E-2</v>
      </c>
      <c r="BA67" s="60">
        <v>8.1999999999999993</v>
      </c>
      <c r="BB67" s="60">
        <v>8.9</v>
      </c>
      <c r="BC67" s="60">
        <v>9.6999999999999993</v>
      </c>
      <c r="BD67" s="60">
        <v>10.7</v>
      </c>
      <c r="BE67" s="60">
        <v>11.7</v>
      </c>
      <c r="BG67" s="60">
        <v>77.5</v>
      </c>
      <c r="BH67" s="60">
        <v>-0.35210000000000002</v>
      </c>
      <c r="BI67" s="60">
        <v>9.9901999999999997</v>
      </c>
      <c r="BJ67" s="60">
        <v>8.3169999999999994E-2</v>
      </c>
      <c r="BK67" s="60">
        <v>8.5</v>
      </c>
      <c r="BL67" s="60">
        <v>9.1999999999999993</v>
      </c>
      <c r="BM67" s="60">
        <v>10</v>
      </c>
      <c r="BN67" s="60">
        <v>10.9</v>
      </c>
      <c r="BO67" s="60">
        <v>11.9</v>
      </c>
    </row>
    <row r="68" spans="1:67">
      <c r="A68" s="60">
        <v>127</v>
      </c>
      <c r="B68" s="60">
        <v>-1.4762999999999999</v>
      </c>
      <c r="C68" s="60">
        <v>16.966699999999999</v>
      </c>
      <c r="D68" s="60">
        <v>0.12570999999999999</v>
      </c>
      <c r="F68" s="60">
        <v>127</v>
      </c>
      <c r="G68" s="60">
        <v>-1.7745</v>
      </c>
      <c r="H68" s="60">
        <v>16.720300000000002</v>
      </c>
      <c r="I68" s="60">
        <v>0.10865</v>
      </c>
      <c r="U68" s="60">
        <v>66</v>
      </c>
      <c r="V68" s="60">
        <v>102.3</v>
      </c>
      <c r="W68" s="60">
        <v>107.2</v>
      </c>
      <c r="X68" s="60">
        <v>112.2</v>
      </c>
      <c r="Y68" s="60">
        <v>117.1</v>
      </c>
      <c r="Z68" s="60">
        <v>122</v>
      </c>
      <c r="AB68" s="60">
        <v>66</v>
      </c>
      <c r="AC68" s="60">
        <v>103.4</v>
      </c>
      <c r="AD68" s="60">
        <v>108.2</v>
      </c>
      <c r="AE68" s="60">
        <v>112.9</v>
      </c>
      <c r="AF68" s="60">
        <v>117.7</v>
      </c>
      <c r="AG68" s="60">
        <v>122.4</v>
      </c>
      <c r="AW68" s="60">
        <v>78</v>
      </c>
      <c r="AX68" s="60">
        <v>-0.38329999999999997</v>
      </c>
      <c r="AY68" s="60">
        <v>9.8338000000000001</v>
      </c>
      <c r="AZ68" s="60">
        <v>8.9560000000000001E-2</v>
      </c>
      <c r="BA68" s="60">
        <v>8.3000000000000007</v>
      </c>
      <c r="BB68" s="60">
        <v>9</v>
      </c>
      <c r="BC68" s="60">
        <v>9.8000000000000007</v>
      </c>
      <c r="BD68" s="60">
        <v>10.8</v>
      </c>
      <c r="BE68" s="60">
        <v>11.8</v>
      </c>
      <c r="BG68" s="60">
        <v>78</v>
      </c>
      <c r="BH68" s="60">
        <v>-0.35210000000000002</v>
      </c>
      <c r="BI68" s="60">
        <v>10.082700000000001</v>
      </c>
      <c r="BJ68" s="60">
        <v>8.3180000000000004E-2</v>
      </c>
      <c r="BK68" s="60">
        <v>8.6</v>
      </c>
      <c r="BL68" s="60">
        <v>9.3000000000000007</v>
      </c>
      <c r="BM68" s="60">
        <v>10.1</v>
      </c>
      <c r="BN68" s="60">
        <v>11</v>
      </c>
      <c r="BO68" s="60">
        <v>12</v>
      </c>
    </row>
    <row r="69" spans="1:67">
      <c r="A69" s="60">
        <v>128</v>
      </c>
      <c r="B69" s="60">
        <v>-1.4737</v>
      </c>
      <c r="C69" s="60">
        <v>17.020800000000001</v>
      </c>
      <c r="D69" s="60">
        <v>0.12606999999999999</v>
      </c>
      <c r="F69" s="60">
        <v>128</v>
      </c>
      <c r="G69" s="60">
        <v>-1.7777000000000001</v>
      </c>
      <c r="H69" s="60">
        <v>16.762799999999999</v>
      </c>
      <c r="I69" s="60">
        <v>0.10906</v>
      </c>
      <c r="U69" s="60">
        <v>67</v>
      </c>
      <c r="V69" s="60">
        <v>102.7</v>
      </c>
      <c r="W69" s="60">
        <v>107.7</v>
      </c>
      <c r="X69" s="60">
        <v>112.7</v>
      </c>
      <c r="Y69" s="60">
        <v>117.6</v>
      </c>
      <c r="Z69" s="60">
        <v>122.6</v>
      </c>
      <c r="AB69" s="60">
        <v>67</v>
      </c>
      <c r="AC69" s="60">
        <v>103.9</v>
      </c>
      <c r="AD69" s="60">
        <v>108.7</v>
      </c>
      <c r="AE69" s="60">
        <v>113.4</v>
      </c>
      <c r="AF69" s="60">
        <v>118.2</v>
      </c>
      <c r="AG69" s="60">
        <v>123</v>
      </c>
      <c r="AW69" s="60">
        <v>78.5</v>
      </c>
      <c r="AX69" s="60">
        <v>-0.38329999999999997</v>
      </c>
      <c r="AY69" s="60">
        <v>9.9303000000000008</v>
      </c>
      <c r="AZ69" s="60">
        <v>8.9499999999999996E-2</v>
      </c>
      <c r="BA69" s="60">
        <v>8.4</v>
      </c>
      <c r="BB69" s="60">
        <v>9.1</v>
      </c>
      <c r="BC69" s="60">
        <v>9.9</v>
      </c>
      <c r="BD69" s="60">
        <v>10.9</v>
      </c>
      <c r="BE69" s="60">
        <v>12</v>
      </c>
      <c r="BG69" s="60">
        <v>78.5</v>
      </c>
      <c r="BH69" s="60">
        <v>-0.35210000000000002</v>
      </c>
      <c r="BI69" s="60">
        <v>10.174099999999999</v>
      </c>
      <c r="BJ69" s="60">
        <v>8.3180000000000004E-2</v>
      </c>
      <c r="BK69" s="60">
        <v>8.6999999999999993</v>
      </c>
      <c r="BL69" s="60">
        <v>9.4</v>
      </c>
      <c r="BM69" s="60">
        <v>10.199999999999999</v>
      </c>
      <c r="BN69" s="60">
        <v>11.1</v>
      </c>
      <c r="BO69" s="60">
        <v>12.1</v>
      </c>
    </row>
    <row r="70" spans="1:67">
      <c r="A70" s="60">
        <v>129</v>
      </c>
      <c r="B70" s="60">
        <v>-1.4708000000000001</v>
      </c>
      <c r="C70" s="60">
        <v>17.075700000000001</v>
      </c>
      <c r="D70" s="60">
        <v>0.12642999999999999</v>
      </c>
      <c r="F70" s="60">
        <v>129</v>
      </c>
      <c r="G70" s="60">
        <v>-1.7804</v>
      </c>
      <c r="H70" s="60">
        <v>16.805900000000001</v>
      </c>
      <c r="I70" s="60">
        <v>0.10947999999999999</v>
      </c>
      <c r="U70" s="60">
        <v>68</v>
      </c>
      <c r="V70" s="60">
        <v>103.2</v>
      </c>
      <c r="W70" s="60">
        <v>108.2</v>
      </c>
      <c r="X70" s="60">
        <v>113.2</v>
      </c>
      <c r="Y70" s="60">
        <v>118.2</v>
      </c>
      <c r="Z70" s="60">
        <v>123.2</v>
      </c>
      <c r="AB70" s="60">
        <v>68</v>
      </c>
      <c r="AC70" s="60">
        <v>104.3</v>
      </c>
      <c r="AD70" s="60">
        <v>109.1</v>
      </c>
      <c r="AE70" s="60">
        <v>113.9</v>
      </c>
      <c r="AF70" s="60">
        <v>118.7</v>
      </c>
      <c r="AG70" s="60">
        <v>123.6</v>
      </c>
      <c r="AW70" s="60">
        <v>79</v>
      </c>
      <c r="AX70" s="60">
        <v>-0.38329999999999997</v>
      </c>
      <c r="AY70" s="60">
        <v>10.0289</v>
      </c>
      <c r="AZ70" s="60">
        <v>8.9429999999999996E-2</v>
      </c>
      <c r="BA70" s="60">
        <v>8.4</v>
      </c>
      <c r="BB70" s="60">
        <v>9.1999999999999993</v>
      </c>
      <c r="BC70" s="60">
        <v>10</v>
      </c>
      <c r="BD70" s="60">
        <v>11</v>
      </c>
      <c r="BE70" s="60">
        <v>12.1</v>
      </c>
      <c r="BG70" s="60">
        <v>79</v>
      </c>
      <c r="BH70" s="60">
        <v>-0.35210000000000002</v>
      </c>
      <c r="BI70" s="60">
        <v>10.264900000000001</v>
      </c>
      <c r="BJ70" s="60">
        <v>8.3159999999999998E-2</v>
      </c>
      <c r="BK70" s="60">
        <v>8.6999999999999993</v>
      </c>
      <c r="BL70" s="60">
        <v>9.5</v>
      </c>
      <c r="BM70" s="60">
        <v>10.3</v>
      </c>
      <c r="BN70" s="60">
        <v>11.2</v>
      </c>
      <c r="BO70" s="60">
        <v>12.2</v>
      </c>
    </row>
    <row r="71" spans="1:67">
      <c r="A71" s="60">
        <v>130</v>
      </c>
      <c r="B71" s="60">
        <v>-1.4677</v>
      </c>
      <c r="C71" s="60">
        <v>17.131599999999999</v>
      </c>
      <c r="D71" s="60">
        <v>0.12678</v>
      </c>
      <c r="F71" s="60">
        <v>130</v>
      </c>
      <c r="G71" s="60">
        <v>-1.7827999999999999</v>
      </c>
      <c r="H71" s="60">
        <v>16.849699999999999</v>
      </c>
      <c r="I71" s="60">
        <v>0.10989</v>
      </c>
      <c r="U71" s="60">
        <v>69</v>
      </c>
      <c r="V71" s="60">
        <v>103.6</v>
      </c>
      <c r="W71" s="60">
        <v>108.6</v>
      </c>
      <c r="X71" s="60">
        <v>113.7</v>
      </c>
      <c r="Y71" s="60">
        <v>118.7</v>
      </c>
      <c r="Z71" s="60">
        <v>123.7</v>
      </c>
      <c r="AB71" s="60">
        <v>69</v>
      </c>
      <c r="AC71" s="60">
        <v>104.8</v>
      </c>
      <c r="AD71" s="60">
        <v>109.6</v>
      </c>
      <c r="AE71" s="60">
        <v>114.5</v>
      </c>
      <c r="AF71" s="60">
        <v>119.3</v>
      </c>
      <c r="AG71" s="60">
        <v>124.1</v>
      </c>
      <c r="AW71" s="60">
        <v>79.5</v>
      </c>
      <c r="AX71" s="60">
        <v>-0.38329999999999997</v>
      </c>
      <c r="AY71" s="60">
        <v>10.129799999999999</v>
      </c>
      <c r="AZ71" s="60">
        <v>8.9370000000000005E-2</v>
      </c>
      <c r="BA71" s="60">
        <v>8.5</v>
      </c>
      <c r="BB71" s="60">
        <v>9.3000000000000007</v>
      </c>
      <c r="BC71" s="60">
        <v>10.1</v>
      </c>
      <c r="BD71" s="60">
        <v>11.1</v>
      </c>
      <c r="BE71" s="60">
        <v>12.2</v>
      </c>
      <c r="BG71" s="60">
        <v>79.5</v>
      </c>
      <c r="BH71" s="60">
        <v>-0.35210000000000002</v>
      </c>
      <c r="BI71" s="60">
        <v>10.3558</v>
      </c>
      <c r="BJ71" s="60">
        <v>8.3129999999999996E-2</v>
      </c>
      <c r="BK71" s="60">
        <v>8.8000000000000007</v>
      </c>
      <c r="BL71" s="60">
        <v>9.5</v>
      </c>
      <c r="BM71" s="60">
        <v>10.4</v>
      </c>
      <c r="BN71" s="60">
        <v>11.3</v>
      </c>
      <c r="BO71" s="60">
        <v>12.3</v>
      </c>
    </row>
    <row r="72" spans="1:67">
      <c r="A72" s="60">
        <v>131</v>
      </c>
      <c r="B72" s="60">
        <v>-1.4641999999999999</v>
      </c>
      <c r="C72" s="60">
        <v>17.188300000000002</v>
      </c>
      <c r="D72" s="60">
        <v>0.12712999999999999</v>
      </c>
      <c r="F72" s="60">
        <v>131</v>
      </c>
      <c r="G72" s="60">
        <v>-1.7847</v>
      </c>
      <c r="H72" s="60">
        <v>16.894100000000002</v>
      </c>
      <c r="I72" s="60">
        <v>0.1103</v>
      </c>
      <c r="U72" s="60">
        <v>70</v>
      </c>
      <c r="V72" s="60">
        <v>104</v>
      </c>
      <c r="W72" s="60">
        <v>109.1</v>
      </c>
      <c r="X72" s="60">
        <v>114.2</v>
      </c>
      <c r="Y72" s="60">
        <v>119.2</v>
      </c>
      <c r="Z72" s="60">
        <v>124.3</v>
      </c>
      <c r="AB72" s="60">
        <v>70</v>
      </c>
      <c r="AC72" s="60">
        <v>105.2</v>
      </c>
      <c r="AD72" s="60">
        <v>110.1</v>
      </c>
      <c r="AE72" s="60">
        <v>115</v>
      </c>
      <c r="AF72" s="60">
        <v>119.8</v>
      </c>
      <c r="AG72" s="60">
        <v>124.7</v>
      </c>
      <c r="AW72" s="60">
        <v>80</v>
      </c>
      <c r="AX72" s="60">
        <v>-0.38329999999999997</v>
      </c>
      <c r="AY72" s="60">
        <v>10.2332</v>
      </c>
      <c r="AZ72" s="60">
        <v>8.9319999999999997E-2</v>
      </c>
      <c r="BA72" s="60">
        <v>8.6</v>
      </c>
      <c r="BB72" s="60">
        <v>9.4</v>
      </c>
      <c r="BC72" s="60">
        <v>10.199999999999999</v>
      </c>
      <c r="BD72" s="60">
        <v>11.2</v>
      </c>
      <c r="BE72" s="60">
        <v>12.3</v>
      </c>
      <c r="BG72" s="60">
        <v>80</v>
      </c>
      <c r="BH72" s="60">
        <v>-0.35210000000000002</v>
      </c>
      <c r="BI72" s="60">
        <v>10.4475</v>
      </c>
      <c r="BJ72" s="60">
        <v>8.3080000000000001E-2</v>
      </c>
      <c r="BK72" s="60">
        <v>8.9</v>
      </c>
      <c r="BL72" s="60">
        <v>9.6</v>
      </c>
      <c r="BM72" s="60">
        <v>10.4</v>
      </c>
      <c r="BN72" s="60">
        <v>11.4</v>
      </c>
      <c r="BO72" s="60">
        <v>12.4</v>
      </c>
    </row>
    <row r="73" spans="1:67">
      <c r="A73" s="60">
        <v>132</v>
      </c>
      <c r="B73" s="60">
        <v>-1.4605999999999999</v>
      </c>
      <c r="C73" s="60">
        <v>17.245899999999999</v>
      </c>
      <c r="D73" s="60">
        <v>0.12748000000000001</v>
      </c>
      <c r="F73" s="60">
        <v>132</v>
      </c>
      <c r="G73" s="60">
        <v>-1.7862</v>
      </c>
      <c r="H73" s="60">
        <v>16.9392</v>
      </c>
      <c r="I73" s="60">
        <v>0.11070000000000001</v>
      </c>
      <c r="U73" s="60">
        <v>71</v>
      </c>
      <c r="V73" s="60">
        <v>104.5</v>
      </c>
      <c r="W73" s="60">
        <v>109.6</v>
      </c>
      <c r="X73" s="60">
        <v>114.6</v>
      </c>
      <c r="Y73" s="60">
        <v>119.7</v>
      </c>
      <c r="Z73" s="60">
        <v>124.8</v>
      </c>
      <c r="AB73" s="60">
        <v>71</v>
      </c>
      <c r="AC73" s="60">
        <v>105.7</v>
      </c>
      <c r="AD73" s="60">
        <v>110.6</v>
      </c>
      <c r="AE73" s="60">
        <v>115.5</v>
      </c>
      <c r="AF73" s="60">
        <v>120.4</v>
      </c>
      <c r="AG73" s="60">
        <v>125.2</v>
      </c>
      <c r="AW73" s="60">
        <v>80.5</v>
      </c>
      <c r="AX73" s="60">
        <v>-0.38329999999999997</v>
      </c>
      <c r="AY73" s="60">
        <v>10.3393</v>
      </c>
      <c r="AZ73" s="60">
        <v>8.9260000000000006E-2</v>
      </c>
      <c r="BA73" s="60">
        <v>8.6999999999999993</v>
      </c>
      <c r="BB73" s="60">
        <v>9.5</v>
      </c>
      <c r="BC73" s="60">
        <v>10.3</v>
      </c>
      <c r="BD73" s="60">
        <v>11.3</v>
      </c>
      <c r="BE73" s="60">
        <v>12.4</v>
      </c>
      <c r="BG73" s="60">
        <v>80.5</v>
      </c>
      <c r="BH73" s="60">
        <v>-0.35210000000000002</v>
      </c>
      <c r="BI73" s="60">
        <v>10.5405</v>
      </c>
      <c r="BJ73" s="60">
        <v>8.301E-2</v>
      </c>
      <c r="BK73" s="60">
        <v>9</v>
      </c>
      <c r="BL73" s="60">
        <v>9.6999999999999993</v>
      </c>
      <c r="BM73" s="60">
        <v>10.5</v>
      </c>
      <c r="BN73" s="60">
        <v>11.5</v>
      </c>
      <c r="BO73" s="60">
        <v>12.5</v>
      </c>
    </row>
    <row r="74" spans="1:67">
      <c r="A74" s="60">
        <v>133</v>
      </c>
      <c r="B74" s="60">
        <v>-1.4567000000000001</v>
      </c>
      <c r="C74" s="60">
        <v>17.304400000000001</v>
      </c>
      <c r="D74" s="60">
        <v>0.12781999999999999</v>
      </c>
      <c r="F74" s="60">
        <v>133</v>
      </c>
      <c r="G74" s="60">
        <v>-1.7873000000000001</v>
      </c>
      <c r="H74" s="60">
        <v>16.984999999999999</v>
      </c>
      <c r="I74" s="60">
        <v>0.1111</v>
      </c>
      <c r="U74" s="60">
        <v>72</v>
      </c>
      <c r="V74" s="60">
        <v>104.9</v>
      </c>
      <c r="W74" s="60">
        <v>110</v>
      </c>
      <c r="X74" s="60">
        <v>115.1</v>
      </c>
      <c r="Y74" s="60">
        <v>120.2</v>
      </c>
      <c r="Z74" s="60">
        <v>125.4</v>
      </c>
      <c r="AB74" s="60">
        <v>72</v>
      </c>
      <c r="AC74" s="60">
        <v>106.1</v>
      </c>
      <c r="AD74" s="60">
        <v>111</v>
      </c>
      <c r="AE74" s="60">
        <v>116</v>
      </c>
      <c r="AF74" s="60">
        <v>120.9</v>
      </c>
      <c r="AG74" s="60">
        <v>125.8</v>
      </c>
      <c r="AW74" s="60">
        <v>81</v>
      </c>
      <c r="AX74" s="60">
        <v>-0.38329999999999997</v>
      </c>
      <c r="AY74" s="60">
        <v>10.447699999999999</v>
      </c>
      <c r="AZ74" s="60">
        <v>8.9209999999999998E-2</v>
      </c>
      <c r="BA74" s="60">
        <v>8.8000000000000007</v>
      </c>
      <c r="BB74" s="60">
        <v>9.6</v>
      </c>
      <c r="BC74" s="60">
        <v>10.4</v>
      </c>
      <c r="BD74" s="60">
        <v>11.4</v>
      </c>
      <c r="BE74" s="60">
        <v>12.6</v>
      </c>
      <c r="BG74" s="60">
        <v>81</v>
      </c>
      <c r="BH74" s="60">
        <v>-0.35210000000000002</v>
      </c>
      <c r="BI74" s="60">
        <v>10.635199999999999</v>
      </c>
      <c r="BJ74" s="60">
        <v>8.2930000000000004E-2</v>
      </c>
      <c r="BK74" s="60">
        <v>9.1</v>
      </c>
      <c r="BL74" s="60">
        <v>9.8000000000000007</v>
      </c>
      <c r="BM74" s="60">
        <v>10.6</v>
      </c>
      <c r="BN74" s="60">
        <v>11.6</v>
      </c>
      <c r="BO74" s="60">
        <v>12.6</v>
      </c>
    </row>
    <row r="75" spans="1:67">
      <c r="A75" s="60">
        <v>134</v>
      </c>
      <c r="B75" s="60">
        <v>-1.4525999999999999</v>
      </c>
      <c r="C75" s="60">
        <v>17.363700000000001</v>
      </c>
      <c r="D75" s="60">
        <v>0.12816</v>
      </c>
      <c r="F75" s="60">
        <v>134</v>
      </c>
      <c r="G75" s="60">
        <v>-1.7881</v>
      </c>
      <c r="H75" s="60">
        <v>17.031400000000001</v>
      </c>
      <c r="I75" s="60">
        <v>0.1115</v>
      </c>
      <c r="U75" s="60">
        <v>73</v>
      </c>
      <c r="V75" s="60">
        <v>105.3</v>
      </c>
      <c r="W75" s="60">
        <v>110.5</v>
      </c>
      <c r="X75" s="60">
        <v>115.6</v>
      </c>
      <c r="Y75" s="60">
        <v>120.8</v>
      </c>
      <c r="Z75" s="60">
        <v>125.9</v>
      </c>
      <c r="AB75" s="60">
        <v>73</v>
      </c>
      <c r="AC75" s="60">
        <v>106.5</v>
      </c>
      <c r="AD75" s="60">
        <v>111.5</v>
      </c>
      <c r="AE75" s="60">
        <v>116.4</v>
      </c>
      <c r="AF75" s="60">
        <v>121.4</v>
      </c>
      <c r="AG75" s="60">
        <v>126.4</v>
      </c>
      <c r="AW75" s="60">
        <v>81.5</v>
      </c>
      <c r="AX75" s="60">
        <v>-0.38329999999999997</v>
      </c>
      <c r="AY75" s="60">
        <v>10.5586</v>
      </c>
      <c r="AZ75" s="60">
        <v>8.9160000000000003E-2</v>
      </c>
      <c r="BA75" s="60">
        <v>8.9</v>
      </c>
      <c r="BB75" s="60">
        <v>9.6999999999999993</v>
      </c>
      <c r="BC75" s="60">
        <v>10.6</v>
      </c>
      <c r="BD75" s="60">
        <v>11.6</v>
      </c>
      <c r="BE75" s="60">
        <v>12.7</v>
      </c>
      <c r="BG75" s="60">
        <v>81.5</v>
      </c>
      <c r="BH75" s="60">
        <v>-0.35210000000000002</v>
      </c>
      <c r="BI75" s="60">
        <v>10.732200000000001</v>
      </c>
      <c r="BJ75" s="60">
        <v>8.2839999999999997E-2</v>
      </c>
      <c r="BK75" s="60">
        <v>9.1</v>
      </c>
      <c r="BL75" s="60">
        <v>9.9</v>
      </c>
      <c r="BM75" s="60">
        <v>10.7</v>
      </c>
      <c r="BN75" s="60">
        <v>11.7</v>
      </c>
      <c r="BO75" s="60">
        <v>12.7</v>
      </c>
    </row>
    <row r="76" spans="1:67">
      <c r="A76" s="60">
        <v>135</v>
      </c>
      <c r="B76" s="60">
        <v>-1.4481999999999999</v>
      </c>
      <c r="C76" s="60">
        <v>17.4238</v>
      </c>
      <c r="D76" s="60">
        <v>0.12848999999999999</v>
      </c>
      <c r="F76" s="60">
        <v>135</v>
      </c>
      <c r="G76" s="60">
        <v>-1.7884</v>
      </c>
      <c r="H76" s="60">
        <v>17.078399999999998</v>
      </c>
      <c r="I76" s="60">
        <v>0.11189</v>
      </c>
      <c r="U76" s="60">
        <v>74</v>
      </c>
      <c r="V76" s="60">
        <v>105.7</v>
      </c>
      <c r="W76" s="60">
        <v>110.9</v>
      </c>
      <c r="X76" s="60">
        <v>116.1</v>
      </c>
      <c r="Y76" s="60">
        <v>121.3</v>
      </c>
      <c r="Z76" s="60">
        <v>126.4</v>
      </c>
      <c r="AB76" s="60">
        <v>74</v>
      </c>
      <c r="AC76" s="60">
        <v>107</v>
      </c>
      <c r="AD76" s="60">
        <v>111.9</v>
      </c>
      <c r="AE76" s="60">
        <v>116.9</v>
      </c>
      <c r="AF76" s="60">
        <v>121.9</v>
      </c>
      <c r="AG76" s="60">
        <v>126.9</v>
      </c>
      <c r="AW76" s="60">
        <v>82</v>
      </c>
      <c r="AX76" s="60">
        <v>-0.38329999999999997</v>
      </c>
      <c r="AY76" s="60">
        <v>10.671900000000001</v>
      </c>
      <c r="AZ76" s="60">
        <v>8.9120000000000005E-2</v>
      </c>
      <c r="BA76" s="60">
        <v>9</v>
      </c>
      <c r="BB76" s="60">
        <v>9.8000000000000007</v>
      </c>
      <c r="BC76" s="60">
        <v>10.7</v>
      </c>
      <c r="BD76" s="60">
        <v>11.7</v>
      </c>
      <c r="BE76" s="60">
        <v>12.8</v>
      </c>
      <c r="BG76" s="60">
        <v>82</v>
      </c>
      <c r="BH76" s="60">
        <v>-0.35210000000000002</v>
      </c>
      <c r="BI76" s="60">
        <v>10.832100000000001</v>
      </c>
      <c r="BJ76" s="60">
        <v>8.2729999999999998E-2</v>
      </c>
      <c r="BK76" s="60">
        <v>9.1999999999999993</v>
      </c>
      <c r="BL76" s="60">
        <v>10</v>
      </c>
      <c r="BM76" s="60">
        <v>10.8</v>
      </c>
      <c r="BN76" s="60">
        <v>11.8</v>
      </c>
      <c r="BO76" s="60">
        <v>12.8</v>
      </c>
    </row>
    <row r="77" spans="1:67">
      <c r="A77" s="60">
        <v>136</v>
      </c>
      <c r="B77" s="60">
        <v>-1.4436</v>
      </c>
      <c r="C77" s="60">
        <v>17.4847</v>
      </c>
      <c r="D77" s="60">
        <v>0.12881999999999999</v>
      </c>
      <c r="F77" s="60">
        <v>136</v>
      </c>
      <c r="G77" s="60">
        <v>-1.7884</v>
      </c>
      <c r="H77" s="60">
        <v>17.126200000000001</v>
      </c>
      <c r="I77" s="60">
        <v>0.11228</v>
      </c>
      <c r="U77" s="60">
        <v>75</v>
      </c>
      <c r="V77" s="60">
        <v>106.1</v>
      </c>
      <c r="W77" s="60">
        <v>111.3</v>
      </c>
      <c r="X77" s="60">
        <v>116.6</v>
      </c>
      <c r="Y77" s="60">
        <v>121.8</v>
      </c>
      <c r="Z77" s="60">
        <v>127</v>
      </c>
      <c r="AB77" s="60">
        <v>75</v>
      </c>
      <c r="AC77" s="60">
        <v>107.4</v>
      </c>
      <c r="AD77" s="60">
        <v>112.4</v>
      </c>
      <c r="AE77" s="60">
        <v>117.4</v>
      </c>
      <c r="AF77" s="60">
        <v>122.4</v>
      </c>
      <c r="AG77" s="60">
        <v>127.5</v>
      </c>
      <c r="AW77" s="60">
        <v>82.5</v>
      </c>
      <c r="AX77" s="60">
        <v>-0.38329999999999997</v>
      </c>
      <c r="AY77" s="60">
        <v>10.7874</v>
      </c>
      <c r="AZ77" s="60">
        <v>8.9080000000000006E-2</v>
      </c>
      <c r="BA77" s="60">
        <v>9.1</v>
      </c>
      <c r="BB77" s="60">
        <v>9.9</v>
      </c>
      <c r="BC77" s="60">
        <v>10.8</v>
      </c>
      <c r="BD77" s="60">
        <v>11.8</v>
      </c>
      <c r="BE77" s="60">
        <v>13</v>
      </c>
      <c r="BG77" s="61">
        <v>82.5</v>
      </c>
      <c r="BH77" s="61">
        <v>-0.35210000000000002</v>
      </c>
      <c r="BI77" s="61">
        <v>10.935</v>
      </c>
      <c r="BJ77" s="61">
        <v>8.2600000000000007E-2</v>
      </c>
      <c r="BK77" s="61">
        <v>9.3000000000000007</v>
      </c>
      <c r="BL77" s="61">
        <v>10.1</v>
      </c>
      <c r="BM77" s="61">
        <v>10.9</v>
      </c>
      <c r="BN77" s="61">
        <v>11.9</v>
      </c>
      <c r="BO77" s="61">
        <v>13</v>
      </c>
    </row>
    <row r="78" spans="1:67">
      <c r="A78" s="60">
        <v>137</v>
      </c>
      <c r="B78" s="60">
        <v>-1.4389000000000001</v>
      </c>
      <c r="C78" s="60">
        <v>17.546399999999998</v>
      </c>
      <c r="D78" s="60">
        <v>0.12914</v>
      </c>
      <c r="F78" s="60">
        <v>137</v>
      </c>
      <c r="G78" s="60">
        <v>-1.788</v>
      </c>
      <c r="H78" s="60">
        <v>17.174600000000002</v>
      </c>
      <c r="I78" s="60">
        <v>0.11266</v>
      </c>
      <c r="U78" s="60">
        <v>76</v>
      </c>
      <c r="V78" s="60">
        <v>106.6</v>
      </c>
      <c r="W78" s="60">
        <v>111.8</v>
      </c>
      <c r="X78" s="60">
        <v>117</v>
      </c>
      <c r="Y78" s="60">
        <v>122.3</v>
      </c>
      <c r="Z78" s="60">
        <v>127.5</v>
      </c>
      <c r="AB78" s="60">
        <v>76</v>
      </c>
      <c r="AC78" s="60">
        <v>107.8</v>
      </c>
      <c r="AD78" s="60">
        <v>112.9</v>
      </c>
      <c r="AE78" s="60">
        <v>117.9</v>
      </c>
      <c r="AF78" s="60">
        <v>123</v>
      </c>
      <c r="AG78" s="60">
        <v>128</v>
      </c>
      <c r="AW78" s="60">
        <v>83</v>
      </c>
      <c r="AX78" s="60">
        <v>-0.38329999999999997</v>
      </c>
      <c r="AY78" s="60">
        <v>10.905099999999999</v>
      </c>
      <c r="AZ78" s="60">
        <v>8.9050000000000004E-2</v>
      </c>
      <c r="BA78" s="60">
        <v>9.1999999999999993</v>
      </c>
      <c r="BB78" s="60">
        <v>10</v>
      </c>
      <c r="BC78" s="60">
        <v>10.9</v>
      </c>
      <c r="BD78" s="60">
        <v>11.9</v>
      </c>
      <c r="BE78" s="60">
        <v>13.1</v>
      </c>
      <c r="BG78" s="60">
        <v>83</v>
      </c>
      <c r="BH78" s="60">
        <v>-0.35210000000000002</v>
      </c>
      <c r="BI78" s="60">
        <v>11.1966</v>
      </c>
      <c r="BJ78" s="60">
        <v>8.2250000000000004E-2</v>
      </c>
      <c r="BK78" s="60">
        <v>9.5</v>
      </c>
      <c r="BL78" s="60">
        <v>10.3</v>
      </c>
      <c r="BM78" s="60">
        <v>11.2</v>
      </c>
      <c r="BN78" s="60">
        <v>12.2</v>
      </c>
      <c r="BO78" s="60">
        <v>13.3</v>
      </c>
    </row>
    <row r="79" spans="1:67">
      <c r="A79" s="60">
        <v>138</v>
      </c>
      <c r="B79" s="60">
        <v>-1.4339</v>
      </c>
      <c r="C79" s="60">
        <v>17.608799999999999</v>
      </c>
      <c r="D79" s="60">
        <v>0.12945999999999999</v>
      </c>
      <c r="F79" s="60">
        <v>138</v>
      </c>
      <c r="G79" s="60">
        <v>-1.7873000000000001</v>
      </c>
      <c r="H79" s="60">
        <v>17.223600000000001</v>
      </c>
      <c r="I79" s="60">
        <v>0.11304</v>
      </c>
      <c r="U79" s="60">
        <v>77</v>
      </c>
      <c r="V79" s="60">
        <v>107</v>
      </c>
      <c r="W79" s="60">
        <v>112.2</v>
      </c>
      <c r="X79" s="60">
        <v>117.5</v>
      </c>
      <c r="Y79" s="60">
        <v>122.8</v>
      </c>
      <c r="Z79" s="60">
        <v>128</v>
      </c>
      <c r="AB79" s="60">
        <v>77</v>
      </c>
      <c r="AC79" s="60">
        <v>108.2</v>
      </c>
      <c r="AD79" s="60">
        <v>113.3</v>
      </c>
      <c r="AE79" s="60">
        <v>118.4</v>
      </c>
      <c r="AF79" s="60">
        <v>123.5</v>
      </c>
      <c r="AG79" s="60">
        <v>128.5</v>
      </c>
      <c r="AW79" s="60">
        <v>83.5</v>
      </c>
      <c r="AX79" s="60">
        <v>-0.38329999999999997</v>
      </c>
      <c r="AY79" s="60">
        <v>11.024800000000001</v>
      </c>
      <c r="AZ79" s="60">
        <v>8.9020000000000002E-2</v>
      </c>
      <c r="BA79" s="60">
        <v>9.3000000000000007</v>
      </c>
      <c r="BB79" s="60">
        <v>10.1</v>
      </c>
      <c r="BC79" s="60">
        <v>11</v>
      </c>
      <c r="BD79" s="60">
        <v>12.1</v>
      </c>
      <c r="BE79" s="60">
        <v>13.3</v>
      </c>
      <c r="BG79" s="60">
        <v>83.5</v>
      </c>
      <c r="BH79" s="60">
        <v>-0.35210000000000002</v>
      </c>
      <c r="BI79" s="60">
        <v>11.311400000000001</v>
      </c>
      <c r="BJ79" s="60">
        <v>8.2089999999999996E-2</v>
      </c>
      <c r="BK79" s="60">
        <v>9.6</v>
      </c>
      <c r="BL79" s="60">
        <v>10.4</v>
      </c>
      <c r="BM79" s="60">
        <v>11.3</v>
      </c>
      <c r="BN79" s="60">
        <v>12.3</v>
      </c>
      <c r="BO79" s="60">
        <v>13.4</v>
      </c>
    </row>
    <row r="80" spans="1:67">
      <c r="A80" s="60">
        <v>139</v>
      </c>
      <c r="B80" s="60">
        <v>-1.4288000000000001</v>
      </c>
      <c r="C80" s="60">
        <v>17.671900000000001</v>
      </c>
      <c r="D80" s="60">
        <v>0.12978000000000001</v>
      </c>
      <c r="F80" s="60">
        <v>139</v>
      </c>
      <c r="G80" s="60">
        <v>-1.7861</v>
      </c>
      <c r="H80" s="60">
        <v>17.273399999999999</v>
      </c>
      <c r="I80" s="60">
        <v>0.11342000000000001</v>
      </c>
      <c r="U80" s="60">
        <v>78</v>
      </c>
      <c r="V80" s="60">
        <v>107.4</v>
      </c>
      <c r="W80" s="60">
        <v>112.7</v>
      </c>
      <c r="X80" s="60">
        <v>118</v>
      </c>
      <c r="Y80" s="60">
        <v>123.3</v>
      </c>
      <c r="Z80" s="60">
        <v>128.6</v>
      </c>
      <c r="AB80" s="60">
        <v>78</v>
      </c>
      <c r="AC80" s="60">
        <v>108.7</v>
      </c>
      <c r="AD80" s="60">
        <v>113.8</v>
      </c>
      <c r="AE80" s="60">
        <v>118.9</v>
      </c>
      <c r="AF80" s="60">
        <v>124</v>
      </c>
      <c r="AG80" s="60">
        <v>129.1</v>
      </c>
      <c r="AW80" s="60">
        <v>84</v>
      </c>
      <c r="AX80" s="60">
        <v>-0.38329999999999997</v>
      </c>
      <c r="AY80" s="60">
        <v>11.1462</v>
      </c>
      <c r="AZ80" s="60">
        <v>8.899E-2</v>
      </c>
      <c r="BA80" s="60">
        <v>9.4</v>
      </c>
      <c r="BB80" s="60">
        <v>10.199999999999999</v>
      </c>
      <c r="BC80" s="60">
        <v>11.1</v>
      </c>
      <c r="BD80" s="60">
        <v>12.2</v>
      </c>
      <c r="BE80" s="60">
        <v>13.4</v>
      </c>
      <c r="BG80" s="60">
        <v>84</v>
      </c>
      <c r="BH80" s="60">
        <v>-0.35210000000000002</v>
      </c>
      <c r="BI80" s="60">
        <v>11.429</v>
      </c>
      <c r="BJ80" s="60">
        <v>8.1909999999999997E-2</v>
      </c>
      <c r="BK80" s="60">
        <v>9.6999999999999993</v>
      </c>
      <c r="BL80" s="60">
        <v>10.5</v>
      </c>
      <c r="BM80" s="60">
        <v>11.4</v>
      </c>
      <c r="BN80" s="60">
        <v>12.4</v>
      </c>
      <c r="BO80" s="60">
        <v>13.5</v>
      </c>
    </row>
    <row r="81" spans="1:67">
      <c r="A81" s="60">
        <v>140</v>
      </c>
      <c r="B81" s="60">
        <v>-1.4235</v>
      </c>
      <c r="C81" s="60">
        <v>17.735700000000001</v>
      </c>
      <c r="D81" s="60">
        <v>0.13009000000000001</v>
      </c>
      <c r="F81" s="60">
        <v>140</v>
      </c>
      <c r="G81" s="60">
        <v>-1.7846</v>
      </c>
      <c r="H81" s="60">
        <v>17.324000000000002</v>
      </c>
      <c r="I81" s="60">
        <v>0.11379</v>
      </c>
      <c r="U81" s="60">
        <v>79</v>
      </c>
      <c r="V81" s="60">
        <v>107.8</v>
      </c>
      <c r="W81" s="60">
        <v>113.1</v>
      </c>
      <c r="X81" s="60">
        <v>118.4</v>
      </c>
      <c r="Y81" s="60">
        <v>123.8</v>
      </c>
      <c r="Z81" s="60">
        <v>129.1</v>
      </c>
      <c r="AB81" s="60">
        <v>79</v>
      </c>
      <c r="AC81" s="60">
        <v>109.1</v>
      </c>
      <c r="AD81" s="60">
        <v>114.2</v>
      </c>
      <c r="AE81" s="60">
        <v>119.4</v>
      </c>
      <c r="AF81" s="60">
        <v>124.5</v>
      </c>
      <c r="AG81" s="60">
        <v>129.6</v>
      </c>
      <c r="AW81" s="60">
        <v>84.5</v>
      </c>
      <c r="AX81" s="60">
        <v>-0.38329999999999997</v>
      </c>
      <c r="AY81" s="60">
        <v>11.2691</v>
      </c>
      <c r="AZ81" s="60">
        <v>8.8969999999999994E-2</v>
      </c>
      <c r="BA81" s="60">
        <v>9.5</v>
      </c>
      <c r="BB81" s="60">
        <v>10.3</v>
      </c>
      <c r="BC81" s="60">
        <v>11.3</v>
      </c>
      <c r="BD81" s="60">
        <v>12.3</v>
      </c>
      <c r="BE81" s="60">
        <v>13.5</v>
      </c>
      <c r="BG81" s="60">
        <v>84.5</v>
      </c>
      <c r="BH81" s="60">
        <v>-0.35210000000000002</v>
      </c>
      <c r="BI81" s="60">
        <v>11.548999999999999</v>
      </c>
      <c r="BJ81" s="60">
        <v>8.1739999999999993E-2</v>
      </c>
      <c r="BK81" s="60">
        <v>9.9</v>
      </c>
      <c r="BL81" s="60">
        <v>10.7</v>
      </c>
      <c r="BM81" s="60">
        <v>11.5</v>
      </c>
      <c r="BN81" s="60">
        <v>12.5</v>
      </c>
      <c r="BO81" s="60">
        <v>13.7</v>
      </c>
    </row>
    <row r="82" spans="1:67">
      <c r="A82" s="60">
        <v>141</v>
      </c>
      <c r="B82" s="60">
        <v>-1.4179999999999999</v>
      </c>
      <c r="C82" s="60">
        <v>17.8001</v>
      </c>
      <c r="D82" s="60">
        <v>0.13039999999999999</v>
      </c>
      <c r="F82" s="60">
        <v>141</v>
      </c>
      <c r="G82" s="60">
        <v>-1.7827999999999999</v>
      </c>
      <c r="H82" s="60">
        <v>17.3752</v>
      </c>
      <c r="I82" s="60">
        <v>0.11415</v>
      </c>
      <c r="U82" s="60">
        <v>80</v>
      </c>
      <c r="V82" s="60">
        <v>108.2</v>
      </c>
      <c r="W82" s="60">
        <v>113.6</v>
      </c>
      <c r="X82" s="60">
        <v>118.9</v>
      </c>
      <c r="Y82" s="60">
        <v>124.3</v>
      </c>
      <c r="Z82" s="60">
        <v>129.6</v>
      </c>
      <c r="AB82" s="60">
        <v>80</v>
      </c>
      <c r="AC82" s="60">
        <v>109.5</v>
      </c>
      <c r="AD82" s="60">
        <v>114.7</v>
      </c>
      <c r="AE82" s="60">
        <v>119.8</v>
      </c>
      <c r="AF82" s="60">
        <v>125</v>
      </c>
      <c r="AG82" s="60">
        <v>130.19999999999999</v>
      </c>
      <c r="AW82" s="60">
        <v>85</v>
      </c>
      <c r="AX82" s="60">
        <v>-0.38329999999999997</v>
      </c>
      <c r="AY82" s="60">
        <v>11.3934</v>
      </c>
      <c r="AZ82" s="60">
        <v>8.8959999999999997E-2</v>
      </c>
      <c r="BA82" s="60">
        <v>9.6</v>
      </c>
      <c r="BB82" s="60">
        <v>10.4</v>
      </c>
      <c r="BC82" s="60">
        <v>11.4</v>
      </c>
      <c r="BD82" s="60">
        <v>12.5</v>
      </c>
      <c r="BE82" s="60">
        <v>13.7</v>
      </c>
      <c r="BG82" s="60">
        <v>85</v>
      </c>
      <c r="BH82" s="60">
        <v>-0.35210000000000002</v>
      </c>
      <c r="BI82" s="60">
        <v>11.6707</v>
      </c>
      <c r="BJ82" s="60">
        <v>8.1559999999999994E-2</v>
      </c>
      <c r="BK82" s="60">
        <v>10</v>
      </c>
      <c r="BL82" s="60">
        <v>10.8</v>
      </c>
      <c r="BM82" s="60">
        <v>11.7</v>
      </c>
      <c r="BN82" s="60">
        <v>12.7</v>
      </c>
      <c r="BO82" s="60">
        <v>13.8</v>
      </c>
    </row>
    <row r="83" spans="1:67">
      <c r="A83" s="60">
        <v>142</v>
      </c>
      <c r="B83" s="60">
        <v>-1.4123000000000001</v>
      </c>
      <c r="C83" s="60">
        <v>17.865100000000002</v>
      </c>
      <c r="D83" s="60">
        <v>0.13070000000000001</v>
      </c>
      <c r="F83" s="60">
        <v>142</v>
      </c>
      <c r="G83" s="60">
        <v>-1.7806</v>
      </c>
      <c r="H83" s="60">
        <v>17.427199999999999</v>
      </c>
      <c r="I83" s="60">
        <v>0.11451</v>
      </c>
      <c r="U83" s="60">
        <v>81</v>
      </c>
      <c r="V83" s="60">
        <v>108.6</v>
      </c>
      <c r="W83" s="60">
        <v>114</v>
      </c>
      <c r="X83" s="60">
        <v>119.4</v>
      </c>
      <c r="Y83" s="60">
        <v>124.8</v>
      </c>
      <c r="Z83" s="60">
        <v>130.19999999999999</v>
      </c>
      <c r="AB83" s="60">
        <v>81</v>
      </c>
      <c r="AC83" s="60">
        <v>109.9</v>
      </c>
      <c r="AD83" s="60">
        <v>115.1</v>
      </c>
      <c r="AE83" s="60">
        <v>120.3</v>
      </c>
      <c r="AF83" s="60">
        <v>125.5</v>
      </c>
      <c r="AG83" s="60">
        <v>130.69999999999999</v>
      </c>
      <c r="AW83" s="60">
        <v>85.5</v>
      </c>
      <c r="AX83" s="60">
        <v>-0.38329999999999997</v>
      </c>
      <c r="AY83" s="60">
        <v>11.518599999999999</v>
      </c>
      <c r="AZ83" s="60">
        <v>8.8950000000000001E-2</v>
      </c>
      <c r="BA83" s="60">
        <v>9.6999999999999993</v>
      </c>
      <c r="BB83" s="60">
        <v>10.6</v>
      </c>
      <c r="BC83" s="60">
        <v>11.5</v>
      </c>
      <c r="BD83" s="60">
        <v>12.6</v>
      </c>
      <c r="BE83" s="60">
        <v>13.8</v>
      </c>
      <c r="BG83" s="60">
        <v>85.5</v>
      </c>
      <c r="BH83" s="60">
        <v>-0.35210000000000002</v>
      </c>
      <c r="BI83" s="60">
        <v>11.793699999999999</v>
      </c>
      <c r="BJ83" s="60">
        <v>8.1379999999999994E-2</v>
      </c>
      <c r="BK83" s="60">
        <v>10.1</v>
      </c>
      <c r="BL83" s="60">
        <v>10.9</v>
      </c>
      <c r="BM83" s="60">
        <v>11.8</v>
      </c>
      <c r="BN83" s="60">
        <v>12.8</v>
      </c>
      <c r="BO83" s="60">
        <v>13.9</v>
      </c>
    </row>
    <row r="84" spans="1:67">
      <c r="A84" s="60">
        <v>143</v>
      </c>
      <c r="B84" s="60">
        <v>-1.4065000000000001</v>
      </c>
      <c r="C84" s="60">
        <v>17.930599999999998</v>
      </c>
      <c r="D84" s="60">
        <v>0.13099</v>
      </c>
      <c r="F84" s="60">
        <v>143</v>
      </c>
      <c r="G84" s="60">
        <v>-1.778</v>
      </c>
      <c r="H84" s="60">
        <v>17.479900000000001</v>
      </c>
      <c r="I84" s="60">
        <v>0.11487</v>
      </c>
      <c r="U84" s="60">
        <v>82</v>
      </c>
      <c r="V84" s="60">
        <v>109</v>
      </c>
      <c r="W84" s="60">
        <v>114.5</v>
      </c>
      <c r="X84" s="60">
        <v>119.9</v>
      </c>
      <c r="Y84" s="60">
        <v>125.3</v>
      </c>
      <c r="Z84" s="60">
        <v>130.69999999999999</v>
      </c>
      <c r="AB84" s="60">
        <v>82</v>
      </c>
      <c r="AC84" s="60">
        <v>110.3</v>
      </c>
      <c r="AD84" s="60">
        <v>115.6</v>
      </c>
      <c r="AE84" s="60">
        <v>120.8</v>
      </c>
      <c r="AF84" s="60">
        <v>126</v>
      </c>
      <c r="AG84" s="60">
        <v>131.19999999999999</v>
      </c>
      <c r="AW84" s="60">
        <v>86</v>
      </c>
      <c r="AX84" s="60">
        <v>-0.38329999999999997</v>
      </c>
      <c r="AY84" s="60">
        <v>11.644399999999999</v>
      </c>
      <c r="AZ84" s="60">
        <v>8.8950000000000001E-2</v>
      </c>
      <c r="BA84" s="60">
        <v>9.8000000000000007</v>
      </c>
      <c r="BB84" s="60">
        <v>10.7</v>
      </c>
      <c r="BC84" s="60">
        <v>11.6</v>
      </c>
      <c r="BD84" s="60">
        <v>12.7</v>
      </c>
      <c r="BE84" s="60">
        <v>14</v>
      </c>
      <c r="BG84" s="60">
        <v>86</v>
      </c>
      <c r="BH84" s="60">
        <v>-0.35210000000000002</v>
      </c>
      <c r="BI84" s="60">
        <v>11.917299999999999</v>
      </c>
      <c r="BJ84" s="60">
        <v>8.1210000000000004E-2</v>
      </c>
      <c r="BK84" s="60">
        <v>10.199999999999999</v>
      </c>
      <c r="BL84" s="60">
        <v>11</v>
      </c>
      <c r="BM84" s="60">
        <v>11.9</v>
      </c>
      <c r="BN84" s="60">
        <v>12.9</v>
      </c>
      <c r="BO84" s="60">
        <v>14.1</v>
      </c>
    </row>
    <row r="85" spans="1:67">
      <c r="A85" s="60">
        <v>144</v>
      </c>
      <c r="B85" s="60">
        <v>-1.4006000000000001</v>
      </c>
      <c r="C85" s="60">
        <v>17.996600000000001</v>
      </c>
      <c r="D85" s="60">
        <v>0.13128999999999999</v>
      </c>
      <c r="F85" s="60">
        <v>144</v>
      </c>
      <c r="G85" s="60">
        <v>-1.7750999999999999</v>
      </c>
      <c r="H85" s="60">
        <v>17.5334</v>
      </c>
      <c r="I85" s="60">
        <v>0.11522</v>
      </c>
      <c r="U85" s="60">
        <v>83</v>
      </c>
      <c r="V85" s="60">
        <v>109.5</v>
      </c>
      <c r="W85" s="60">
        <v>114.9</v>
      </c>
      <c r="X85" s="60">
        <v>120.3</v>
      </c>
      <c r="Y85" s="60">
        <v>125.8</v>
      </c>
      <c r="Z85" s="60">
        <v>131.19999999999999</v>
      </c>
      <c r="AB85" s="60">
        <v>83</v>
      </c>
      <c r="AC85" s="60">
        <v>110.8</v>
      </c>
      <c r="AD85" s="60">
        <v>116</v>
      </c>
      <c r="AE85" s="60">
        <v>121.3</v>
      </c>
      <c r="AF85" s="60">
        <v>126.5</v>
      </c>
      <c r="AG85" s="60">
        <v>131.80000000000001</v>
      </c>
      <c r="AW85" s="60">
        <v>86.5</v>
      </c>
      <c r="AX85" s="60">
        <v>-0.38329999999999997</v>
      </c>
      <c r="AY85" s="60">
        <v>11.7705</v>
      </c>
      <c r="AZ85" s="60">
        <v>8.8950000000000001E-2</v>
      </c>
      <c r="BA85" s="60">
        <v>9.9</v>
      </c>
      <c r="BB85" s="60">
        <v>10.8</v>
      </c>
      <c r="BC85" s="60">
        <v>11.8</v>
      </c>
      <c r="BD85" s="60">
        <v>12.9</v>
      </c>
      <c r="BE85" s="60">
        <v>14.2</v>
      </c>
      <c r="BG85" s="60">
        <v>86.5</v>
      </c>
      <c r="BH85" s="60">
        <v>-0.35210000000000002</v>
      </c>
      <c r="BI85" s="60">
        <v>12.0411</v>
      </c>
      <c r="BJ85" s="60">
        <v>8.1049999999999997E-2</v>
      </c>
      <c r="BK85" s="60">
        <v>10.3</v>
      </c>
      <c r="BL85" s="60">
        <v>11.1</v>
      </c>
      <c r="BM85" s="60">
        <v>12</v>
      </c>
      <c r="BN85" s="60">
        <v>13.1</v>
      </c>
      <c r="BO85" s="60">
        <v>14.2</v>
      </c>
    </row>
    <row r="86" spans="1:67">
      <c r="A86" s="60">
        <v>145</v>
      </c>
      <c r="B86" s="60">
        <v>-1.3945000000000001</v>
      </c>
      <c r="C86" s="60">
        <v>18.062999999999999</v>
      </c>
      <c r="D86" s="60">
        <v>0.13158</v>
      </c>
      <c r="F86" s="60">
        <v>145</v>
      </c>
      <c r="G86" s="60">
        <v>-1.7719</v>
      </c>
      <c r="H86" s="60">
        <v>17.587700000000002</v>
      </c>
      <c r="I86" s="60">
        <v>0.11556</v>
      </c>
      <c r="U86" s="60">
        <v>84</v>
      </c>
      <c r="V86" s="60">
        <v>109.9</v>
      </c>
      <c r="W86" s="60">
        <v>115.3</v>
      </c>
      <c r="X86" s="60">
        <v>120.8</v>
      </c>
      <c r="Y86" s="60">
        <v>126.3</v>
      </c>
      <c r="Z86" s="60">
        <v>131.69999999999999</v>
      </c>
      <c r="AB86" s="60">
        <v>84</v>
      </c>
      <c r="AC86" s="60">
        <v>111.2</v>
      </c>
      <c r="AD86" s="60">
        <v>116.4</v>
      </c>
      <c r="AE86" s="60">
        <v>121.7</v>
      </c>
      <c r="AF86" s="60">
        <v>127</v>
      </c>
      <c r="AG86" s="60">
        <v>132.30000000000001</v>
      </c>
      <c r="AW86" s="60">
        <v>87</v>
      </c>
      <c r="AX86" s="60">
        <v>-0.38329999999999997</v>
      </c>
      <c r="AY86" s="60">
        <v>11.8965</v>
      </c>
      <c r="AZ86" s="60">
        <v>8.8959999999999997E-2</v>
      </c>
      <c r="BA86" s="60">
        <v>10</v>
      </c>
      <c r="BB86" s="60">
        <v>10.9</v>
      </c>
      <c r="BC86" s="60">
        <v>11.9</v>
      </c>
      <c r="BD86" s="60">
        <v>13</v>
      </c>
      <c r="BE86" s="60">
        <v>14.3</v>
      </c>
      <c r="BG86" s="60">
        <v>87</v>
      </c>
      <c r="BH86" s="60">
        <v>-0.35210000000000002</v>
      </c>
      <c r="BI86" s="60">
        <v>12.1645</v>
      </c>
      <c r="BJ86" s="60">
        <v>8.09E-2</v>
      </c>
      <c r="BK86" s="60">
        <v>10.4</v>
      </c>
      <c r="BL86" s="60">
        <v>11.2</v>
      </c>
      <c r="BM86" s="60">
        <v>12.2</v>
      </c>
      <c r="BN86" s="60">
        <v>13.2</v>
      </c>
      <c r="BO86" s="60">
        <v>14.4</v>
      </c>
    </row>
    <row r="87" spans="1:67">
      <c r="A87" s="60">
        <v>146</v>
      </c>
      <c r="B87" s="60">
        <v>-1.3883000000000001</v>
      </c>
      <c r="C87" s="60">
        <v>18.1297</v>
      </c>
      <c r="D87" s="60">
        <v>0.13186</v>
      </c>
      <c r="F87" s="60">
        <v>146</v>
      </c>
      <c r="G87" s="60">
        <v>-1.7684</v>
      </c>
      <c r="H87" s="60">
        <v>17.642700000000001</v>
      </c>
      <c r="I87" s="60">
        <v>0.1159</v>
      </c>
      <c r="U87" s="60">
        <v>85</v>
      </c>
      <c r="V87" s="60">
        <v>110.3</v>
      </c>
      <c r="W87" s="60">
        <v>115.8</v>
      </c>
      <c r="X87" s="60">
        <v>121.3</v>
      </c>
      <c r="Y87" s="60">
        <v>126.8</v>
      </c>
      <c r="Z87" s="60">
        <v>132.30000000000001</v>
      </c>
      <c r="AB87" s="60">
        <v>85</v>
      </c>
      <c r="AC87" s="60">
        <v>111.6</v>
      </c>
      <c r="AD87" s="60">
        <v>116.9</v>
      </c>
      <c r="AE87" s="60">
        <v>122.2</v>
      </c>
      <c r="AF87" s="60">
        <v>127.5</v>
      </c>
      <c r="AG87" s="60">
        <v>132.80000000000001</v>
      </c>
      <c r="AW87" s="60">
        <v>87.5</v>
      </c>
      <c r="AX87" s="60">
        <v>-0.38329999999999997</v>
      </c>
      <c r="AY87" s="60">
        <v>12.0223</v>
      </c>
      <c r="AZ87" s="60">
        <v>8.8969999999999994E-2</v>
      </c>
      <c r="BA87" s="60">
        <v>10.1</v>
      </c>
      <c r="BB87" s="60">
        <v>11</v>
      </c>
      <c r="BC87" s="60">
        <v>12</v>
      </c>
      <c r="BD87" s="60">
        <v>13.2</v>
      </c>
      <c r="BE87" s="60">
        <v>14.5</v>
      </c>
      <c r="BG87" s="60">
        <v>87.5</v>
      </c>
      <c r="BH87" s="60">
        <v>-0.35210000000000002</v>
      </c>
      <c r="BI87" s="60">
        <v>12.287100000000001</v>
      </c>
      <c r="BJ87" s="60">
        <v>8.0759999999999998E-2</v>
      </c>
      <c r="BK87" s="60">
        <v>10.5</v>
      </c>
      <c r="BL87" s="60">
        <v>11.3</v>
      </c>
      <c r="BM87" s="60">
        <v>12.3</v>
      </c>
      <c r="BN87" s="60">
        <v>13.3</v>
      </c>
      <c r="BO87" s="60">
        <v>14.5</v>
      </c>
    </row>
    <row r="88" spans="1:67">
      <c r="A88" s="60">
        <v>147</v>
      </c>
      <c r="B88" s="60">
        <v>-1.3818999999999999</v>
      </c>
      <c r="C88" s="60">
        <v>18.1967</v>
      </c>
      <c r="D88" s="60">
        <v>0.13214000000000001</v>
      </c>
      <c r="F88" s="60">
        <v>147</v>
      </c>
      <c r="G88" s="60">
        <v>-1.7645</v>
      </c>
      <c r="H88" s="60">
        <v>17.698499999999999</v>
      </c>
      <c r="I88" s="60">
        <v>0.11623</v>
      </c>
      <c r="U88" s="60">
        <v>86</v>
      </c>
      <c r="V88" s="60">
        <v>110.7</v>
      </c>
      <c r="W88" s="60">
        <v>116.2</v>
      </c>
      <c r="X88" s="60">
        <v>121.8</v>
      </c>
      <c r="Y88" s="60">
        <v>127.3</v>
      </c>
      <c r="Z88" s="60">
        <v>132.80000000000001</v>
      </c>
      <c r="AB88" s="60">
        <v>86</v>
      </c>
      <c r="AC88" s="60">
        <v>112</v>
      </c>
      <c r="AD88" s="60">
        <v>117.3</v>
      </c>
      <c r="AE88" s="60">
        <v>122.7</v>
      </c>
      <c r="AF88" s="60">
        <v>128</v>
      </c>
      <c r="AG88" s="60">
        <v>133.4</v>
      </c>
      <c r="AW88" s="60">
        <v>88</v>
      </c>
      <c r="AX88" s="60">
        <v>-0.38329999999999997</v>
      </c>
      <c r="AY88" s="60">
        <v>12.1478</v>
      </c>
      <c r="AZ88" s="60">
        <v>8.899E-2</v>
      </c>
      <c r="BA88" s="60">
        <v>10.199999999999999</v>
      </c>
      <c r="BB88" s="60">
        <v>11.1</v>
      </c>
      <c r="BC88" s="60">
        <v>12.1</v>
      </c>
      <c r="BD88" s="60">
        <v>13.3</v>
      </c>
      <c r="BE88" s="60">
        <v>14.6</v>
      </c>
      <c r="BG88" s="60">
        <v>88</v>
      </c>
      <c r="BH88" s="60">
        <v>-0.35210000000000002</v>
      </c>
      <c r="BI88" s="60">
        <v>12.408899999999999</v>
      </c>
      <c r="BJ88" s="60">
        <v>8.0640000000000003E-2</v>
      </c>
      <c r="BK88" s="60">
        <v>10.6</v>
      </c>
      <c r="BL88" s="60">
        <v>11.5</v>
      </c>
      <c r="BM88" s="60">
        <v>12.4</v>
      </c>
      <c r="BN88" s="60">
        <v>13.5</v>
      </c>
      <c r="BO88" s="60">
        <v>14.7</v>
      </c>
    </row>
    <row r="89" spans="1:67">
      <c r="A89" s="60">
        <v>148</v>
      </c>
      <c r="B89" s="60">
        <v>-1.3754999999999999</v>
      </c>
      <c r="C89" s="60">
        <v>18.2639</v>
      </c>
      <c r="D89" s="60">
        <v>0.13241</v>
      </c>
      <c r="F89" s="60">
        <v>148</v>
      </c>
      <c r="G89" s="60">
        <v>-1.7604</v>
      </c>
      <c r="H89" s="60">
        <v>17.755099999999999</v>
      </c>
      <c r="I89" s="60">
        <v>0.11656</v>
      </c>
      <c r="U89" s="60">
        <v>87</v>
      </c>
      <c r="V89" s="60">
        <v>111.1</v>
      </c>
      <c r="W89" s="60">
        <v>116.7</v>
      </c>
      <c r="X89" s="60">
        <v>122.2</v>
      </c>
      <c r="Y89" s="60">
        <v>127.8</v>
      </c>
      <c r="Z89" s="60">
        <v>133.30000000000001</v>
      </c>
      <c r="AB89" s="60">
        <v>87</v>
      </c>
      <c r="AC89" s="60">
        <v>112.4</v>
      </c>
      <c r="AD89" s="60">
        <v>117.8</v>
      </c>
      <c r="AE89" s="60">
        <v>123.1</v>
      </c>
      <c r="AF89" s="60">
        <v>128.5</v>
      </c>
      <c r="AG89" s="60">
        <v>133.9</v>
      </c>
      <c r="AW89" s="60">
        <v>88.5</v>
      </c>
      <c r="AX89" s="60">
        <v>-0.38329999999999997</v>
      </c>
      <c r="AY89" s="60">
        <v>12.2729</v>
      </c>
      <c r="AZ89" s="60">
        <v>8.9010000000000006E-2</v>
      </c>
      <c r="BA89" s="60">
        <v>10.3</v>
      </c>
      <c r="BB89" s="60">
        <v>11.2</v>
      </c>
      <c r="BC89" s="60">
        <v>12.3</v>
      </c>
      <c r="BD89" s="60">
        <v>13.4</v>
      </c>
      <c r="BE89" s="60">
        <v>14.8</v>
      </c>
      <c r="BG89" s="60">
        <v>88.5</v>
      </c>
      <c r="BH89" s="60">
        <v>-0.35210000000000002</v>
      </c>
      <c r="BI89" s="60">
        <v>12.5298</v>
      </c>
      <c r="BJ89" s="60">
        <v>8.054E-2</v>
      </c>
      <c r="BK89" s="60">
        <v>10.7</v>
      </c>
      <c r="BL89" s="60">
        <v>11.6</v>
      </c>
      <c r="BM89" s="60">
        <v>12.5</v>
      </c>
      <c r="BN89" s="60">
        <v>13.6</v>
      </c>
      <c r="BO89" s="60">
        <v>14.8</v>
      </c>
    </row>
    <row r="90" spans="1:67">
      <c r="A90" s="60">
        <v>149</v>
      </c>
      <c r="B90" s="60">
        <v>-1.3689</v>
      </c>
      <c r="C90" s="60">
        <v>18.331199999999999</v>
      </c>
      <c r="D90" s="60">
        <v>0.13267999999999999</v>
      </c>
      <c r="F90" s="60">
        <v>149</v>
      </c>
      <c r="G90" s="60">
        <v>-1.7559</v>
      </c>
      <c r="H90" s="60">
        <v>17.8124</v>
      </c>
      <c r="I90" s="60">
        <v>0.11688</v>
      </c>
      <c r="U90" s="60">
        <v>88</v>
      </c>
      <c r="V90" s="60">
        <v>111.6</v>
      </c>
      <c r="W90" s="60">
        <v>117.1</v>
      </c>
      <c r="X90" s="60">
        <v>122.7</v>
      </c>
      <c r="Y90" s="60">
        <v>128.30000000000001</v>
      </c>
      <c r="Z90" s="60">
        <v>133.9</v>
      </c>
      <c r="AB90" s="60">
        <v>88</v>
      </c>
      <c r="AC90" s="60">
        <v>112.8</v>
      </c>
      <c r="AD90" s="60">
        <v>118.2</v>
      </c>
      <c r="AE90" s="60">
        <v>123.6</v>
      </c>
      <c r="AF90" s="60">
        <v>129</v>
      </c>
      <c r="AG90" s="60">
        <v>134.4</v>
      </c>
      <c r="AW90" s="60">
        <v>89</v>
      </c>
      <c r="AX90" s="60">
        <v>-0.38329999999999997</v>
      </c>
      <c r="AY90" s="60">
        <v>12.397600000000001</v>
      </c>
      <c r="AZ90" s="60">
        <v>8.9039999999999994E-2</v>
      </c>
      <c r="BA90" s="60">
        <v>10.4</v>
      </c>
      <c r="BB90" s="60">
        <v>11.4</v>
      </c>
      <c r="BC90" s="60">
        <v>12.4</v>
      </c>
      <c r="BD90" s="60">
        <v>13.6</v>
      </c>
      <c r="BE90" s="60">
        <v>14.9</v>
      </c>
      <c r="BG90" s="60">
        <v>89</v>
      </c>
      <c r="BH90" s="60">
        <v>-0.35210000000000002</v>
      </c>
      <c r="BI90" s="60">
        <v>12.6495</v>
      </c>
      <c r="BJ90" s="60">
        <v>8.0449999999999994E-2</v>
      </c>
      <c r="BK90" s="60">
        <v>10.8</v>
      </c>
      <c r="BL90" s="60">
        <v>11.7</v>
      </c>
      <c r="BM90" s="60">
        <v>12.6</v>
      </c>
      <c r="BN90" s="60">
        <v>13.7</v>
      </c>
      <c r="BO90" s="60">
        <v>14.9</v>
      </c>
    </row>
    <row r="91" spans="1:67">
      <c r="A91" s="60">
        <v>150</v>
      </c>
      <c r="B91" s="60">
        <v>-1.3621000000000001</v>
      </c>
      <c r="C91" s="60">
        <v>18.398599999999998</v>
      </c>
      <c r="D91" s="60">
        <v>0.13295000000000001</v>
      </c>
      <c r="F91" s="60">
        <v>150</v>
      </c>
      <c r="G91" s="60">
        <v>-1.7511000000000001</v>
      </c>
      <c r="H91" s="60">
        <v>17.8704</v>
      </c>
      <c r="I91" s="60">
        <v>0.1172</v>
      </c>
      <c r="U91" s="60">
        <v>89</v>
      </c>
      <c r="V91" s="60">
        <v>112</v>
      </c>
      <c r="W91" s="60">
        <v>117.6</v>
      </c>
      <c r="X91" s="60">
        <v>123.2</v>
      </c>
      <c r="Y91" s="60">
        <v>128.80000000000001</v>
      </c>
      <c r="Z91" s="60">
        <v>134.4</v>
      </c>
      <c r="AB91" s="60">
        <v>89</v>
      </c>
      <c r="AC91" s="60">
        <v>113.2</v>
      </c>
      <c r="AD91" s="60">
        <v>118.6</v>
      </c>
      <c r="AE91" s="60">
        <v>124.1</v>
      </c>
      <c r="AF91" s="60">
        <v>129.5</v>
      </c>
      <c r="AG91" s="60">
        <v>134.9</v>
      </c>
      <c r="AW91" s="60">
        <v>89.5</v>
      </c>
      <c r="AX91" s="60">
        <v>-0.38329999999999997</v>
      </c>
      <c r="AY91" s="60">
        <v>12.522</v>
      </c>
      <c r="AZ91" s="60">
        <v>8.9069999999999996E-2</v>
      </c>
      <c r="BA91" s="60">
        <v>10.5</v>
      </c>
      <c r="BB91" s="60">
        <v>11.5</v>
      </c>
      <c r="BC91" s="60">
        <v>12.5</v>
      </c>
      <c r="BD91" s="60">
        <v>13.7</v>
      </c>
      <c r="BE91" s="60">
        <v>15.1</v>
      </c>
      <c r="BG91" s="60">
        <v>89.5</v>
      </c>
      <c r="BH91" s="60">
        <v>-0.35210000000000002</v>
      </c>
      <c r="BI91" s="60">
        <v>12.7683</v>
      </c>
      <c r="BJ91" s="60">
        <v>8.0379999999999993E-2</v>
      </c>
      <c r="BK91" s="60">
        <v>10.9</v>
      </c>
      <c r="BL91" s="60">
        <v>11.8</v>
      </c>
      <c r="BM91" s="60">
        <v>12.8</v>
      </c>
      <c r="BN91" s="60">
        <v>13.9</v>
      </c>
      <c r="BO91" s="60">
        <v>15.1</v>
      </c>
    </row>
    <row r="92" spans="1:67">
      <c r="A92" s="60">
        <v>151</v>
      </c>
      <c r="B92" s="60">
        <v>-1.3552999999999999</v>
      </c>
      <c r="C92" s="60">
        <v>18.466000000000001</v>
      </c>
      <c r="D92" s="60">
        <v>0.13321</v>
      </c>
      <c r="F92" s="60">
        <v>151</v>
      </c>
      <c r="G92" s="60">
        <v>-1.7461</v>
      </c>
      <c r="H92" s="60">
        <v>17.929200000000002</v>
      </c>
      <c r="I92" s="60">
        <v>0.11751</v>
      </c>
      <c r="U92" s="60">
        <v>90</v>
      </c>
      <c r="V92" s="60">
        <v>112.4</v>
      </c>
      <c r="W92" s="60">
        <v>118</v>
      </c>
      <c r="X92" s="60">
        <v>123.7</v>
      </c>
      <c r="Y92" s="60">
        <v>129.30000000000001</v>
      </c>
      <c r="Z92" s="60">
        <v>134.9</v>
      </c>
      <c r="AB92" s="60">
        <v>90</v>
      </c>
      <c r="AC92" s="60">
        <v>113.6</v>
      </c>
      <c r="AD92" s="60">
        <v>119.1</v>
      </c>
      <c r="AE92" s="60">
        <v>124.5</v>
      </c>
      <c r="AF92" s="60">
        <v>130</v>
      </c>
      <c r="AG92" s="60">
        <v>135.5</v>
      </c>
      <c r="AW92" s="60">
        <v>90</v>
      </c>
      <c r="AX92" s="60">
        <v>-0.38329999999999997</v>
      </c>
      <c r="AY92" s="60">
        <v>12.646100000000001</v>
      </c>
      <c r="AZ92" s="60">
        <v>8.9109999999999995E-2</v>
      </c>
      <c r="BA92" s="60">
        <v>10.6</v>
      </c>
      <c r="BB92" s="60">
        <v>11.6</v>
      </c>
      <c r="BC92" s="60">
        <v>12.6</v>
      </c>
      <c r="BD92" s="60">
        <v>13.8</v>
      </c>
      <c r="BE92" s="60">
        <v>15.2</v>
      </c>
      <c r="BG92" s="60">
        <v>90</v>
      </c>
      <c r="BH92" s="60">
        <v>-0.35210000000000002</v>
      </c>
      <c r="BI92" s="60">
        <v>12.8864</v>
      </c>
      <c r="BJ92" s="60">
        <v>8.0320000000000003E-2</v>
      </c>
      <c r="BK92" s="60">
        <v>11</v>
      </c>
      <c r="BL92" s="60">
        <v>11.9</v>
      </c>
      <c r="BM92" s="60">
        <v>12.9</v>
      </c>
      <c r="BN92" s="60">
        <v>14</v>
      </c>
      <c r="BO92" s="60">
        <v>15.2</v>
      </c>
    </row>
    <row r="93" spans="1:67">
      <c r="A93" s="60">
        <v>152</v>
      </c>
      <c r="B93" s="60">
        <v>-1.3483000000000001</v>
      </c>
      <c r="C93" s="60">
        <v>18.533300000000001</v>
      </c>
      <c r="D93" s="60">
        <v>0.13347000000000001</v>
      </c>
      <c r="F93" s="60">
        <v>152</v>
      </c>
      <c r="G93" s="60">
        <v>-1.7407999999999999</v>
      </c>
      <c r="H93" s="60">
        <v>17.988700000000001</v>
      </c>
      <c r="I93" s="60">
        <v>0.11781</v>
      </c>
      <c r="U93" s="60">
        <v>91</v>
      </c>
      <c r="V93" s="60">
        <v>112.8</v>
      </c>
      <c r="W93" s="60">
        <v>118.5</v>
      </c>
      <c r="X93" s="60">
        <v>124.1</v>
      </c>
      <c r="Y93" s="60">
        <v>129.80000000000001</v>
      </c>
      <c r="Z93" s="60">
        <v>135.5</v>
      </c>
      <c r="AB93" s="60">
        <v>91</v>
      </c>
      <c r="AC93" s="60">
        <v>114</v>
      </c>
      <c r="AD93" s="60">
        <v>119.5</v>
      </c>
      <c r="AE93" s="60">
        <v>125</v>
      </c>
      <c r="AF93" s="60">
        <v>130.5</v>
      </c>
      <c r="AG93" s="60">
        <v>136</v>
      </c>
      <c r="AW93" s="60">
        <v>90.5</v>
      </c>
      <c r="AX93" s="60">
        <v>-0.38329999999999997</v>
      </c>
      <c r="AY93" s="60">
        <v>12.77</v>
      </c>
      <c r="AZ93" s="60">
        <v>8.9149999999999993E-2</v>
      </c>
      <c r="BA93" s="60">
        <v>10.7</v>
      </c>
      <c r="BB93" s="60">
        <v>11.7</v>
      </c>
      <c r="BC93" s="60">
        <v>12.8</v>
      </c>
      <c r="BD93" s="60">
        <v>14</v>
      </c>
      <c r="BE93" s="60">
        <v>15.4</v>
      </c>
      <c r="BG93" s="60">
        <v>90.5</v>
      </c>
      <c r="BH93" s="60">
        <v>-0.35210000000000002</v>
      </c>
      <c r="BI93" s="60">
        <v>13.0038</v>
      </c>
      <c r="BJ93" s="60">
        <v>8.0280000000000004E-2</v>
      </c>
      <c r="BK93" s="60">
        <v>11.1</v>
      </c>
      <c r="BL93" s="60">
        <v>12</v>
      </c>
      <c r="BM93" s="60">
        <v>13</v>
      </c>
      <c r="BN93" s="60">
        <v>14.1</v>
      </c>
      <c r="BO93" s="60">
        <v>15.3</v>
      </c>
    </row>
    <row r="94" spans="1:67">
      <c r="A94" s="60">
        <v>153</v>
      </c>
      <c r="B94" s="60">
        <v>-1.3412999999999999</v>
      </c>
      <c r="C94" s="60">
        <v>18.6006</v>
      </c>
      <c r="D94" s="60">
        <v>0.13372000000000001</v>
      </c>
      <c r="F94" s="60">
        <v>153</v>
      </c>
      <c r="G94" s="60">
        <v>-1.7352000000000001</v>
      </c>
      <c r="H94" s="60">
        <v>18.0488</v>
      </c>
      <c r="I94" s="60">
        <v>0.11811000000000001</v>
      </c>
      <c r="U94" s="60">
        <v>92</v>
      </c>
      <c r="V94" s="60">
        <v>113.2</v>
      </c>
      <c r="W94" s="60">
        <v>118.9</v>
      </c>
      <c r="X94" s="60">
        <v>124.6</v>
      </c>
      <c r="Y94" s="60">
        <v>130.30000000000001</v>
      </c>
      <c r="Z94" s="60">
        <v>136</v>
      </c>
      <c r="AB94" s="60">
        <v>92</v>
      </c>
      <c r="AC94" s="60">
        <v>114.4</v>
      </c>
      <c r="AD94" s="60">
        <v>119.9</v>
      </c>
      <c r="AE94" s="60">
        <v>125.5</v>
      </c>
      <c r="AF94" s="60">
        <v>131</v>
      </c>
      <c r="AG94" s="60">
        <v>136.5</v>
      </c>
      <c r="AW94" s="60">
        <v>91</v>
      </c>
      <c r="AX94" s="60">
        <v>-0.38329999999999997</v>
      </c>
      <c r="AY94" s="60">
        <v>12.8939</v>
      </c>
      <c r="AZ94" s="60">
        <v>8.9200000000000002E-2</v>
      </c>
      <c r="BA94" s="60">
        <v>10.9</v>
      </c>
      <c r="BB94" s="60">
        <v>11.8</v>
      </c>
      <c r="BC94" s="60">
        <v>12.9</v>
      </c>
      <c r="BD94" s="60">
        <v>14.1</v>
      </c>
      <c r="BE94" s="60">
        <v>15.5</v>
      </c>
      <c r="BG94" s="60">
        <v>91</v>
      </c>
      <c r="BH94" s="60">
        <v>-0.35210000000000002</v>
      </c>
      <c r="BI94" s="60">
        <v>13.120900000000001</v>
      </c>
      <c r="BJ94" s="60">
        <v>8.0250000000000002E-2</v>
      </c>
      <c r="BK94" s="60">
        <v>11.2</v>
      </c>
      <c r="BL94" s="60">
        <v>12.1</v>
      </c>
      <c r="BM94" s="60">
        <v>13.1</v>
      </c>
      <c r="BN94" s="60">
        <v>14.2</v>
      </c>
      <c r="BO94" s="60">
        <v>15.5</v>
      </c>
    </row>
    <row r="95" spans="1:67">
      <c r="A95" s="60">
        <v>154</v>
      </c>
      <c r="B95" s="60">
        <v>-1.3341000000000001</v>
      </c>
      <c r="C95" s="60">
        <v>18.6677</v>
      </c>
      <c r="D95" s="60">
        <v>0.13397000000000001</v>
      </c>
      <c r="F95" s="60">
        <v>154</v>
      </c>
      <c r="G95" s="60">
        <v>-1.7293000000000001</v>
      </c>
      <c r="H95" s="60">
        <v>18.1096</v>
      </c>
      <c r="I95" s="60">
        <v>0.11841</v>
      </c>
      <c r="U95" s="60">
        <v>93</v>
      </c>
      <c r="V95" s="60">
        <v>113.7</v>
      </c>
      <c r="W95" s="60">
        <v>119.4</v>
      </c>
      <c r="X95" s="60">
        <v>125.1</v>
      </c>
      <c r="Y95" s="60">
        <v>130.80000000000001</v>
      </c>
      <c r="Z95" s="60">
        <v>136.5</v>
      </c>
      <c r="AB95" s="60">
        <v>93</v>
      </c>
      <c r="AC95" s="60">
        <v>114.8</v>
      </c>
      <c r="AD95" s="60">
        <v>120.4</v>
      </c>
      <c r="AE95" s="60">
        <v>125.9</v>
      </c>
      <c r="AF95" s="60">
        <v>131.5</v>
      </c>
      <c r="AG95" s="60">
        <v>137</v>
      </c>
      <c r="AW95" s="60">
        <v>91.5</v>
      </c>
      <c r="AX95" s="60">
        <v>-0.38329999999999997</v>
      </c>
      <c r="AY95" s="60">
        <v>13.0177</v>
      </c>
      <c r="AZ95" s="60">
        <v>8.9249999999999996E-2</v>
      </c>
      <c r="BA95" s="60">
        <v>11</v>
      </c>
      <c r="BB95" s="60">
        <v>11.9</v>
      </c>
      <c r="BC95" s="60">
        <v>13</v>
      </c>
      <c r="BD95" s="60">
        <v>14.3</v>
      </c>
      <c r="BE95" s="60">
        <v>15.7</v>
      </c>
      <c r="BG95" s="60">
        <v>91.5</v>
      </c>
      <c r="BH95" s="60">
        <v>-0.35210000000000002</v>
      </c>
      <c r="BI95" s="60">
        <v>13.2376</v>
      </c>
      <c r="BJ95" s="60">
        <v>8.0240000000000006E-2</v>
      </c>
      <c r="BK95" s="60">
        <v>11.3</v>
      </c>
      <c r="BL95" s="60">
        <v>12.2</v>
      </c>
      <c r="BM95" s="60">
        <v>13.2</v>
      </c>
      <c r="BN95" s="60">
        <v>14.4</v>
      </c>
      <c r="BO95" s="60">
        <v>15.6</v>
      </c>
    </row>
    <row r="96" spans="1:67">
      <c r="A96" s="60">
        <v>155</v>
      </c>
      <c r="B96" s="60">
        <v>-1.3269</v>
      </c>
      <c r="C96" s="60">
        <v>18.7346</v>
      </c>
      <c r="D96" s="60">
        <v>0.13421</v>
      </c>
      <c r="F96" s="60">
        <v>155</v>
      </c>
      <c r="G96" s="60">
        <v>-1.7232000000000001</v>
      </c>
      <c r="H96" s="60">
        <v>18.170999999999999</v>
      </c>
      <c r="I96" s="60">
        <v>0.11869</v>
      </c>
      <c r="U96" s="60">
        <v>94</v>
      </c>
      <c r="V96" s="60">
        <v>114.1</v>
      </c>
      <c r="W96" s="60">
        <v>119.8</v>
      </c>
      <c r="X96" s="60">
        <v>125.6</v>
      </c>
      <c r="Y96" s="60">
        <v>131.30000000000001</v>
      </c>
      <c r="Z96" s="60">
        <v>137.1</v>
      </c>
      <c r="AB96" s="60">
        <v>94</v>
      </c>
      <c r="AC96" s="60">
        <v>115.2</v>
      </c>
      <c r="AD96" s="60">
        <v>120.8</v>
      </c>
      <c r="AE96" s="60">
        <v>126.4</v>
      </c>
      <c r="AF96" s="60">
        <v>132</v>
      </c>
      <c r="AG96" s="60">
        <v>137.5</v>
      </c>
      <c r="AW96" s="60">
        <v>92</v>
      </c>
      <c r="AX96" s="60">
        <v>-0.38329999999999997</v>
      </c>
      <c r="AY96" s="60">
        <v>13.141500000000001</v>
      </c>
      <c r="AZ96" s="60">
        <v>8.931E-2</v>
      </c>
      <c r="BA96" s="60">
        <v>11.1</v>
      </c>
      <c r="BB96" s="60">
        <v>12</v>
      </c>
      <c r="BC96" s="60">
        <v>13.1</v>
      </c>
      <c r="BD96" s="60">
        <v>14.4</v>
      </c>
      <c r="BE96" s="60">
        <v>15.8</v>
      </c>
      <c r="BG96" s="60">
        <v>92</v>
      </c>
      <c r="BH96" s="60">
        <v>-0.35210000000000002</v>
      </c>
      <c r="BI96" s="60">
        <v>13.354100000000001</v>
      </c>
      <c r="BJ96" s="60">
        <v>8.0250000000000002E-2</v>
      </c>
      <c r="BK96" s="60">
        <v>11.4</v>
      </c>
      <c r="BL96" s="60">
        <v>12.3</v>
      </c>
      <c r="BM96" s="60">
        <v>13.4</v>
      </c>
      <c r="BN96" s="60">
        <v>14.5</v>
      </c>
      <c r="BO96" s="60">
        <v>15.8</v>
      </c>
    </row>
    <row r="97" spans="1:67">
      <c r="A97" s="60">
        <v>156</v>
      </c>
      <c r="B97" s="60">
        <v>-1.3194999999999999</v>
      </c>
      <c r="C97" s="60">
        <v>18.801200000000001</v>
      </c>
      <c r="D97" s="60">
        <v>0.13444999999999999</v>
      </c>
      <c r="F97" s="60">
        <v>156</v>
      </c>
      <c r="G97" s="60">
        <v>-1.7168000000000001</v>
      </c>
      <c r="H97" s="60">
        <v>18.233000000000001</v>
      </c>
      <c r="I97" s="60">
        <v>0.11898</v>
      </c>
      <c r="U97" s="60">
        <v>95</v>
      </c>
      <c r="V97" s="60">
        <v>114.5</v>
      </c>
      <c r="W97" s="60">
        <v>120.3</v>
      </c>
      <c r="X97" s="60">
        <v>126.1</v>
      </c>
      <c r="Y97" s="60">
        <v>131.80000000000001</v>
      </c>
      <c r="Z97" s="60">
        <v>137.6</v>
      </c>
      <c r="AB97" s="60">
        <v>95</v>
      </c>
      <c r="AC97" s="60">
        <v>115.6</v>
      </c>
      <c r="AD97" s="60">
        <v>121.2</v>
      </c>
      <c r="AE97" s="60">
        <v>126.8</v>
      </c>
      <c r="AF97" s="60">
        <v>132.4</v>
      </c>
      <c r="AG97" s="60">
        <v>138.1</v>
      </c>
      <c r="AW97" s="60">
        <v>92.5</v>
      </c>
      <c r="AX97" s="60">
        <v>-0.38329999999999997</v>
      </c>
      <c r="AY97" s="60">
        <v>13.2654</v>
      </c>
      <c r="AZ97" s="60">
        <v>8.9370000000000005E-2</v>
      </c>
      <c r="BA97" s="60">
        <v>11.2</v>
      </c>
      <c r="BB97" s="60">
        <v>12.1</v>
      </c>
      <c r="BC97" s="60">
        <v>13.3</v>
      </c>
      <c r="BD97" s="60">
        <v>14.5</v>
      </c>
      <c r="BE97" s="60">
        <v>16</v>
      </c>
      <c r="BG97" s="60">
        <v>92.5</v>
      </c>
      <c r="BH97" s="60">
        <v>-0.35210000000000002</v>
      </c>
      <c r="BI97" s="60">
        <v>13.470499999999999</v>
      </c>
      <c r="BJ97" s="60">
        <v>8.0269999999999994E-2</v>
      </c>
      <c r="BK97" s="60">
        <v>11.5</v>
      </c>
      <c r="BL97" s="60">
        <v>12.4</v>
      </c>
      <c r="BM97" s="60">
        <v>13.5</v>
      </c>
      <c r="BN97" s="60">
        <v>14.6</v>
      </c>
      <c r="BO97" s="60">
        <v>15.9</v>
      </c>
    </row>
    <row r="98" spans="1:67">
      <c r="A98" s="60">
        <v>157</v>
      </c>
      <c r="B98" s="60">
        <v>-1.3121</v>
      </c>
      <c r="C98" s="60">
        <v>18.8675</v>
      </c>
      <c r="D98" s="60">
        <v>0.13469</v>
      </c>
      <c r="F98" s="60">
        <v>157</v>
      </c>
      <c r="G98" s="60">
        <v>-1.7101999999999999</v>
      </c>
      <c r="H98" s="60">
        <v>18.295500000000001</v>
      </c>
      <c r="I98" s="60">
        <v>0.11924999999999999</v>
      </c>
      <c r="U98" s="60">
        <v>96</v>
      </c>
      <c r="V98" s="60">
        <v>115</v>
      </c>
      <c r="W98" s="60">
        <v>120.8</v>
      </c>
      <c r="X98" s="60">
        <v>126.6</v>
      </c>
      <c r="Y98" s="60">
        <v>132.4</v>
      </c>
      <c r="Z98" s="60">
        <v>138.19999999999999</v>
      </c>
      <c r="AB98" s="60">
        <v>96</v>
      </c>
      <c r="AC98" s="60">
        <v>116</v>
      </c>
      <c r="AD98" s="60">
        <v>121.6</v>
      </c>
      <c r="AE98" s="60">
        <v>127.3</v>
      </c>
      <c r="AF98" s="60">
        <v>132.9</v>
      </c>
      <c r="AG98" s="60">
        <v>138.6</v>
      </c>
      <c r="AW98" s="60">
        <v>93</v>
      </c>
      <c r="AX98" s="60">
        <v>-0.38329999999999997</v>
      </c>
      <c r="AY98" s="60">
        <v>13.3896</v>
      </c>
      <c r="AZ98" s="60">
        <v>8.9440000000000006E-2</v>
      </c>
      <c r="BA98" s="60">
        <v>11.3</v>
      </c>
      <c r="BB98" s="60">
        <v>12.3</v>
      </c>
      <c r="BC98" s="60">
        <v>13.4</v>
      </c>
      <c r="BD98" s="60">
        <v>14.7</v>
      </c>
      <c r="BE98" s="60">
        <v>16.100000000000001</v>
      </c>
      <c r="BG98" s="60">
        <v>93</v>
      </c>
      <c r="BH98" s="60">
        <v>-0.35210000000000002</v>
      </c>
      <c r="BI98" s="60">
        <v>13.587</v>
      </c>
      <c r="BJ98" s="60">
        <v>8.0310000000000006E-2</v>
      </c>
      <c r="BK98" s="60">
        <v>11.6</v>
      </c>
      <c r="BL98" s="60">
        <v>12.6</v>
      </c>
      <c r="BM98" s="60">
        <v>13.6</v>
      </c>
      <c r="BN98" s="60">
        <v>14.7</v>
      </c>
      <c r="BO98" s="60">
        <v>16</v>
      </c>
    </row>
    <row r="99" spans="1:67">
      <c r="A99" s="60">
        <v>158</v>
      </c>
      <c r="B99" s="60">
        <v>-1.3046</v>
      </c>
      <c r="C99" s="60">
        <v>18.933499999999999</v>
      </c>
      <c r="D99" s="60">
        <v>0.13492000000000001</v>
      </c>
      <c r="F99" s="60">
        <v>158</v>
      </c>
      <c r="G99" s="60">
        <v>-1.7033</v>
      </c>
      <c r="H99" s="60">
        <v>18.358599999999999</v>
      </c>
      <c r="I99" s="60">
        <v>0.11952</v>
      </c>
      <c r="U99" s="60">
        <v>97</v>
      </c>
      <c r="V99" s="60">
        <v>115.4</v>
      </c>
      <c r="W99" s="60">
        <v>121.2</v>
      </c>
      <c r="X99" s="60">
        <v>127</v>
      </c>
      <c r="Y99" s="60">
        <v>132.9</v>
      </c>
      <c r="Z99" s="60">
        <v>138.69999999999999</v>
      </c>
      <c r="AB99" s="60">
        <v>97</v>
      </c>
      <c r="AC99" s="60">
        <v>116.4</v>
      </c>
      <c r="AD99" s="60">
        <v>122</v>
      </c>
      <c r="AE99" s="60">
        <v>127.7</v>
      </c>
      <c r="AF99" s="60">
        <v>133.4</v>
      </c>
      <c r="AG99" s="60">
        <v>139.1</v>
      </c>
      <c r="AW99" s="60">
        <v>93.5</v>
      </c>
      <c r="AX99" s="60">
        <v>-0.38329999999999997</v>
      </c>
      <c r="AY99" s="60">
        <v>13.514200000000001</v>
      </c>
      <c r="AZ99" s="60">
        <v>8.9510000000000006E-2</v>
      </c>
      <c r="BA99" s="60">
        <v>11.4</v>
      </c>
      <c r="BB99" s="60">
        <v>12.4</v>
      </c>
      <c r="BC99" s="60">
        <v>13.5</v>
      </c>
      <c r="BD99" s="60">
        <v>14.8</v>
      </c>
      <c r="BE99" s="60">
        <v>16.3</v>
      </c>
      <c r="BG99" s="60">
        <v>93.5</v>
      </c>
      <c r="BH99" s="60">
        <v>-0.35210000000000002</v>
      </c>
      <c r="BI99" s="60">
        <v>13.7041</v>
      </c>
      <c r="BJ99" s="60">
        <v>8.0360000000000001E-2</v>
      </c>
      <c r="BK99" s="60">
        <v>11.7</v>
      </c>
      <c r="BL99" s="60">
        <v>12.7</v>
      </c>
      <c r="BM99" s="60">
        <v>13.7</v>
      </c>
      <c r="BN99" s="60">
        <v>14.9</v>
      </c>
      <c r="BO99" s="60">
        <v>16.2</v>
      </c>
    </row>
    <row r="100" spans="1:67">
      <c r="A100" s="60">
        <v>159</v>
      </c>
      <c r="B100" s="60">
        <v>-1.2969999999999999</v>
      </c>
      <c r="C100" s="60">
        <v>18.999099999999999</v>
      </c>
      <c r="D100" s="60">
        <v>0.13514000000000001</v>
      </c>
      <c r="F100" s="60">
        <v>159</v>
      </c>
      <c r="G100" s="60">
        <v>-1.6961999999999999</v>
      </c>
      <c r="H100" s="60">
        <v>18.4221</v>
      </c>
      <c r="I100" s="60">
        <v>0.11978999999999999</v>
      </c>
      <c r="U100" s="60">
        <v>98</v>
      </c>
      <c r="V100" s="60">
        <v>115.8</v>
      </c>
      <c r="W100" s="60">
        <v>121.7</v>
      </c>
      <c r="X100" s="60">
        <v>127.5</v>
      </c>
      <c r="Y100" s="60">
        <v>133.4</v>
      </c>
      <c r="Z100" s="60">
        <v>139.19999999999999</v>
      </c>
      <c r="AB100" s="60">
        <v>98</v>
      </c>
      <c r="AC100" s="60">
        <v>116.7</v>
      </c>
      <c r="AD100" s="60">
        <v>122.5</v>
      </c>
      <c r="AE100" s="60">
        <v>128.19999999999999</v>
      </c>
      <c r="AF100" s="60">
        <v>133.9</v>
      </c>
      <c r="AG100" s="60">
        <v>139.6</v>
      </c>
      <c r="AW100" s="60">
        <v>94</v>
      </c>
      <c r="AX100" s="60">
        <v>-0.38329999999999997</v>
      </c>
      <c r="AY100" s="60">
        <v>13.6393</v>
      </c>
      <c r="AZ100" s="60">
        <v>8.9590000000000003E-2</v>
      </c>
      <c r="BA100" s="60">
        <v>11.5</v>
      </c>
      <c r="BB100" s="60">
        <v>12.5</v>
      </c>
      <c r="BC100" s="60">
        <v>13.6</v>
      </c>
      <c r="BD100" s="60">
        <v>14.9</v>
      </c>
      <c r="BE100" s="60">
        <v>16.399999999999999</v>
      </c>
      <c r="BG100" s="60">
        <v>94</v>
      </c>
      <c r="BH100" s="60">
        <v>-0.35210000000000002</v>
      </c>
      <c r="BI100" s="60">
        <v>13.8217</v>
      </c>
      <c r="BJ100" s="60">
        <v>8.0430000000000001E-2</v>
      </c>
      <c r="BK100" s="60">
        <v>11.8</v>
      </c>
      <c r="BL100" s="60">
        <v>12.8</v>
      </c>
      <c r="BM100" s="60">
        <v>13.8</v>
      </c>
      <c r="BN100" s="60">
        <v>15</v>
      </c>
      <c r="BO100" s="60">
        <v>16.3</v>
      </c>
    </row>
    <row r="101" spans="1:67">
      <c r="A101" s="60">
        <v>160</v>
      </c>
      <c r="B101" s="60">
        <v>-1.2894000000000001</v>
      </c>
      <c r="C101" s="60">
        <v>19.0642</v>
      </c>
      <c r="D101" s="60">
        <v>0.13536999999999999</v>
      </c>
      <c r="F101" s="60">
        <v>160</v>
      </c>
      <c r="G101" s="60">
        <v>-1.6888000000000001</v>
      </c>
      <c r="H101" s="60">
        <v>18.486000000000001</v>
      </c>
      <c r="I101" s="60">
        <v>0.12005</v>
      </c>
      <c r="U101" s="60">
        <v>99</v>
      </c>
      <c r="V101" s="60">
        <v>116.3</v>
      </c>
      <c r="W101" s="60">
        <v>122.1</v>
      </c>
      <c r="X101" s="60">
        <v>128</v>
      </c>
      <c r="Y101" s="60">
        <v>133.9</v>
      </c>
      <c r="Z101" s="60">
        <v>139.80000000000001</v>
      </c>
      <c r="AB101" s="60">
        <v>99</v>
      </c>
      <c r="AC101" s="60">
        <v>117.1</v>
      </c>
      <c r="AD101" s="60">
        <v>122.9</v>
      </c>
      <c r="AE101" s="60">
        <v>128.6</v>
      </c>
      <c r="AF101" s="60">
        <v>134.30000000000001</v>
      </c>
      <c r="AG101" s="60">
        <v>140.1</v>
      </c>
      <c r="AW101" s="60">
        <v>94.5</v>
      </c>
      <c r="AX101" s="60">
        <v>-0.38329999999999997</v>
      </c>
      <c r="AY101" s="60">
        <v>13.765000000000001</v>
      </c>
      <c r="AZ101" s="60">
        <v>8.967E-2</v>
      </c>
      <c r="BA101" s="60">
        <v>11.6</v>
      </c>
      <c r="BB101" s="60">
        <v>12.6</v>
      </c>
      <c r="BC101" s="60">
        <v>13.8</v>
      </c>
      <c r="BD101" s="60">
        <v>15.1</v>
      </c>
      <c r="BE101" s="60">
        <v>16.600000000000001</v>
      </c>
      <c r="BG101" s="60">
        <v>94.5</v>
      </c>
      <c r="BH101" s="60">
        <v>-0.35210000000000002</v>
      </c>
      <c r="BI101" s="60">
        <v>13.940300000000001</v>
      </c>
      <c r="BJ101" s="60">
        <v>8.0509999999999998E-2</v>
      </c>
      <c r="BK101" s="60">
        <v>11.9</v>
      </c>
      <c r="BL101" s="60">
        <v>12.9</v>
      </c>
      <c r="BM101" s="60">
        <v>13.9</v>
      </c>
      <c r="BN101" s="60">
        <v>15.1</v>
      </c>
      <c r="BO101" s="60">
        <v>16.5</v>
      </c>
    </row>
    <row r="102" spans="1:67">
      <c r="A102" s="60">
        <v>161</v>
      </c>
      <c r="B102" s="60">
        <v>-1.2816000000000001</v>
      </c>
      <c r="C102" s="60">
        <v>19.128900000000002</v>
      </c>
      <c r="D102" s="60">
        <v>0.13558999999999999</v>
      </c>
      <c r="F102" s="60">
        <v>161</v>
      </c>
      <c r="G102" s="60">
        <v>-1.6811</v>
      </c>
      <c r="H102" s="60">
        <v>18.5502</v>
      </c>
      <c r="I102" s="60">
        <v>0.1203</v>
      </c>
      <c r="U102" s="60">
        <v>100</v>
      </c>
      <c r="V102" s="60">
        <v>116.7</v>
      </c>
      <c r="W102" s="60">
        <v>122.6</v>
      </c>
      <c r="X102" s="60">
        <v>128.5</v>
      </c>
      <c r="Y102" s="60">
        <v>134.4</v>
      </c>
      <c r="Z102" s="60">
        <v>140.30000000000001</v>
      </c>
      <c r="AB102" s="60">
        <v>100</v>
      </c>
      <c r="AC102" s="60">
        <v>117.5</v>
      </c>
      <c r="AD102" s="60">
        <v>123.3</v>
      </c>
      <c r="AE102" s="60">
        <v>129</v>
      </c>
      <c r="AF102" s="60">
        <v>134.80000000000001</v>
      </c>
      <c r="AG102" s="60">
        <v>140.6</v>
      </c>
      <c r="AW102" s="60">
        <v>95</v>
      </c>
      <c r="AX102" s="60">
        <v>-0.38329999999999997</v>
      </c>
      <c r="AY102" s="60">
        <v>13.891400000000001</v>
      </c>
      <c r="AZ102" s="60">
        <v>8.9749999999999996E-2</v>
      </c>
      <c r="BA102" s="60">
        <v>11.7</v>
      </c>
      <c r="BB102" s="60">
        <v>12.7</v>
      </c>
      <c r="BC102" s="60">
        <v>13.9</v>
      </c>
      <c r="BD102" s="60">
        <v>15.2</v>
      </c>
      <c r="BE102" s="60">
        <v>16.7</v>
      </c>
      <c r="BG102" s="60">
        <v>95</v>
      </c>
      <c r="BH102" s="60">
        <v>-0.35210000000000002</v>
      </c>
      <c r="BI102" s="60">
        <v>14.06</v>
      </c>
      <c r="BJ102" s="60">
        <v>8.0600000000000005E-2</v>
      </c>
      <c r="BK102" s="60">
        <v>12</v>
      </c>
      <c r="BL102" s="60">
        <v>13</v>
      </c>
      <c r="BM102" s="60">
        <v>14.1</v>
      </c>
      <c r="BN102" s="60">
        <v>15.3</v>
      </c>
      <c r="BO102" s="60">
        <v>16.600000000000001</v>
      </c>
    </row>
    <row r="103" spans="1:67">
      <c r="A103" s="60">
        <v>162</v>
      </c>
      <c r="B103" s="60">
        <v>-1.2739</v>
      </c>
      <c r="C103" s="60">
        <v>19.193100000000001</v>
      </c>
      <c r="D103" s="60">
        <v>0.1358</v>
      </c>
      <c r="F103" s="60">
        <v>162</v>
      </c>
      <c r="G103" s="60">
        <v>-1.6732</v>
      </c>
      <c r="H103" s="60">
        <v>18.614799999999999</v>
      </c>
      <c r="I103" s="60">
        <v>0.12055</v>
      </c>
      <c r="U103" s="60">
        <v>101</v>
      </c>
      <c r="V103" s="60">
        <v>117.1</v>
      </c>
      <c r="W103" s="60">
        <v>123.1</v>
      </c>
      <c r="X103" s="60">
        <v>129</v>
      </c>
      <c r="Y103" s="60">
        <v>134.9</v>
      </c>
      <c r="Z103" s="60">
        <v>140.9</v>
      </c>
      <c r="AB103" s="60">
        <v>101</v>
      </c>
      <c r="AC103" s="60">
        <v>117.9</v>
      </c>
      <c r="AD103" s="60">
        <v>123.7</v>
      </c>
      <c r="AE103" s="60">
        <v>129.5</v>
      </c>
      <c r="AF103" s="60">
        <v>135.30000000000001</v>
      </c>
      <c r="AG103" s="60">
        <v>141.1</v>
      </c>
      <c r="AW103" s="60">
        <v>95.5</v>
      </c>
      <c r="AX103" s="60">
        <v>-0.38329999999999997</v>
      </c>
      <c r="AY103" s="60">
        <v>14.018599999999999</v>
      </c>
      <c r="AZ103" s="60">
        <v>8.9840000000000003E-2</v>
      </c>
      <c r="BA103" s="60">
        <v>11.8</v>
      </c>
      <c r="BB103" s="60">
        <v>12.8</v>
      </c>
      <c r="BC103" s="60">
        <v>14</v>
      </c>
      <c r="BD103" s="60">
        <v>15.4</v>
      </c>
      <c r="BE103" s="60">
        <v>16.899999999999999</v>
      </c>
      <c r="BG103" s="60">
        <v>95.5</v>
      </c>
      <c r="BH103" s="60">
        <v>-0.35210000000000002</v>
      </c>
      <c r="BI103" s="60">
        <v>14.181100000000001</v>
      </c>
      <c r="BJ103" s="60">
        <v>8.0710000000000004E-2</v>
      </c>
      <c r="BK103" s="60">
        <v>12.1</v>
      </c>
      <c r="BL103" s="60">
        <v>13.1</v>
      </c>
      <c r="BM103" s="60">
        <v>14.2</v>
      </c>
      <c r="BN103" s="60">
        <v>15.4</v>
      </c>
      <c r="BO103" s="60">
        <v>16.7</v>
      </c>
    </row>
    <row r="104" spans="1:67">
      <c r="A104" s="60">
        <v>163</v>
      </c>
      <c r="B104" s="60">
        <v>-1.2661</v>
      </c>
      <c r="C104" s="60">
        <v>19.256699999999999</v>
      </c>
      <c r="D104" s="60">
        <v>0.13600999999999999</v>
      </c>
      <c r="F104" s="60">
        <v>163</v>
      </c>
      <c r="G104" s="60">
        <v>-1.6651</v>
      </c>
      <c r="H104" s="60">
        <v>18.679500000000001</v>
      </c>
      <c r="I104" s="60">
        <v>0.12078999999999999</v>
      </c>
      <c r="U104" s="60">
        <v>102</v>
      </c>
      <c r="V104" s="60">
        <v>117.6</v>
      </c>
      <c r="W104" s="60">
        <v>123.5</v>
      </c>
      <c r="X104" s="60">
        <v>129.5</v>
      </c>
      <c r="Y104" s="60">
        <v>135.5</v>
      </c>
      <c r="Z104" s="60">
        <v>141.4</v>
      </c>
      <c r="AB104" s="60">
        <v>102</v>
      </c>
      <c r="AC104" s="60">
        <v>118.3</v>
      </c>
      <c r="AD104" s="60">
        <v>124.1</v>
      </c>
      <c r="AE104" s="60">
        <v>129.9</v>
      </c>
      <c r="AF104" s="60">
        <v>135.80000000000001</v>
      </c>
      <c r="AG104" s="60">
        <v>141.6</v>
      </c>
      <c r="AW104" s="60">
        <v>96</v>
      </c>
      <c r="AX104" s="60">
        <v>-0.38329999999999997</v>
      </c>
      <c r="AY104" s="60">
        <v>14.146599999999999</v>
      </c>
      <c r="AZ104" s="60">
        <v>8.9940000000000006E-2</v>
      </c>
      <c r="BA104" s="60">
        <v>11.9</v>
      </c>
      <c r="BB104" s="60">
        <v>12.9</v>
      </c>
      <c r="BC104" s="60">
        <v>14.1</v>
      </c>
      <c r="BD104" s="60">
        <v>15.5</v>
      </c>
      <c r="BE104" s="60">
        <v>17</v>
      </c>
      <c r="BG104" s="60">
        <v>96</v>
      </c>
      <c r="BH104" s="60">
        <v>-0.35210000000000002</v>
      </c>
      <c r="BI104" s="60">
        <v>14.303699999999999</v>
      </c>
      <c r="BJ104" s="60">
        <v>8.0829999999999999E-2</v>
      </c>
      <c r="BK104" s="60">
        <v>12.2</v>
      </c>
      <c r="BL104" s="60">
        <v>13.2</v>
      </c>
      <c r="BM104" s="60">
        <v>14.3</v>
      </c>
      <c r="BN104" s="60">
        <v>15.5</v>
      </c>
      <c r="BO104" s="60">
        <v>16.899999999999999</v>
      </c>
    </row>
    <row r="105" spans="1:67">
      <c r="A105" s="60">
        <v>164</v>
      </c>
      <c r="B105" s="60">
        <v>-1.2583</v>
      </c>
      <c r="C105" s="60">
        <v>19.319700000000001</v>
      </c>
      <c r="D105" s="60">
        <v>0.13622000000000001</v>
      </c>
      <c r="F105" s="60">
        <v>164</v>
      </c>
      <c r="G105" s="60">
        <v>-1.6568000000000001</v>
      </c>
      <c r="H105" s="60">
        <v>18.744499999999999</v>
      </c>
      <c r="I105" s="60">
        <v>0.12102</v>
      </c>
      <c r="U105" s="60">
        <v>103</v>
      </c>
      <c r="V105" s="60">
        <v>118</v>
      </c>
      <c r="W105" s="60">
        <v>124</v>
      </c>
      <c r="X105" s="60">
        <v>130</v>
      </c>
      <c r="Y105" s="60">
        <v>136</v>
      </c>
      <c r="Z105" s="60">
        <v>142</v>
      </c>
      <c r="AB105" s="60">
        <v>103</v>
      </c>
      <c r="AC105" s="60">
        <v>118.7</v>
      </c>
      <c r="AD105" s="60">
        <v>124.5</v>
      </c>
      <c r="AE105" s="60">
        <v>130.4</v>
      </c>
      <c r="AF105" s="60">
        <v>136.19999999999999</v>
      </c>
      <c r="AG105" s="60">
        <v>142.1</v>
      </c>
      <c r="AW105" s="60">
        <v>96.5</v>
      </c>
      <c r="AX105" s="60">
        <v>-0.38329999999999997</v>
      </c>
      <c r="AY105" s="60">
        <v>14.275700000000001</v>
      </c>
      <c r="AZ105" s="60">
        <v>9.0039999999999995E-2</v>
      </c>
      <c r="BA105" s="60">
        <v>12</v>
      </c>
      <c r="BB105" s="60">
        <v>13.1</v>
      </c>
      <c r="BC105" s="60">
        <v>14.3</v>
      </c>
      <c r="BD105" s="60">
        <v>15.6</v>
      </c>
      <c r="BE105" s="60">
        <v>17.2</v>
      </c>
      <c r="BG105" s="60">
        <v>96.5</v>
      </c>
      <c r="BH105" s="60">
        <v>-0.35210000000000002</v>
      </c>
      <c r="BI105" s="60">
        <v>14.4282</v>
      </c>
      <c r="BJ105" s="60">
        <v>8.097E-2</v>
      </c>
      <c r="BK105" s="60">
        <v>12.3</v>
      </c>
      <c r="BL105" s="60">
        <v>13.3</v>
      </c>
      <c r="BM105" s="60">
        <v>14.4</v>
      </c>
      <c r="BN105" s="60">
        <v>15.7</v>
      </c>
      <c r="BO105" s="60">
        <v>17</v>
      </c>
    </row>
    <row r="106" spans="1:67">
      <c r="A106" s="60">
        <v>165</v>
      </c>
      <c r="B106" s="60">
        <v>-1.2504</v>
      </c>
      <c r="C106" s="60">
        <v>19.382000000000001</v>
      </c>
      <c r="D106" s="60">
        <v>0.13642000000000001</v>
      </c>
      <c r="F106" s="60">
        <v>165</v>
      </c>
      <c r="G106" s="60">
        <v>-1.6482000000000001</v>
      </c>
      <c r="H106" s="60">
        <v>18.8095</v>
      </c>
      <c r="I106" s="60">
        <v>0.12125</v>
      </c>
      <c r="U106" s="60">
        <v>104</v>
      </c>
      <c r="V106" s="60">
        <v>118.5</v>
      </c>
      <c r="W106" s="60">
        <v>124.5</v>
      </c>
      <c r="X106" s="60">
        <v>130.5</v>
      </c>
      <c r="Y106" s="60">
        <v>136.5</v>
      </c>
      <c r="Z106" s="60">
        <v>142.5</v>
      </c>
      <c r="AB106" s="60">
        <v>104</v>
      </c>
      <c r="AC106" s="60">
        <v>119</v>
      </c>
      <c r="AD106" s="60">
        <v>124.9</v>
      </c>
      <c r="AE106" s="60">
        <v>130.80000000000001</v>
      </c>
      <c r="AF106" s="60">
        <v>136.69999999999999</v>
      </c>
      <c r="AG106" s="60">
        <v>142.6</v>
      </c>
      <c r="AW106" s="60">
        <v>97</v>
      </c>
      <c r="AX106" s="60">
        <v>-0.38329999999999997</v>
      </c>
      <c r="AY106" s="60">
        <v>14.405900000000001</v>
      </c>
      <c r="AZ106" s="60">
        <v>9.0149999999999994E-2</v>
      </c>
      <c r="BA106" s="60">
        <v>12.1</v>
      </c>
      <c r="BB106" s="60">
        <v>13.2</v>
      </c>
      <c r="BC106" s="60">
        <v>14.4</v>
      </c>
      <c r="BD106" s="60">
        <v>15.8</v>
      </c>
      <c r="BE106" s="60">
        <v>17.399999999999999</v>
      </c>
      <c r="BG106" s="60">
        <v>97</v>
      </c>
      <c r="BH106" s="60">
        <v>-0.35210000000000002</v>
      </c>
      <c r="BI106" s="60">
        <v>14.5547</v>
      </c>
      <c r="BJ106" s="60">
        <v>8.1119999999999998E-2</v>
      </c>
      <c r="BK106" s="60">
        <v>12.4</v>
      </c>
      <c r="BL106" s="60">
        <v>13.4</v>
      </c>
      <c r="BM106" s="60">
        <v>14.6</v>
      </c>
      <c r="BN106" s="60">
        <v>15.8</v>
      </c>
      <c r="BO106" s="60">
        <v>17.2</v>
      </c>
    </row>
    <row r="107" spans="1:67">
      <c r="A107" s="60">
        <v>166</v>
      </c>
      <c r="B107" s="60">
        <v>-1.2424999999999999</v>
      </c>
      <c r="C107" s="60">
        <v>19.4437</v>
      </c>
      <c r="D107" s="60">
        <v>0.13661999999999999</v>
      </c>
      <c r="F107" s="60">
        <v>166</v>
      </c>
      <c r="G107" s="60">
        <v>-1.6394</v>
      </c>
      <c r="H107" s="60">
        <v>18.874600000000001</v>
      </c>
      <c r="I107" s="60">
        <v>0.12148</v>
      </c>
      <c r="U107" s="60">
        <v>105</v>
      </c>
      <c r="V107" s="60">
        <v>118.9</v>
      </c>
      <c r="W107" s="60">
        <v>125</v>
      </c>
      <c r="X107" s="60">
        <v>131</v>
      </c>
      <c r="Y107" s="60">
        <v>137</v>
      </c>
      <c r="Z107" s="60">
        <v>143.1</v>
      </c>
      <c r="AB107" s="60">
        <v>105</v>
      </c>
      <c r="AC107" s="60">
        <v>119.4</v>
      </c>
      <c r="AD107" s="60">
        <v>125.3</v>
      </c>
      <c r="AE107" s="60">
        <v>131.30000000000001</v>
      </c>
      <c r="AF107" s="60">
        <v>137.19999999999999</v>
      </c>
      <c r="AG107" s="60">
        <v>143.1</v>
      </c>
      <c r="AW107" s="60">
        <v>97.5</v>
      </c>
      <c r="AX107" s="60">
        <v>-0.38329999999999997</v>
      </c>
      <c r="AY107" s="60">
        <v>14.537599999999999</v>
      </c>
      <c r="AZ107" s="60">
        <v>9.0260000000000007E-2</v>
      </c>
      <c r="BA107" s="60">
        <v>12.2</v>
      </c>
      <c r="BB107" s="60">
        <v>13.3</v>
      </c>
      <c r="BC107" s="60">
        <v>14.5</v>
      </c>
      <c r="BD107" s="60">
        <v>15.9</v>
      </c>
      <c r="BE107" s="60">
        <v>17.5</v>
      </c>
      <c r="BG107" s="60">
        <v>97.5</v>
      </c>
      <c r="BH107" s="60">
        <v>-0.35210000000000002</v>
      </c>
      <c r="BI107" s="60">
        <v>14.683199999999999</v>
      </c>
      <c r="BJ107" s="60">
        <v>8.1290000000000001E-2</v>
      </c>
      <c r="BK107" s="60">
        <v>12.5</v>
      </c>
      <c r="BL107" s="60">
        <v>13.6</v>
      </c>
      <c r="BM107" s="60">
        <v>14.7</v>
      </c>
      <c r="BN107" s="60">
        <v>15.9</v>
      </c>
      <c r="BO107" s="60">
        <v>17.399999999999999</v>
      </c>
    </row>
    <row r="108" spans="1:67">
      <c r="A108" s="60">
        <v>167</v>
      </c>
      <c r="B108" s="60">
        <v>-1.2344999999999999</v>
      </c>
      <c r="C108" s="60">
        <v>19.5045</v>
      </c>
      <c r="D108" s="60">
        <v>0.13680999999999999</v>
      </c>
      <c r="F108" s="60">
        <v>167</v>
      </c>
      <c r="G108" s="60">
        <v>-1.6304000000000001</v>
      </c>
      <c r="H108" s="60">
        <v>18.939800000000002</v>
      </c>
      <c r="I108" s="60">
        <v>0.1217</v>
      </c>
      <c r="U108" s="60">
        <v>106</v>
      </c>
      <c r="V108" s="60">
        <v>119.4</v>
      </c>
      <c r="W108" s="60">
        <v>125.4</v>
      </c>
      <c r="X108" s="60">
        <v>131.5</v>
      </c>
      <c r="Y108" s="60">
        <v>137.5</v>
      </c>
      <c r="Z108" s="60">
        <v>143.6</v>
      </c>
      <c r="AB108" s="60">
        <v>106</v>
      </c>
      <c r="AC108" s="60">
        <v>119.8</v>
      </c>
      <c r="AD108" s="60">
        <v>125.7</v>
      </c>
      <c r="AE108" s="60">
        <v>131.69999999999999</v>
      </c>
      <c r="AF108" s="60">
        <v>137.6</v>
      </c>
      <c r="AG108" s="60">
        <v>143.6</v>
      </c>
      <c r="AW108" s="60">
        <v>98</v>
      </c>
      <c r="AX108" s="60">
        <v>-0.38329999999999997</v>
      </c>
      <c r="AY108" s="60">
        <v>14.670999999999999</v>
      </c>
      <c r="AZ108" s="60">
        <v>9.0370000000000006E-2</v>
      </c>
      <c r="BA108" s="60">
        <v>12.3</v>
      </c>
      <c r="BB108" s="60">
        <v>13.4</v>
      </c>
      <c r="BC108" s="60">
        <v>14.7</v>
      </c>
      <c r="BD108" s="60">
        <v>16.100000000000001</v>
      </c>
      <c r="BE108" s="60">
        <v>17.7</v>
      </c>
      <c r="BG108" s="60">
        <v>98</v>
      </c>
      <c r="BH108" s="60">
        <v>-0.35210000000000002</v>
      </c>
      <c r="BI108" s="60">
        <v>14.814</v>
      </c>
      <c r="BJ108" s="60">
        <v>8.1460000000000005E-2</v>
      </c>
      <c r="BK108" s="60">
        <v>12.6</v>
      </c>
      <c r="BL108" s="60">
        <v>13.7</v>
      </c>
      <c r="BM108" s="60">
        <v>14.8</v>
      </c>
      <c r="BN108" s="60">
        <v>16.100000000000001</v>
      </c>
      <c r="BO108" s="60">
        <v>17.5</v>
      </c>
    </row>
    <row r="109" spans="1:67">
      <c r="A109" s="60">
        <v>168</v>
      </c>
      <c r="B109" s="60">
        <v>-1.2265999999999999</v>
      </c>
      <c r="C109" s="60">
        <v>19.564699999999998</v>
      </c>
      <c r="D109" s="60">
        <v>0.13700000000000001</v>
      </c>
      <c r="F109" s="60">
        <v>168</v>
      </c>
      <c r="G109" s="60">
        <v>-1.6211</v>
      </c>
      <c r="H109" s="60">
        <v>19.004999999999999</v>
      </c>
      <c r="I109" s="60">
        <v>0.12191</v>
      </c>
      <c r="U109" s="60">
        <v>107</v>
      </c>
      <c r="V109" s="60">
        <v>119.8</v>
      </c>
      <c r="W109" s="60">
        <v>125.9</v>
      </c>
      <c r="X109" s="60">
        <v>132</v>
      </c>
      <c r="Y109" s="60">
        <v>138.1</v>
      </c>
      <c r="Z109" s="60">
        <v>144.19999999999999</v>
      </c>
      <c r="AB109" s="60">
        <v>107</v>
      </c>
      <c r="AC109" s="60">
        <v>120.2</v>
      </c>
      <c r="AD109" s="60">
        <v>126.1</v>
      </c>
      <c r="AE109" s="60">
        <v>132.1</v>
      </c>
      <c r="AF109" s="60">
        <v>138.1</v>
      </c>
      <c r="AG109" s="60">
        <v>144.1</v>
      </c>
      <c r="AW109" s="60">
        <v>98.5</v>
      </c>
      <c r="AX109" s="60">
        <v>-0.38329999999999997</v>
      </c>
      <c r="AY109" s="60">
        <v>14.8062</v>
      </c>
      <c r="AZ109" s="60">
        <v>9.0490000000000001E-2</v>
      </c>
      <c r="BA109" s="60">
        <v>12.4</v>
      </c>
      <c r="BB109" s="60">
        <v>13.5</v>
      </c>
      <c r="BC109" s="60">
        <v>14.8</v>
      </c>
      <c r="BD109" s="60">
        <v>16.2</v>
      </c>
      <c r="BE109" s="60">
        <v>17.899999999999999</v>
      </c>
      <c r="BG109" s="60">
        <v>98.5</v>
      </c>
      <c r="BH109" s="60">
        <v>-0.35210000000000002</v>
      </c>
      <c r="BI109" s="60">
        <v>14.9468</v>
      </c>
      <c r="BJ109" s="60">
        <v>8.165E-2</v>
      </c>
      <c r="BK109" s="60">
        <v>12.8</v>
      </c>
      <c r="BL109" s="60">
        <v>13.8</v>
      </c>
      <c r="BM109" s="60">
        <v>14.9</v>
      </c>
      <c r="BN109" s="60">
        <v>16.2</v>
      </c>
      <c r="BO109" s="60">
        <v>17.7</v>
      </c>
    </row>
    <row r="110" spans="1:67">
      <c r="A110" s="60">
        <v>169</v>
      </c>
      <c r="B110" s="60">
        <v>-1.2185999999999999</v>
      </c>
      <c r="C110" s="60">
        <v>19.623999999999999</v>
      </c>
      <c r="D110" s="60">
        <v>0.13719000000000001</v>
      </c>
      <c r="F110" s="60">
        <v>169</v>
      </c>
      <c r="G110" s="60">
        <v>-1.6115999999999999</v>
      </c>
      <c r="H110" s="60">
        <v>19.0701</v>
      </c>
      <c r="I110" s="60">
        <v>0.12212000000000001</v>
      </c>
      <c r="U110" s="60">
        <v>108</v>
      </c>
      <c r="V110" s="60">
        <v>120.3</v>
      </c>
      <c r="W110" s="60">
        <v>126.4</v>
      </c>
      <c r="X110" s="60">
        <v>132.5</v>
      </c>
      <c r="Y110" s="60">
        <v>138.6</v>
      </c>
      <c r="Z110" s="60">
        <v>144.69999999999999</v>
      </c>
      <c r="AB110" s="60">
        <v>108</v>
      </c>
      <c r="AC110" s="60">
        <v>120.5</v>
      </c>
      <c r="AD110" s="60">
        <v>126.6</v>
      </c>
      <c r="AE110" s="60">
        <v>132.6</v>
      </c>
      <c r="AF110" s="60">
        <v>138.6</v>
      </c>
      <c r="AG110" s="60">
        <v>144.6</v>
      </c>
      <c r="AW110" s="60">
        <v>99</v>
      </c>
      <c r="AX110" s="60">
        <v>-0.38329999999999997</v>
      </c>
      <c r="AY110" s="60">
        <v>14.9434</v>
      </c>
      <c r="AZ110" s="60">
        <v>9.0620000000000006E-2</v>
      </c>
      <c r="BA110" s="60">
        <v>12.5</v>
      </c>
      <c r="BB110" s="60">
        <v>13.7</v>
      </c>
      <c r="BC110" s="60">
        <v>14.9</v>
      </c>
      <c r="BD110" s="60">
        <v>16.399999999999999</v>
      </c>
      <c r="BE110" s="60">
        <v>18</v>
      </c>
      <c r="BG110" s="60">
        <v>99</v>
      </c>
      <c r="BH110" s="60">
        <v>-0.35210000000000002</v>
      </c>
      <c r="BI110" s="60">
        <v>15.081799999999999</v>
      </c>
      <c r="BJ110" s="60">
        <v>8.1850000000000006E-2</v>
      </c>
      <c r="BK110" s="60">
        <v>12.9</v>
      </c>
      <c r="BL110" s="60">
        <v>13.9</v>
      </c>
      <c r="BM110" s="60">
        <v>15.1</v>
      </c>
      <c r="BN110" s="60">
        <v>16.399999999999999</v>
      </c>
      <c r="BO110" s="60">
        <v>17.899999999999999</v>
      </c>
    </row>
    <row r="111" spans="1:67">
      <c r="A111" s="60">
        <v>170</v>
      </c>
      <c r="B111" s="60">
        <v>-1.2107000000000001</v>
      </c>
      <c r="C111" s="60">
        <v>19.682400000000001</v>
      </c>
      <c r="D111" s="60">
        <v>0.13738</v>
      </c>
      <c r="F111" s="60">
        <v>170</v>
      </c>
      <c r="G111" s="60">
        <v>-1.6020000000000001</v>
      </c>
      <c r="H111" s="60">
        <v>19.135100000000001</v>
      </c>
      <c r="I111" s="60">
        <v>0.12232999999999999</v>
      </c>
      <c r="U111" s="60">
        <v>109</v>
      </c>
      <c r="V111" s="60">
        <v>120.7</v>
      </c>
      <c r="W111" s="60">
        <v>126.9</v>
      </c>
      <c r="X111" s="60">
        <v>133</v>
      </c>
      <c r="Y111" s="60">
        <v>139.1</v>
      </c>
      <c r="Z111" s="60">
        <v>145.30000000000001</v>
      </c>
      <c r="AB111" s="60">
        <v>109</v>
      </c>
      <c r="AC111" s="60">
        <v>120.9</v>
      </c>
      <c r="AD111" s="60">
        <v>127</v>
      </c>
      <c r="AE111" s="60">
        <v>133</v>
      </c>
      <c r="AF111" s="60">
        <v>139</v>
      </c>
      <c r="AG111" s="60">
        <v>145.1</v>
      </c>
      <c r="AW111" s="60">
        <v>99.5</v>
      </c>
      <c r="AX111" s="60">
        <v>-0.38329999999999997</v>
      </c>
      <c r="AY111" s="60">
        <v>15.082800000000001</v>
      </c>
      <c r="AZ111" s="60">
        <v>9.0749999999999997E-2</v>
      </c>
      <c r="BA111" s="60">
        <v>12.7</v>
      </c>
      <c r="BB111" s="60">
        <v>13.8</v>
      </c>
      <c r="BC111" s="60">
        <v>15.1</v>
      </c>
      <c r="BD111" s="60">
        <v>16.5</v>
      </c>
      <c r="BE111" s="60">
        <v>18.2</v>
      </c>
      <c r="BG111" s="60">
        <v>99.5</v>
      </c>
      <c r="BH111" s="60">
        <v>-0.35210000000000002</v>
      </c>
      <c r="BI111" s="60">
        <v>15.2187</v>
      </c>
      <c r="BJ111" s="60">
        <v>8.2059999999999994E-2</v>
      </c>
      <c r="BK111" s="60">
        <v>13</v>
      </c>
      <c r="BL111" s="60">
        <v>14</v>
      </c>
      <c r="BM111" s="60">
        <v>15.2</v>
      </c>
      <c r="BN111" s="60">
        <v>16.5</v>
      </c>
      <c r="BO111" s="60">
        <v>18</v>
      </c>
    </row>
    <row r="112" spans="1:67">
      <c r="A112" s="60">
        <v>171</v>
      </c>
      <c r="B112" s="60">
        <v>-1.2027000000000001</v>
      </c>
      <c r="C112" s="60">
        <v>19.739999999999998</v>
      </c>
      <c r="D112" s="60">
        <v>0.13755999999999999</v>
      </c>
      <c r="F112" s="60">
        <v>171</v>
      </c>
      <c r="G112" s="60">
        <v>-1.5921000000000001</v>
      </c>
      <c r="H112" s="60">
        <v>19.2</v>
      </c>
      <c r="I112" s="60">
        <v>0.12253</v>
      </c>
      <c r="U112" s="60">
        <v>110</v>
      </c>
      <c r="V112" s="60">
        <v>121.2</v>
      </c>
      <c r="W112" s="60">
        <v>127.3</v>
      </c>
      <c r="X112" s="60">
        <v>133.5</v>
      </c>
      <c r="Y112" s="60">
        <v>139.69999999999999</v>
      </c>
      <c r="Z112" s="60">
        <v>145.80000000000001</v>
      </c>
      <c r="AB112" s="60">
        <v>110</v>
      </c>
      <c r="AC112" s="60">
        <v>121.3</v>
      </c>
      <c r="AD112" s="60">
        <v>127.4</v>
      </c>
      <c r="AE112" s="60">
        <v>133.4</v>
      </c>
      <c r="AF112" s="60">
        <v>139.5</v>
      </c>
      <c r="AG112" s="60">
        <v>145.6</v>
      </c>
      <c r="AW112" s="60">
        <v>100</v>
      </c>
      <c r="AX112" s="60">
        <v>-0.38329999999999997</v>
      </c>
      <c r="AY112" s="60">
        <v>15.224600000000001</v>
      </c>
      <c r="AZ112" s="60">
        <v>9.0880000000000002E-2</v>
      </c>
      <c r="BA112" s="60">
        <v>12.8</v>
      </c>
      <c r="BB112" s="60">
        <v>13.9</v>
      </c>
      <c r="BC112" s="60">
        <v>15.2</v>
      </c>
      <c r="BD112" s="60">
        <v>16.7</v>
      </c>
      <c r="BE112" s="60">
        <v>18.399999999999999</v>
      </c>
      <c r="BG112" s="60">
        <v>100</v>
      </c>
      <c r="BH112" s="60">
        <v>-0.35210000000000002</v>
      </c>
      <c r="BI112" s="60">
        <v>15.3576</v>
      </c>
      <c r="BJ112" s="60">
        <v>8.2290000000000002E-2</v>
      </c>
      <c r="BK112" s="60">
        <v>13.1</v>
      </c>
      <c r="BL112" s="60">
        <v>14.2</v>
      </c>
      <c r="BM112" s="60">
        <v>15.4</v>
      </c>
      <c r="BN112" s="60">
        <v>16.7</v>
      </c>
      <c r="BO112" s="60">
        <v>18.2</v>
      </c>
    </row>
    <row r="113" spans="1:67">
      <c r="A113" s="60">
        <v>172</v>
      </c>
      <c r="B113" s="60">
        <v>-1.1947000000000001</v>
      </c>
      <c r="C113" s="60">
        <v>19.796600000000002</v>
      </c>
      <c r="D113" s="60">
        <v>0.13774</v>
      </c>
      <c r="F113" s="60">
        <v>172</v>
      </c>
      <c r="G113" s="60">
        <v>-1.5821000000000001</v>
      </c>
      <c r="H113" s="60">
        <v>19.264800000000001</v>
      </c>
      <c r="I113" s="60">
        <v>0.12272</v>
      </c>
      <c r="U113" s="60">
        <v>111</v>
      </c>
      <c r="V113" s="60">
        <v>121.6</v>
      </c>
      <c r="W113" s="60">
        <v>127.8</v>
      </c>
      <c r="X113" s="60">
        <v>134</v>
      </c>
      <c r="Y113" s="60">
        <v>140.19999999999999</v>
      </c>
      <c r="Z113" s="60">
        <v>146.4</v>
      </c>
      <c r="AB113" s="60">
        <v>111</v>
      </c>
      <c r="AC113" s="60">
        <v>121.7</v>
      </c>
      <c r="AD113" s="60">
        <v>127.8</v>
      </c>
      <c r="AE113" s="60">
        <v>133.9</v>
      </c>
      <c r="AF113" s="60">
        <v>140</v>
      </c>
      <c r="AG113" s="60">
        <v>146.1</v>
      </c>
      <c r="AW113" s="60">
        <v>100.5</v>
      </c>
      <c r="AX113" s="60">
        <v>-0.38329999999999997</v>
      </c>
      <c r="AY113" s="60">
        <v>15.3687</v>
      </c>
      <c r="AZ113" s="60">
        <v>9.1020000000000004E-2</v>
      </c>
      <c r="BA113" s="60">
        <v>12.9</v>
      </c>
      <c r="BB113" s="60">
        <v>14.1</v>
      </c>
      <c r="BC113" s="60">
        <v>15.4</v>
      </c>
      <c r="BD113" s="60">
        <v>16.899999999999999</v>
      </c>
      <c r="BE113" s="60">
        <v>18.600000000000001</v>
      </c>
      <c r="BG113" s="60">
        <v>100.5</v>
      </c>
      <c r="BH113" s="60">
        <v>-0.35210000000000002</v>
      </c>
      <c r="BI113" s="60">
        <v>15.4985</v>
      </c>
      <c r="BJ113" s="60">
        <v>8.2519999999999996E-2</v>
      </c>
      <c r="BK113" s="60">
        <v>13.2</v>
      </c>
      <c r="BL113" s="60">
        <v>14.3</v>
      </c>
      <c r="BM113" s="60">
        <v>15.5</v>
      </c>
      <c r="BN113" s="60">
        <v>16.899999999999999</v>
      </c>
      <c r="BO113" s="60">
        <v>18.399999999999999</v>
      </c>
    </row>
    <row r="114" spans="1:67">
      <c r="A114" s="60">
        <v>173</v>
      </c>
      <c r="B114" s="60">
        <v>-1.1867000000000001</v>
      </c>
      <c r="C114" s="60">
        <v>19.8523</v>
      </c>
      <c r="D114" s="60">
        <v>0.13791</v>
      </c>
      <c r="F114" s="60">
        <v>173</v>
      </c>
      <c r="G114" s="60">
        <v>-1.5719000000000001</v>
      </c>
      <c r="H114" s="60">
        <v>19.3294</v>
      </c>
      <c r="I114" s="60">
        <v>0.12291000000000001</v>
      </c>
      <c r="U114" s="60">
        <v>112</v>
      </c>
      <c r="V114" s="60">
        <v>122.1</v>
      </c>
      <c r="W114" s="60">
        <v>128.30000000000001</v>
      </c>
      <c r="X114" s="60">
        <v>134.5</v>
      </c>
      <c r="Y114" s="60">
        <v>140.69999999999999</v>
      </c>
      <c r="Z114" s="60">
        <v>146.9</v>
      </c>
      <c r="AB114" s="60">
        <v>112</v>
      </c>
      <c r="AC114" s="60">
        <v>122</v>
      </c>
      <c r="AD114" s="60">
        <v>128.19999999999999</v>
      </c>
      <c r="AE114" s="60">
        <v>134.30000000000001</v>
      </c>
      <c r="AF114" s="60">
        <v>140.4</v>
      </c>
      <c r="AG114" s="60">
        <v>146.6</v>
      </c>
      <c r="AW114" s="60">
        <v>101</v>
      </c>
      <c r="AX114" s="60">
        <v>-0.38329999999999997</v>
      </c>
      <c r="AY114" s="60">
        <v>15.5154</v>
      </c>
      <c r="AZ114" s="60">
        <v>9.1160000000000005E-2</v>
      </c>
      <c r="BA114" s="60">
        <v>13</v>
      </c>
      <c r="BB114" s="60">
        <v>14.2</v>
      </c>
      <c r="BC114" s="60">
        <v>15.5</v>
      </c>
      <c r="BD114" s="60">
        <v>17</v>
      </c>
      <c r="BE114" s="60">
        <v>18.7</v>
      </c>
      <c r="BG114" s="60">
        <v>101</v>
      </c>
      <c r="BH114" s="60">
        <v>-0.35210000000000002</v>
      </c>
      <c r="BI114" s="60">
        <v>15.6412</v>
      </c>
      <c r="BJ114" s="60">
        <v>8.2769999999999996E-2</v>
      </c>
      <c r="BK114" s="60">
        <v>13.3</v>
      </c>
      <c r="BL114" s="60">
        <v>14.4</v>
      </c>
      <c r="BM114" s="60">
        <v>15.6</v>
      </c>
      <c r="BN114" s="60">
        <v>17</v>
      </c>
      <c r="BO114" s="60">
        <v>18.5</v>
      </c>
    </row>
    <row r="115" spans="1:67">
      <c r="A115" s="60">
        <v>174</v>
      </c>
      <c r="B115" s="60">
        <v>-1.1788000000000001</v>
      </c>
      <c r="C115" s="60">
        <v>19.907</v>
      </c>
      <c r="D115" s="60">
        <v>0.13808000000000001</v>
      </c>
      <c r="F115" s="60">
        <v>174</v>
      </c>
      <c r="G115" s="60">
        <v>-1.5615000000000001</v>
      </c>
      <c r="H115" s="60">
        <v>19.393699999999999</v>
      </c>
      <c r="I115" s="60">
        <v>0.1231</v>
      </c>
      <c r="U115" s="60">
        <v>113</v>
      </c>
      <c r="V115" s="60">
        <v>122.6</v>
      </c>
      <c r="W115" s="60">
        <v>128.80000000000001</v>
      </c>
      <c r="X115" s="60">
        <v>135</v>
      </c>
      <c r="Y115" s="60">
        <v>141.30000000000001</v>
      </c>
      <c r="Z115" s="60">
        <v>147.5</v>
      </c>
      <c r="AB115" s="60">
        <v>113</v>
      </c>
      <c r="AC115" s="60">
        <v>122.4</v>
      </c>
      <c r="AD115" s="60">
        <v>128.6</v>
      </c>
      <c r="AE115" s="60">
        <v>134.69999999999999</v>
      </c>
      <c r="AF115" s="60">
        <v>140.9</v>
      </c>
      <c r="AG115" s="60">
        <v>147.1</v>
      </c>
      <c r="AW115" s="60">
        <v>101.5</v>
      </c>
      <c r="AX115" s="60">
        <v>-0.38329999999999997</v>
      </c>
      <c r="AY115" s="60">
        <v>15.6646</v>
      </c>
      <c r="AZ115" s="60">
        <v>9.1310000000000002E-2</v>
      </c>
      <c r="BA115" s="60">
        <v>13.1</v>
      </c>
      <c r="BB115" s="60">
        <v>14.3</v>
      </c>
      <c r="BC115" s="60">
        <v>15.7</v>
      </c>
      <c r="BD115" s="60">
        <v>17.2</v>
      </c>
      <c r="BE115" s="60">
        <v>18.899999999999999</v>
      </c>
      <c r="BG115" s="60">
        <v>101.5</v>
      </c>
      <c r="BH115" s="60">
        <v>-0.35210000000000002</v>
      </c>
      <c r="BI115" s="60">
        <v>15.7857</v>
      </c>
      <c r="BJ115" s="60">
        <v>8.3019999999999997E-2</v>
      </c>
      <c r="BK115" s="60">
        <v>13.4</v>
      </c>
      <c r="BL115" s="60">
        <v>14.5</v>
      </c>
      <c r="BM115" s="60">
        <v>15.8</v>
      </c>
      <c r="BN115" s="60">
        <v>17.2</v>
      </c>
      <c r="BO115" s="60">
        <v>18.7</v>
      </c>
    </row>
    <row r="116" spans="1:67">
      <c r="A116" s="60">
        <v>175</v>
      </c>
      <c r="B116" s="60">
        <v>-1.1708000000000001</v>
      </c>
      <c r="C116" s="60">
        <v>19.960699999999999</v>
      </c>
      <c r="D116" s="60">
        <v>0.13825000000000001</v>
      </c>
      <c r="F116" s="60">
        <v>175</v>
      </c>
      <c r="G116" s="60">
        <v>-1.5509999999999999</v>
      </c>
      <c r="H116" s="60">
        <v>19.457799999999999</v>
      </c>
      <c r="I116" s="60">
        <v>0.12328</v>
      </c>
      <c r="U116" s="60">
        <v>114</v>
      </c>
      <c r="V116" s="60">
        <v>123</v>
      </c>
      <c r="W116" s="60">
        <v>129.30000000000001</v>
      </c>
      <c r="X116" s="60">
        <v>135.5</v>
      </c>
      <c r="Y116" s="60">
        <v>141.80000000000001</v>
      </c>
      <c r="Z116" s="60">
        <v>148.1</v>
      </c>
      <c r="AB116" s="60">
        <v>114</v>
      </c>
      <c r="AC116" s="60">
        <v>122.8</v>
      </c>
      <c r="AD116" s="60">
        <v>129</v>
      </c>
      <c r="AE116" s="60">
        <v>135.19999999999999</v>
      </c>
      <c r="AF116" s="60">
        <v>141.4</v>
      </c>
      <c r="AG116" s="60">
        <v>147.6</v>
      </c>
      <c r="AW116" s="60">
        <v>102</v>
      </c>
      <c r="AX116" s="60">
        <v>-0.38329999999999997</v>
      </c>
      <c r="AY116" s="60">
        <v>15.8164</v>
      </c>
      <c r="AZ116" s="60">
        <v>9.146E-2</v>
      </c>
      <c r="BA116" s="60">
        <v>13.3</v>
      </c>
      <c r="BB116" s="60">
        <v>14.5</v>
      </c>
      <c r="BC116" s="60">
        <v>15.8</v>
      </c>
      <c r="BD116" s="60">
        <v>17.399999999999999</v>
      </c>
      <c r="BE116" s="60">
        <v>19.100000000000001</v>
      </c>
      <c r="BG116" s="60">
        <v>102</v>
      </c>
      <c r="BH116" s="60">
        <v>-0.35210000000000002</v>
      </c>
      <c r="BI116" s="60">
        <v>15.932</v>
      </c>
      <c r="BJ116" s="60">
        <v>8.3280000000000007E-2</v>
      </c>
      <c r="BK116" s="60">
        <v>13.6</v>
      </c>
      <c r="BL116" s="60">
        <v>14.7</v>
      </c>
      <c r="BM116" s="60">
        <v>15.9</v>
      </c>
      <c r="BN116" s="60">
        <v>17.3</v>
      </c>
      <c r="BO116" s="60">
        <v>18.899999999999999</v>
      </c>
    </row>
    <row r="117" spans="1:67">
      <c r="A117" s="60">
        <v>176</v>
      </c>
      <c r="B117" s="60">
        <v>-1.1629</v>
      </c>
      <c r="C117" s="60">
        <v>20.013300000000001</v>
      </c>
      <c r="D117" s="60">
        <v>0.13841000000000001</v>
      </c>
      <c r="F117" s="60">
        <v>176</v>
      </c>
      <c r="G117" s="60">
        <v>-1.5403</v>
      </c>
      <c r="H117" s="60">
        <v>19.521699999999999</v>
      </c>
      <c r="I117" s="60">
        <v>0.12346</v>
      </c>
      <c r="U117" s="60">
        <v>115</v>
      </c>
      <c r="V117" s="60">
        <v>123.5</v>
      </c>
      <c r="W117" s="60">
        <v>129.80000000000001</v>
      </c>
      <c r="X117" s="60">
        <v>136.1</v>
      </c>
      <c r="Y117" s="60">
        <v>142.30000000000001</v>
      </c>
      <c r="Z117" s="60">
        <v>148.6</v>
      </c>
      <c r="AB117" s="60">
        <v>115</v>
      </c>
      <c r="AC117" s="60">
        <v>123.2</v>
      </c>
      <c r="AD117" s="60">
        <v>129.4</v>
      </c>
      <c r="AE117" s="60">
        <v>135.6</v>
      </c>
      <c r="AF117" s="60">
        <v>141.80000000000001</v>
      </c>
      <c r="AG117" s="60">
        <v>148.1</v>
      </c>
      <c r="AW117" s="60">
        <v>102.5</v>
      </c>
      <c r="AX117" s="60">
        <v>-0.38329999999999997</v>
      </c>
      <c r="AY117" s="60">
        <v>15.970700000000001</v>
      </c>
      <c r="AZ117" s="60">
        <v>9.1609999999999997E-2</v>
      </c>
      <c r="BA117" s="60">
        <v>13.4</v>
      </c>
      <c r="BB117" s="60">
        <v>14.6</v>
      </c>
      <c r="BC117" s="60">
        <v>16</v>
      </c>
      <c r="BD117" s="60">
        <v>17.5</v>
      </c>
      <c r="BE117" s="60">
        <v>19.3</v>
      </c>
      <c r="BG117" s="60">
        <v>102.5</v>
      </c>
      <c r="BH117" s="60">
        <v>-0.35210000000000002</v>
      </c>
      <c r="BI117" s="60">
        <v>16.080100000000002</v>
      </c>
      <c r="BJ117" s="60">
        <v>8.3540000000000003E-2</v>
      </c>
      <c r="BK117" s="60">
        <v>13.7</v>
      </c>
      <c r="BL117" s="60">
        <v>14.8</v>
      </c>
      <c r="BM117" s="60">
        <v>16.100000000000001</v>
      </c>
      <c r="BN117" s="60">
        <v>17.5</v>
      </c>
      <c r="BO117" s="60">
        <v>19.100000000000001</v>
      </c>
    </row>
    <row r="118" spans="1:67">
      <c r="A118" s="60">
        <v>177</v>
      </c>
      <c r="B118" s="60">
        <v>-1.1549</v>
      </c>
      <c r="C118" s="60">
        <v>20.064800000000002</v>
      </c>
      <c r="D118" s="60">
        <v>0.13858000000000001</v>
      </c>
      <c r="F118" s="60">
        <v>177</v>
      </c>
      <c r="G118" s="60">
        <v>-1.5294000000000001</v>
      </c>
      <c r="H118" s="60">
        <v>19.5853</v>
      </c>
      <c r="I118" s="60">
        <v>0.12363</v>
      </c>
      <c r="U118" s="60">
        <v>116</v>
      </c>
      <c r="V118" s="60">
        <v>124</v>
      </c>
      <c r="W118" s="60">
        <v>130.30000000000001</v>
      </c>
      <c r="X118" s="60">
        <v>136.6</v>
      </c>
      <c r="Y118" s="60">
        <v>142.9</v>
      </c>
      <c r="Z118" s="60">
        <v>149.19999999999999</v>
      </c>
      <c r="AB118" s="60">
        <v>116</v>
      </c>
      <c r="AC118" s="60">
        <v>123.5</v>
      </c>
      <c r="AD118" s="60">
        <v>129.80000000000001</v>
      </c>
      <c r="AE118" s="60">
        <v>136.1</v>
      </c>
      <c r="AF118" s="60">
        <v>142.30000000000001</v>
      </c>
      <c r="AG118" s="60">
        <v>148.6</v>
      </c>
      <c r="AW118" s="60">
        <v>103</v>
      </c>
      <c r="AX118" s="60">
        <v>-0.38329999999999997</v>
      </c>
      <c r="AY118" s="60">
        <v>16.127600000000001</v>
      </c>
      <c r="AZ118" s="60">
        <v>9.1770000000000004E-2</v>
      </c>
      <c r="BA118" s="60">
        <v>13.5</v>
      </c>
      <c r="BB118" s="60">
        <v>14.7</v>
      </c>
      <c r="BC118" s="60">
        <v>16.100000000000001</v>
      </c>
      <c r="BD118" s="60">
        <v>17.7</v>
      </c>
      <c r="BE118" s="60">
        <v>19.5</v>
      </c>
      <c r="BG118" s="60">
        <v>103</v>
      </c>
      <c r="BH118" s="60">
        <v>-0.35210000000000002</v>
      </c>
      <c r="BI118" s="60">
        <v>16.229800000000001</v>
      </c>
      <c r="BJ118" s="60">
        <v>8.3809999999999996E-2</v>
      </c>
      <c r="BK118" s="60">
        <v>13.8</v>
      </c>
      <c r="BL118" s="60">
        <v>14.9</v>
      </c>
      <c r="BM118" s="60">
        <v>16.2</v>
      </c>
      <c r="BN118" s="60">
        <v>17.7</v>
      </c>
      <c r="BO118" s="60">
        <v>19.3</v>
      </c>
    </row>
    <row r="119" spans="1:67">
      <c r="A119" s="60">
        <v>178</v>
      </c>
      <c r="B119" s="60">
        <v>-1.147</v>
      </c>
      <c r="C119" s="60">
        <v>20.115200000000002</v>
      </c>
      <c r="D119" s="60">
        <v>0.13872999999999999</v>
      </c>
      <c r="F119" s="60">
        <v>178</v>
      </c>
      <c r="G119" s="60">
        <v>-1.5185</v>
      </c>
      <c r="H119" s="60">
        <v>19.648599999999998</v>
      </c>
      <c r="I119" s="60">
        <v>0.12379999999999999</v>
      </c>
      <c r="U119" s="60">
        <v>117</v>
      </c>
      <c r="V119" s="60">
        <v>124.4</v>
      </c>
      <c r="W119" s="60">
        <v>130.80000000000001</v>
      </c>
      <c r="X119" s="60">
        <v>137.1</v>
      </c>
      <c r="Y119" s="60">
        <v>143.4</v>
      </c>
      <c r="Z119" s="60">
        <v>149.69999999999999</v>
      </c>
      <c r="AB119" s="60">
        <v>117</v>
      </c>
      <c r="AC119" s="60">
        <v>123.9</v>
      </c>
      <c r="AD119" s="60">
        <v>130.19999999999999</v>
      </c>
      <c r="AE119" s="60">
        <v>136.5</v>
      </c>
      <c r="AF119" s="60">
        <v>142.80000000000001</v>
      </c>
      <c r="AG119" s="60">
        <v>149.1</v>
      </c>
      <c r="AW119" s="60">
        <v>103.5</v>
      </c>
      <c r="AX119" s="60">
        <v>-0.38329999999999997</v>
      </c>
      <c r="AY119" s="60">
        <v>16.286999999999999</v>
      </c>
      <c r="AZ119" s="60">
        <v>9.1929999999999998E-2</v>
      </c>
      <c r="BA119" s="60">
        <v>13.6</v>
      </c>
      <c r="BB119" s="60">
        <v>14.9</v>
      </c>
      <c r="BC119" s="60">
        <v>16.3</v>
      </c>
      <c r="BD119" s="60">
        <v>17.899999999999999</v>
      </c>
      <c r="BE119" s="60">
        <v>19.7</v>
      </c>
      <c r="BG119" s="60">
        <v>103.5</v>
      </c>
      <c r="BH119" s="60">
        <v>-0.35210000000000002</v>
      </c>
      <c r="BI119" s="60">
        <v>16.3812</v>
      </c>
      <c r="BJ119" s="60">
        <v>8.4080000000000002E-2</v>
      </c>
      <c r="BK119" s="60">
        <v>13.9</v>
      </c>
      <c r="BL119" s="60">
        <v>15.1</v>
      </c>
      <c r="BM119" s="60">
        <v>16.399999999999999</v>
      </c>
      <c r="BN119" s="60">
        <v>17.8</v>
      </c>
      <c r="BO119" s="60">
        <v>19.5</v>
      </c>
    </row>
    <row r="120" spans="1:67">
      <c r="A120" s="60">
        <v>179</v>
      </c>
      <c r="B120" s="60">
        <v>-1.139</v>
      </c>
      <c r="C120" s="60">
        <v>20.164400000000001</v>
      </c>
      <c r="D120" s="60">
        <v>0.13889000000000001</v>
      </c>
      <c r="F120" s="60">
        <v>179</v>
      </c>
      <c r="G120" s="60">
        <v>-1.5074000000000001</v>
      </c>
      <c r="H120" s="60">
        <v>19.7117</v>
      </c>
      <c r="I120" s="60">
        <v>0.12396</v>
      </c>
      <c r="U120" s="60">
        <v>118</v>
      </c>
      <c r="V120" s="60">
        <v>124.9</v>
      </c>
      <c r="W120" s="60">
        <v>131.19999999999999</v>
      </c>
      <c r="X120" s="60">
        <v>137.6</v>
      </c>
      <c r="Y120" s="60">
        <v>144</v>
      </c>
      <c r="Z120" s="60">
        <v>150.30000000000001</v>
      </c>
      <c r="AB120" s="60">
        <v>118</v>
      </c>
      <c r="AC120" s="60">
        <v>124.3</v>
      </c>
      <c r="AD120" s="60">
        <v>130.6</v>
      </c>
      <c r="AE120" s="60">
        <v>136.9</v>
      </c>
      <c r="AF120" s="60">
        <v>143.19999999999999</v>
      </c>
      <c r="AG120" s="60">
        <v>149.5</v>
      </c>
      <c r="AW120" s="60">
        <v>104</v>
      </c>
      <c r="AX120" s="60">
        <v>-0.38329999999999997</v>
      </c>
      <c r="AY120" s="60">
        <v>16.448799999999999</v>
      </c>
      <c r="AZ120" s="60">
        <v>9.2090000000000005E-2</v>
      </c>
      <c r="BA120" s="60">
        <v>13.8</v>
      </c>
      <c r="BB120" s="60">
        <v>15</v>
      </c>
      <c r="BC120" s="60">
        <v>16.399999999999999</v>
      </c>
      <c r="BD120" s="60">
        <v>18.100000000000001</v>
      </c>
      <c r="BE120" s="60">
        <v>19.899999999999999</v>
      </c>
      <c r="BG120" s="60">
        <v>104</v>
      </c>
      <c r="BH120" s="60">
        <v>-0.35210000000000002</v>
      </c>
      <c r="BI120" s="60">
        <v>16.534199999999998</v>
      </c>
      <c r="BJ120" s="60">
        <v>8.4360000000000004E-2</v>
      </c>
      <c r="BK120" s="60">
        <v>14</v>
      </c>
      <c r="BL120" s="60">
        <v>15.2</v>
      </c>
      <c r="BM120" s="60">
        <v>16.5</v>
      </c>
      <c r="BN120" s="60">
        <v>18</v>
      </c>
      <c r="BO120" s="60">
        <v>19.7</v>
      </c>
    </row>
    <row r="121" spans="1:67">
      <c r="A121" s="60">
        <v>180</v>
      </c>
      <c r="B121" s="60">
        <v>-1.1311</v>
      </c>
      <c r="C121" s="60">
        <v>20.212499999999999</v>
      </c>
      <c r="D121" s="60">
        <v>0.13904</v>
      </c>
      <c r="F121" s="60">
        <v>180</v>
      </c>
      <c r="G121" s="60">
        <v>-1.4961</v>
      </c>
      <c r="H121" s="60">
        <v>19.7744</v>
      </c>
      <c r="I121" s="60">
        <v>0.12411999999999999</v>
      </c>
      <c r="U121" s="60">
        <v>119</v>
      </c>
      <c r="V121" s="60">
        <v>125.4</v>
      </c>
      <c r="W121" s="60">
        <v>131.69999999999999</v>
      </c>
      <c r="X121" s="60">
        <v>138.1</v>
      </c>
      <c r="Y121" s="60">
        <v>144.5</v>
      </c>
      <c r="Z121" s="60">
        <v>150.9</v>
      </c>
      <c r="AB121" s="60">
        <v>119</v>
      </c>
      <c r="AC121" s="60">
        <v>124.7</v>
      </c>
      <c r="AD121" s="60">
        <v>131</v>
      </c>
      <c r="AE121" s="60">
        <v>137.30000000000001</v>
      </c>
      <c r="AF121" s="60">
        <v>143.69999999999999</v>
      </c>
      <c r="AG121" s="60">
        <v>150</v>
      </c>
      <c r="AW121" s="60">
        <v>104.5</v>
      </c>
      <c r="AX121" s="60">
        <v>-0.38329999999999997</v>
      </c>
      <c r="AY121" s="60">
        <v>16.613099999999999</v>
      </c>
      <c r="AZ121" s="60">
        <v>9.2259999999999995E-2</v>
      </c>
      <c r="BA121" s="60">
        <v>13.9</v>
      </c>
      <c r="BB121" s="60">
        <v>15.2</v>
      </c>
      <c r="BC121" s="60">
        <v>16.600000000000001</v>
      </c>
      <c r="BD121" s="60">
        <v>18.2</v>
      </c>
      <c r="BE121" s="60">
        <v>20.100000000000001</v>
      </c>
      <c r="BG121" s="60">
        <v>104.5</v>
      </c>
      <c r="BH121" s="60">
        <v>-0.35210000000000002</v>
      </c>
      <c r="BI121" s="60">
        <v>16.6889</v>
      </c>
      <c r="BJ121" s="60">
        <v>8.4640000000000007E-2</v>
      </c>
      <c r="BK121" s="60">
        <v>14.2</v>
      </c>
      <c r="BL121" s="60">
        <v>15.4</v>
      </c>
      <c r="BM121" s="60">
        <v>16.7</v>
      </c>
      <c r="BN121" s="60">
        <v>18.2</v>
      </c>
      <c r="BO121" s="60">
        <v>19.899999999999999</v>
      </c>
    </row>
    <row r="122" spans="1:67">
      <c r="A122" s="60">
        <v>181</v>
      </c>
      <c r="B122" s="60">
        <v>-1.1232</v>
      </c>
      <c r="C122" s="60">
        <v>20.259499999999999</v>
      </c>
      <c r="D122" s="60">
        <v>0.13919999999999999</v>
      </c>
      <c r="F122" s="60">
        <v>181</v>
      </c>
      <c r="G122" s="60">
        <v>-1.4847999999999999</v>
      </c>
      <c r="H122" s="60">
        <v>19.8367</v>
      </c>
      <c r="I122" s="60">
        <v>0.12428</v>
      </c>
      <c r="U122" s="60">
        <v>120</v>
      </c>
      <c r="V122" s="60">
        <v>125.8</v>
      </c>
      <c r="W122" s="60">
        <v>132.19999999999999</v>
      </c>
      <c r="X122" s="60">
        <v>138.6</v>
      </c>
      <c r="Y122" s="60">
        <v>145</v>
      </c>
      <c r="Z122" s="60">
        <v>151.4</v>
      </c>
      <c r="AB122" s="60">
        <v>120</v>
      </c>
      <c r="AC122" s="60">
        <v>125</v>
      </c>
      <c r="AD122" s="60">
        <v>131.4</v>
      </c>
      <c r="AE122" s="60">
        <v>137.80000000000001</v>
      </c>
      <c r="AF122" s="60">
        <v>144.19999999999999</v>
      </c>
      <c r="AG122" s="60">
        <v>150.5</v>
      </c>
      <c r="AW122" s="60">
        <v>105</v>
      </c>
      <c r="AX122" s="60">
        <v>-0.38329999999999997</v>
      </c>
      <c r="AY122" s="60">
        <v>16.78</v>
      </c>
      <c r="AZ122" s="60">
        <v>9.2429999999999998E-2</v>
      </c>
      <c r="BA122" s="60">
        <v>14</v>
      </c>
      <c r="BB122" s="60">
        <v>15.3</v>
      </c>
      <c r="BC122" s="60">
        <v>16.8</v>
      </c>
      <c r="BD122" s="60">
        <v>18.399999999999999</v>
      </c>
      <c r="BE122" s="60">
        <v>20.3</v>
      </c>
      <c r="BG122" s="60">
        <v>105</v>
      </c>
      <c r="BH122" s="60">
        <v>-0.35210000000000002</v>
      </c>
      <c r="BI122" s="60">
        <v>16.845400000000001</v>
      </c>
      <c r="BJ122" s="60">
        <v>8.4930000000000005E-2</v>
      </c>
      <c r="BK122" s="60">
        <v>14.3</v>
      </c>
      <c r="BL122" s="60">
        <v>15.5</v>
      </c>
      <c r="BM122" s="60">
        <v>16.8</v>
      </c>
      <c r="BN122" s="60">
        <v>18.399999999999999</v>
      </c>
      <c r="BO122" s="60">
        <v>20.100000000000001</v>
      </c>
    </row>
    <row r="123" spans="1:67">
      <c r="A123" s="60">
        <v>182</v>
      </c>
      <c r="B123" s="60">
        <v>-1.1153</v>
      </c>
      <c r="C123" s="60">
        <v>20.305299999999999</v>
      </c>
      <c r="D123" s="60">
        <v>0.13933999999999999</v>
      </c>
      <c r="F123" s="60">
        <v>182</v>
      </c>
      <c r="G123" s="60">
        <v>-1.4733000000000001</v>
      </c>
      <c r="H123" s="60">
        <v>19.898700000000002</v>
      </c>
      <c r="I123" s="60">
        <v>0.12443</v>
      </c>
      <c r="U123" s="60">
        <v>121</v>
      </c>
      <c r="V123" s="60">
        <v>126.3</v>
      </c>
      <c r="W123" s="60">
        <v>132.69999999999999</v>
      </c>
      <c r="X123" s="60">
        <v>139.19999999999999</v>
      </c>
      <c r="Y123" s="60">
        <v>145.6</v>
      </c>
      <c r="Z123" s="60">
        <v>152</v>
      </c>
      <c r="AB123" s="60">
        <v>121</v>
      </c>
      <c r="AC123" s="60">
        <v>125.4</v>
      </c>
      <c r="AD123" s="60">
        <v>131.80000000000001</v>
      </c>
      <c r="AE123" s="60">
        <v>138.19999999999999</v>
      </c>
      <c r="AF123" s="60">
        <v>144.6</v>
      </c>
      <c r="AG123" s="60">
        <v>151</v>
      </c>
      <c r="AW123" s="60">
        <v>105.5</v>
      </c>
      <c r="AX123" s="60">
        <v>-0.38329999999999997</v>
      </c>
      <c r="AY123" s="60">
        <v>16.9496</v>
      </c>
      <c r="AZ123" s="60">
        <v>9.2609999999999998E-2</v>
      </c>
      <c r="BA123" s="60">
        <v>14.2</v>
      </c>
      <c r="BB123" s="60">
        <v>15.5</v>
      </c>
      <c r="BC123" s="60">
        <v>16.899999999999999</v>
      </c>
      <c r="BD123" s="60">
        <v>18.600000000000001</v>
      </c>
      <c r="BE123" s="60">
        <v>20.5</v>
      </c>
      <c r="BG123" s="60">
        <v>105.5</v>
      </c>
      <c r="BH123" s="60">
        <v>-0.35210000000000002</v>
      </c>
      <c r="BI123" s="60">
        <v>17.003599999999999</v>
      </c>
      <c r="BJ123" s="60">
        <v>8.5209999999999994E-2</v>
      </c>
      <c r="BK123" s="60">
        <v>14.4</v>
      </c>
      <c r="BL123" s="60">
        <v>15.6</v>
      </c>
      <c r="BM123" s="60">
        <v>17</v>
      </c>
      <c r="BN123" s="60">
        <v>18.5</v>
      </c>
      <c r="BO123" s="60">
        <v>20.3</v>
      </c>
    </row>
    <row r="124" spans="1:67">
      <c r="A124" s="60">
        <v>183</v>
      </c>
      <c r="B124" s="60">
        <v>-1.1073999999999999</v>
      </c>
      <c r="C124" s="60">
        <v>20.349900000000002</v>
      </c>
      <c r="D124" s="60">
        <v>0.13949</v>
      </c>
      <c r="F124" s="60">
        <v>183</v>
      </c>
      <c r="G124" s="60">
        <v>-1.4617</v>
      </c>
      <c r="H124" s="60">
        <v>19.9603</v>
      </c>
      <c r="I124" s="60">
        <v>0.12458</v>
      </c>
      <c r="U124" s="60">
        <v>122</v>
      </c>
      <c r="V124" s="60">
        <v>126.8</v>
      </c>
      <c r="W124" s="60">
        <v>133.19999999999999</v>
      </c>
      <c r="X124" s="60">
        <v>139.69999999999999</v>
      </c>
      <c r="Y124" s="60">
        <v>146.1</v>
      </c>
      <c r="Z124" s="60">
        <v>152.6</v>
      </c>
      <c r="AB124" s="60">
        <v>122</v>
      </c>
      <c r="AC124" s="60">
        <v>125.8</v>
      </c>
      <c r="AD124" s="60">
        <v>132.19999999999999</v>
      </c>
      <c r="AE124" s="60">
        <v>138.6</v>
      </c>
      <c r="AF124" s="60">
        <v>145.1</v>
      </c>
      <c r="AG124" s="60">
        <v>151.5</v>
      </c>
      <c r="AW124" s="60">
        <v>106</v>
      </c>
      <c r="AX124" s="60">
        <v>-0.38329999999999997</v>
      </c>
      <c r="AY124" s="60">
        <v>17.122</v>
      </c>
      <c r="AZ124" s="60">
        <v>9.2780000000000001E-2</v>
      </c>
      <c r="BA124" s="60">
        <v>14.3</v>
      </c>
      <c r="BB124" s="60">
        <v>15.6</v>
      </c>
      <c r="BC124" s="60">
        <v>17.100000000000001</v>
      </c>
      <c r="BD124" s="60">
        <v>18.8</v>
      </c>
      <c r="BE124" s="60">
        <v>20.8</v>
      </c>
      <c r="BG124" s="60">
        <v>106</v>
      </c>
      <c r="BH124" s="60">
        <v>-0.35210000000000002</v>
      </c>
      <c r="BI124" s="60">
        <v>17.163699999999999</v>
      </c>
      <c r="BJ124" s="60">
        <v>8.5510000000000003E-2</v>
      </c>
      <c r="BK124" s="60">
        <v>14.5</v>
      </c>
      <c r="BL124" s="60">
        <v>15.8</v>
      </c>
      <c r="BM124" s="60">
        <v>17.2</v>
      </c>
      <c r="BN124" s="60">
        <v>18.7</v>
      </c>
      <c r="BO124" s="60">
        <v>20.5</v>
      </c>
    </row>
    <row r="125" spans="1:67">
      <c r="A125" s="60">
        <v>184</v>
      </c>
      <c r="B125" s="60">
        <v>-1.0995999999999999</v>
      </c>
      <c r="C125" s="60">
        <v>20.3934</v>
      </c>
      <c r="D125" s="60">
        <v>0.13963</v>
      </c>
      <c r="F125" s="60">
        <v>184</v>
      </c>
      <c r="G125" s="60">
        <v>-1.45</v>
      </c>
      <c r="H125" s="60">
        <v>20.0215</v>
      </c>
      <c r="I125" s="60">
        <v>0.12472999999999999</v>
      </c>
      <c r="U125" s="60">
        <v>123</v>
      </c>
      <c r="V125" s="60">
        <v>127.3</v>
      </c>
      <c r="W125" s="60">
        <v>133.69999999999999</v>
      </c>
      <c r="X125" s="60">
        <v>140.19999999999999</v>
      </c>
      <c r="Y125" s="60">
        <v>146.69999999999999</v>
      </c>
      <c r="Z125" s="60">
        <v>153.1</v>
      </c>
      <c r="AB125" s="60">
        <v>123</v>
      </c>
      <c r="AC125" s="60">
        <v>126.2</v>
      </c>
      <c r="AD125" s="60">
        <v>132.6</v>
      </c>
      <c r="AE125" s="60">
        <v>139.1</v>
      </c>
      <c r="AF125" s="60">
        <v>145.5</v>
      </c>
      <c r="AG125" s="60">
        <v>152</v>
      </c>
      <c r="AW125" s="60">
        <v>106.5</v>
      </c>
      <c r="AX125" s="60">
        <v>-0.38329999999999997</v>
      </c>
      <c r="AY125" s="60">
        <v>17.2973</v>
      </c>
      <c r="AZ125" s="60">
        <v>9.2960000000000001E-2</v>
      </c>
      <c r="BA125" s="60">
        <v>14.5</v>
      </c>
      <c r="BB125" s="60">
        <v>15.8</v>
      </c>
      <c r="BC125" s="60">
        <v>17.3</v>
      </c>
      <c r="BD125" s="60">
        <v>19</v>
      </c>
      <c r="BE125" s="60">
        <v>21</v>
      </c>
      <c r="BG125" s="60">
        <v>106.5</v>
      </c>
      <c r="BH125" s="60">
        <v>-0.35210000000000002</v>
      </c>
      <c r="BI125" s="60">
        <v>17.325600000000001</v>
      </c>
      <c r="BJ125" s="60">
        <v>8.5800000000000001E-2</v>
      </c>
      <c r="BK125" s="60">
        <v>14.7</v>
      </c>
      <c r="BL125" s="60">
        <v>15.9</v>
      </c>
      <c r="BM125" s="60">
        <v>17.3</v>
      </c>
      <c r="BN125" s="60">
        <v>18.899999999999999</v>
      </c>
      <c r="BO125" s="60">
        <v>20.7</v>
      </c>
    </row>
    <row r="126" spans="1:67">
      <c r="A126" s="60">
        <v>185</v>
      </c>
      <c r="B126" s="60">
        <v>-1.0916999999999999</v>
      </c>
      <c r="C126" s="60">
        <v>20.435700000000001</v>
      </c>
      <c r="D126" s="60">
        <v>0.13977000000000001</v>
      </c>
      <c r="F126" s="60">
        <v>185</v>
      </c>
      <c r="G126" s="60">
        <v>-1.4381999999999999</v>
      </c>
      <c r="H126" s="60">
        <v>20.0823</v>
      </c>
      <c r="I126" s="60">
        <v>0.12486999999999999</v>
      </c>
      <c r="U126" s="60">
        <v>124</v>
      </c>
      <c r="V126" s="60">
        <v>127.8</v>
      </c>
      <c r="W126" s="60">
        <v>134.19999999999999</v>
      </c>
      <c r="X126" s="60">
        <v>140.69999999999999</v>
      </c>
      <c r="Y126" s="60">
        <v>147.19999999999999</v>
      </c>
      <c r="Z126" s="60">
        <v>153.69999999999999</v>
      </c>
      <c r="AB126" s="60">
        <v>124</v>
      </c>
      <c r="AC126" s="60">
        <v>126.5</v>
      </c>
      <c r="AD126" s="60">
        <v>133</v>
      </c>
      <c r="AE126" s="60">
        <v>139.5</v>
      </c>
      <c r="AF126" s="60">
        <v>146</v>
      </c>
      <c r="AG126" s="60">
        <v>152.5</v>
      </c>
      <c r="AW126" s="60">
        <v>107</v>
      </c>
      <c r="AX126" s="60">
        <v>-0.38329999999999997</v>
      </c>
      <c r="AY126" s="60">
        <v>17.4755</v>
      </c>
      <c r="AZ126" s="60">
        <v>9.3149999999999997E-2</v>
      </c>
      <c r="BA126" s="60">
        <v>14.6</v>
      </c>
      <c r="BB126" s="60">
        <v>15.9</v>
      </c>
      <c r="BC126" s="60">
        <v>17.5</v>
      </c>
      <c r="BD126" s="60">
        <v>19.2</v>
      </c>
      <c r="BE126" s="60">
        <v>21.2</v>
      </c>
      <c r="BG126" s="60">
        <v>107</v>
      </c>
      <c r="BH126" s="60">
        <v>-0.35210000000000002</v>
      </c>
      <c r="BI126" s="60">
        <v>17.4894</v>
      </c>
      <c r="BJ126" s="60">
        <v>8.6110000000000006E-2</v>
      </c>
      <c r="BK126" s="60">
        <v>14.8</v>
      </c>
      <c r="BL126" s="60">
        <v>16.100000000000001</v>
      </c>
      <c r="BM126" s="60">
        <v>17.5</v>
      </c>
      <c r="BN126" s="60">
        <v>19.100000000000001</v>
      </c>
      <c r="BO126" s="60">
        <v>20.9</v>
      </c>
    </row>
    <row r="127" spans="1:67">
      <c r="A127" s="60">
        <v>186</v>
      </c>
      <c r="B127" s="60">
        <v>-1.0838000000000001</v>
      </c>
      <c r="C127" s="60">
        <v>20.476900000000001</v>
      </c>
      <c r="D127" s="60">
        <v>0.13991000000000001</v>
      </c>
      <c r="F127" s="60">
        <v>186</v>
      </c>
      <c r="G127" s="60">
        <v>-1.4262999999999999</v>
      </c>
      <c r="H127" s="60">
        <v>20.142700000000001</v>
      </c>
      <c r="I127" s="60">
        <v>0.12501000000000001</v>
      </c>
      <c r="U127" s="60">
        <v>125</v>
      </c>
      <c r="V127" s="60">
        <v>128.19999999999999</v>
      </c>
      <c r="W127" s="60">
        <v>134.80000000000001</v>
      </c>
      <c r="X127" s="60">
        <v>141.30000000000001</v>
      </c>
      <c r="Y127" s="60">
        <v>147.80000000000001</v>
      </c>
      <c r="Z127" s="60">
        <v>154.30000000000001</v>
      </c>
      <c r="AB127" s="60">
        <v>125</v>
      </c>
      <c r="AC127" s="60">
        <v>126.9</v>
      </c>
      <c r="AD127" s="60">
        <v>133.4</v>
      </c>
      <c r="AE127" s="60">
        <v>140</v>
      </c>
      <c r="AF127" s="60">
        <v>146.5</v>
      </c>
      <c r="AG127" s="60">
        <v>153</v>
      </c>
      <c r="AW127" s="60">
        <v>107.5</v>
      </c>
      <c r="AX127" s="60">
        <v>-0.38329999999999997</v>
      </c>
      <c r="AY127" s="60">
        <v>17.656700000000001</v>
      </c>
      <c r="AZ127" s="60">
        <v>9.3329999999999996E-2</v>
      </c>
      <c r="BA127" s="60">
        <v>14.7</v>
      </c>
      <c r="BB127" s="60">
        <v>16.100000000000001</v>
      </c>
      <c r="BC127" s="60">
        <v>17.7</v>
      </c>
      <c r="BD127" s="60">
        <v>19.399999999999999</v>
      </c>
      <c r="BE127" s="60">
        <v>21.4</v>
      </c>
      <c r="BG127" s="60">
        <v>107.5</v>
      </c>
      <c r="BH127" s="60">
        <v>-0.35210000000000002</v>
      </c>
      <c r="BI127" s="60">
        <v>17.655000000000001</v>
      </c>
      <c r="BJ127" s="60">
        <v>8.6410000000000001E-2</v>
      </c>
      <c r="BK127" s="60">
        <v>14.9</v>
      </c>
      <c r="BL127" s="60">
        <v>16.2</v>
      </c>
      <c r="BM127" s="60">
        <v>17.7</v>
      </c>
      <c r="BN127" s="60">
        <v>19.3</v>
      </c>
      <c r="BO127" s="60">
        <v>21.1</v>
      </c>
    </row>
    <row r="128" spans="1:67">
      <c r="A128" s="60">
        <v>187</v>
      </c>
      <c r="B128" s="60">
        <v>-1.0760000000000001</v>
      </c>
      <c r="C128" s="60">
        <v>20.516999999999999</v>
      </c>
      <c r="D128" s="60">
        <v>0.14005000000000001</v>
      </c>
      <c r="F128" s="60">
        <v>187</v>
      </c>
      <c r="G128" s="60">
        <v>-1.4142999999999999</v>
      </c>
      <c r="H128" s="60">
        <v>20.2026</v>
      </c>
      <c r="I128" s="60">
        <v>0.12514</v>
      </c>
      <c r="U128" s="60">
        <v>126</v>
      </c>
      <c r="V128" s="60">
        <v>128.69999999999999</v>
      </c>
      <c r="W128" s="60">
        <v>135.30000000000001</v>
      </c>
      <c r="X128" s="60">
        <v>141.80000000000001</v>
      </c>
      <c r="Y128" s="60">
        <v>148.30000000000001</v>
      </c>
      <c r="Z128" s="60">
        <v>154.80000000000001</v>
      </c>
      <c r="AB128" s="60">
        <v>126</v>
      </c>
      <c r="AC128" s="60">
        <v>127.3</v>
      </c>
      <c r="AD128" s="60">
        <v>133.80000000000001</v>
      </c>
      <c r="AE128" s="60">
        <v>140.4</v>
      </c>
      <c r="AF128" s="60">
        <v>146.9</v>
      </c>
      <c r="AG128" s="60">
        <v>153.5</v>
      </c>
      <c r="AW128" s="60">
        <v>108</v>
      </c>
      <c r="AX128" s="60">
        <v>-0.38329999999999997</v>
      </c>
      <c r="AY128" s="60">
        <v>17.840699999999998</v>
      </c>
      <c r="AZ128" s="60">
        <v>9.3520000000000006E-2</v>
      </c>
      <c r="BA128" s="60">
        <v>14.9</v>
      </c>
      <c r="BB128" s="60">
        <v>16.3</v>
      </c>
      <c r="BC128" s="60">
        <v>17.8</v>
      </c>
      <c r="BD128" s="60">
        <v>19.600000000000001</v>
      </c>
      <c r="BE128" s="60">
        <v>21.7</v>
      </c>
      <c r="BG128" s="60">
        <v>108</v>
      </c>
      <c r="BH128" s="60">
        <v>-0.35210000000000002</v>
      </c>
      <c r="BI128" s="60">
        <v>17.822600000000001</v>
      </c>
      <c r="BJ128" s="60">
        <v>8.6730000000000002E-2</v>
      </c>
      <c r="BK128" s="60">
        <v>15.1</v>
      </c>
      <c r="BL128" s="60">
        <v>16.399999999999999</v>
      </c>
      <c r="BM128" s="60">
        <v>17.8</v>
      </c>
      <c r="BN128" s="60">
        <v>19.5</v>
      </c>
      <c r="BO128" s="60">
        <v>21.3</v>
      </c>
    </row>
    <row r="129" spans="1:67">
      <c r="A129" s="60">
        <v>188</v>
      </c>
      <c r="B129" s="60">
        <v>-1.0681</v>
      </c>
      <c r="C129" s="60">
        <v>20.556000000000001</v>
      </c>
      <c r="D129" s="60">
        <v>0.14018</v>
      </c>
      <c r="F129" s="60">
        <v>188</v>
      </c>
      <c r="G129" s="60">
        <v>-1.4021999999999999</v>
      </c>
      <c r="H129" s="60">
        <v>20.2621</v>
      </c>
      <c r="I129" s="60">
        <v>0.12528</v>
      </c>
      <c r="U129" s="60">
        <v>127</v>
      </c>
      <c r="V129" s="60">
        <v>129.19999999999999</v>
      </c>
      <c r="W129" s="60">
        <v>135.80000000000001</v>
      </c>
      <c r="X129" s="60">
        <v>142.30000000000001</v>
      </c>
      <c r="Y129" s="60">
        <v>148.9</v>
      </c>
      <c r="Z129" s="60">
        <v>155.4</v>
      </c>
      <c r="AB129" s="60">
        <v>127</v>
      </c>
      <c r="AC129" s="60">
        <v>127.7</v>
      </c>
      <c r="AD129" s="60">
        <v>134.30000000000001</v>
      </c>
      <c r="AE129" s="60">
        <v>140.80000000000001</v>
      </c>
      <c r="AF129" s="60">
        <v>147.4</v>
      </c>
      <c r="AG129" s="60">
        <v>154</v>
      </c>
      <c r="AW129" s="60">
        <v>108.5</v>
      </c>
      <c r="AX129" s="60">
        <v>-0.38329999999999997</v>
      </c>
      <c r="AY129" s="60">
        <v>18.027699999999999</v>
      </c>
      <c r="AZ129" s="60">
        <v>9.3710000000000002E-2</v>
      </c>
      <c r="BA129" s="60">
        <v>15</v>
      </c>
      <c r="BB129" s="60">
        <v>16.399999999999999</v>
      </c>
      <c r="BC129" s="60">
        <v>18</v>
      </c>
      <c r="BD129" s="60">
        <v>19.8</v>
      </c>
      <c r="BE129" s="60">
        <v>21.9</v>
      </c>
      <c r="BG129" s="60">
        <v>108.5</v>
      </c>
      <c r="BH129" s="60">
        <v>-0.35210000000000002</v>
      </c>
      <c r="BI129" s="60">
        <v>17.9924</v>
      </c>
      <c r="BJ129" s="60">
        <v>8.7040000000000006E-2</v>
      </c>
      <c r="BK129" s="60">
        <v>15.2</v>
      </c>
      <c r="BL129" s="60">
        <v>16.5</v>
      </c>
      <c r="BM129" s="60">
        <v>18</v>
      </c>
      <c r="BN129" s="60">
        <v>19.7</v>
      </c>
      <c r="BO129" s="60">
        <v>21.5</v>
      </c>
    </row>
    <row r="130" spans="1:67">
      <c r="A130" s="60">
        <v>189</v>
      </c>
      <c r="B130" s="60">
        <v>-1.0603</v>
      </c>
      <c r="C130" s="60">
        <v>20.593800000000002</v>
      </c>
      <c r="D130" s="60">
        <v>0.14030999999999999</v>
      </c>
      <c r="F130" s="60">
        <v>189</v>
      </c>
      <c r="G130" s="60">
        <v>-1.39</v>
      </c>
      <c r="H130" s="60">
        <v>20.321100000000001</v>
      </c>
      <c r="I130" s="60">
        <v>0.12540999999999999</v>
      </c>
      <c r="U130" s="60">
        <v>128</v>
      </c>
      <c r="V130" s="60">
        <v>129.69999999999999</v>
      </c>
      <c r="W130" s="60">
        <v>136.30000000000001</v>
      </c>
      <c r="X130" s="60">
        <v>142.9</v>
      </c>
      <c r="Y130" s="60">
        <v>149.4</v>
      </c>
      <c r="Z130" s="60">
        <v>156</v>
      </c>
      <c r="AB130" s="60">
        <v>128</v>
      </c>
      <c r="AC130" s="60">
        <v>128.1</v>
      </c>
      <c r="AD130" s="60">
        <v>134.69999999999999</v>
      </c>
      <c r="AE130" s="60">
        <v>141.30000000000001</v>
      </c>
      <c r="AF130" s="60">
        <v>147.9</v>
      </c>
      <c r="AG130" s="60">
        <v>154.5</v>
      </c>
      <c r="AW130" s="60">
        <v>109</v>
      </c>
      <c r="AX130" s="60">
        <v>-0.38329999999999997</v>
      </c>
      <c r="AY130" s="60">
        <v>18.217400000000001</v>
      </c>
      <c r="AZ130" s="60">
        <v>9.3899999999999997E-2</v>
      </c>
      <c r="BA130" s="60">
        <v>15.2</v>
      </c>
      <c r="BB130" s="60">
        <v>16.600000000000001</v>
      </c>
      <c r="BC130" s="60">
        <v>18.2</v>
      </c>
      <c r="BD130" s="60">
        <v>20</v>
      </c>
      <c r="BE130" s="60">
        <v>22.1</v>
      </c>
      <c r="BG130" s="60">
        <v>109</v>
      </c>
      <c r="BH130" s="60">
        <v>-0.35210000000000002</v>
      </c>
      <c r="BI130" s="60">
        <v>18.1645</v>
      </c>
      <c r="BJ130" s="60">
        <v>8.7359999999999993E-2</v>
      </c>
      <c r="BK130" s="60">
        <v>15.3</v>
      </c>
      <c r="BL130" s="60">
        <v>16.7</v>
      </c>
      <c r="BM130" s="60">
        <v>18.2</v>
      </c>
      <c r="BN130" s="60">
        <v>19.8</v>
      </c>
      <c r="BO130" s="60">
        <v>21.8</v>
      </c>
    </row>
    <row r="131" spans="1:67">
      <c r="A131" s="60">
        <v>190</v>
      </c>
      <c r="B131" s="60">
        <v>-1.0525</v>
      </c>
      <c r="C131" s="60">
        <v>20.630600000000001</v>
      </c>
      <c r="D131" s="60">
        <v>0.14044000000000001</v>
      </c>
      <c r="F131" s="60">
        <v>190</v>
      </c>
      <c r="G131" s="60">
        <v>-1.3776999999999999</v>
      </c>
      <c r="H131" s="60">
        <v>20.3796</v>
      </c>
      <c r="I131" s="60">
        <v>0.12554000000000001</v>
      </c>
      <c r="U131" s="60">
        <v>129</v>
      </c>
      <c r="V131" s="60">
        <v>130.19999999999999</v>
      </c>
      <c r="W131" s="60">
        <v>136.80000000000001</v>
      </c>
      <c r="X131" s="60">
        <v>143.4</v>
      </c>
      <c r="Y131" s="60">
        <v>150</v>
      </c>
      <c r="Z131" s="60">
        <v>156.6</v>
      </c>
      <c r="AB131" s="60">
        <v>129</v>
      </c>
      <c r="AC131" s="60">
        <v>128.5</v>
      </c>
      <c r="AD131" s="60">
        <v>135.1</v>
      </c>
      <c r="AE131" s="60">
        <v>141.69999999999999</v>
      </c>
      <c r="AF131" s="60">
        <v>148.4</v>
      </c>
      <c r="AG131" s="60">
        <v>155</v>
      </c>
      <c r="AW131" s="60">
        <v>109.5</v>
      </c>
      <c r="AX131" s="60">
        <v>-0.38329999999999997</v>
      </c>
      <c r="AY131" s="60">
        <v>18.409600000000001</v>
      </c>
      <c r="AZ131" s="60">
        <v>9.4089999999999993E-2</v>
      </c>
      <c r="BA131" s="60">
        <v>15.4</v>
      </c>
      <c r="BB131" s="60">
        <v>16.8</v>
      </c>
      <c r="BC131" s="60">
        <v>18.399999999999999</v>
      </c>
      <c r="BD131" s="60">
        <v>20.3</v>
      </c>
      <c r="BE131" s="60">
        <v>22.4</v>
      </c>
      <c r="BG131" s="60">
        <v>109.5</v>
      </c>
      <c r="BH131" s="60">
        <v>-0.38329999999999997</v>
      </c>
      <c r="BI131" s="60">
        <v>18.338999999999999</v>
      </c>
      <c r="BJ131" s="60">
        <v>8.7679999999999994E-2</v>
      </c>
      <c r="BK131" s="60">
        <v>15.5</v>
      </c>
      <c r="BL131" s="60">
        <v>16.8</v>
      </c>
      <c r="BM131" s="60">
        <v>18.3</v>
      </c>
      <c r="BN131" s="60">
        <v>20</v>
      </c>
      <c r="BO131" s="60">
        <v>22</v>
      </c>
    </row>
    <row r="132" spans="1:67">
      <c r="A132" s="60">
        <v>191</v>
      </c>
      <c r="B132" s="60">
        <v>-1.0447</v>
      </c>
      <c r="C132" s="60">
        <v>20.6663</v>
      </c>
      <c r="D132" s="60">
        <v>0.14057</v>
      </c>
      <c r="F132" s="60">
        <v>191</v>
      </c>
      <c r="G132" s="60">
        <v>-1.3653</v>
      </c>
      <c r="H132" s="60">
        <v>20.4376</v>
      </c>
      <c r="I132" s="60">
        <v>0.12567</v>
      </c>
      <c r="U132" s="60">
        <v>130</v>
      </c>
      <c r="V132" s="60">
        <v>130.69999999999999</v>
      </c>
      <c r="W132" s="60">
        <v>137.30000000000001</v>
      </c>
      <c r="X132" s="60">
        <v>143.9</v>
      </c>
      <c r="Y132" s="60">
        <v>150.5</v>
      </c>
      <c r="Z132" s="60">
        <v>157.1</v>
      </c>
      <c r="AB132" s="60">
        <v>130</v>
      </c>
      <c r="AC132" s="60">
        <v>128.80000000000001</v>
      </c>
      <c r="AD132" s="60">
        <v>135.5</v>
      </c>
      <c r="AE132" s="60">
        <v>142.19999999999999</v>
      </c>
      <c r="AF132" s="60">
        <v>148.9</v>
      </c>
      <c r="AG132" s="60">
        <v>155.5</v>
      </c>
      <c r="AW132" s="60">
        <v>110</v>
      </c>
      <c r="AX132" s="60">
        <v>-0.38329999999999997</v>
      </c>
      <c r="AY132" s="60">
        <v>18.604299999999999</v>
      </c>
      <c r="AZ132" s="60">
        <v>9.4280000000000003E-2</v>
      </c>
      <c r="BA132" s="60">
        <v>15.5</v>
      </c>
      <c r="BB132" s="60">
        <v>17</v>
      </c>
      <c r="BC132" s="60">
        <v>18.600000000000001</v>
      </c>
      <c r="BD132" s="60">
        <v>20.5</v>
      </c>
      <c r="BE132" s="60">
        <v>22.6</v>
      </c>
      <c r="BG132" s="60">
        <v>110</v>
      </c>
      <c r="BH132" s="60">
        <v>-0.35210000000000002</v>
      </c>
      <c r="BI132" s="60">
        <v>18.515799999999999</v>
      </c>
      <c r="BJ132" s="60">
        <v>8.7999999999999995E-2</v>
      </c>
      <c r="BK132" s="60">
        <v>15.6</v>
      </c>
      <c r="BL132" s="60">
        <v>17</v>
      </c>
      <c r="BM132" s="60">
        <v>18.5</v>
      </c>
      <c r="BN132" s="60">
        <v>20.2</v>
      </c>
      <c r="BO132" s="60">
        <v>22.2</v>
      </c>
    </row>
    <row r="133" spans="1:67">
      <c r="A133" s="60">
        <v>192</v>
      </c>
      <c r="B133" s="60">
        <v>-1.0367999999999999</v>
      </c>
      <c r="C133" s="60">
        <v>20.700800000000001</v>
      </c>
      <c r="D133" s="60">
        <v>0.14069999999999999</v>
      </c>
      <c r="F133" s="60">
        <v>192</v>
      </c>
      <c r="G133" s="60">
        <v>-1.3529</v>
      </c>
      <c r="H133" s="60">
        <v>20.495100000000001</v>
      </c>
      <c r="I133" s="60">
        <v>0.12579000000000001</v>
      </c>
      <c r="U133" s="60">
        <v>131</v>
      </c>
      <c r="V133" s="60">
        <v>131.19999999999999</v>
      </c>
      <c r="W133" s="60">
        <v>137.80000000000001</v>
      </c>
      <c r="X133" s="60">
        <v>144.5</v>
      </c>
      <c r="Y133" s="60">
        <v>151.1</v>
      </c>
      <c r="Z133" s="60">
        <v>157.69999999999999</v>
      </c>
      <c r="AB133" s="60">
        <v>131</v>
      </c>
      <c r="AC133" s="60">
        <v>129.19999999999999</v>
      </c>
      <c r="AD133" s="60">
        <v>135.9</v>
      </c>
      <c r="AE133" s="60">
        <v>142.69999999999999</v>
      </c>
      <c r="AF133" s="60">
        <v>149.4</v>
      </c>
      <c r="AG133" s="60">
        <v>156.1</v>
      </c>
      <c r="AW133" s="60">
        <v>110.5</v>
      </c>
      <c r="AX133" s="60">
        <v>-0.38329999999999997</v>
      </c>
      <c r="AY133" s="60">
        <v>18.801500000000001</v>
      </c>
      <c r="AZ133" s="60">
        <v>9.4479999999999995E-2</v>
      </c>
      <c r="BA133" s="60">
        <v>15.7</v>
      </c>
      <c r="BB133" s="60">
        <v>17.100000000000001</v>
      </c>
      <c r="BC133" s="60">
        <v>18.8</v>
      </c>
      <c r="BD133" s="60">
        <v>20.7</v>
      </c>
      <c r="BE133" s="60">
        <v>22.9</v>
      </c>
      <c r="BG133" s="60">
        <v>110.5</v>
      </c>
      <c r="BH133" s="60">
        <v>-0.35210000000000002</v>
      </c>
      <c r="BI133" s="60">
        <v>18.694800000000001</v>
      </c>
      <c r="BJ133" s="60">
        <v>8.8319999999999996E-2</v>
      </c>
      <c r="BK133" s="60">
        <v>15.8</v>
      </c>
      <c r="BL133" s="60">
        <v>17.100000000000001</v>
      </c>
      <c r="BM133" s="60">
        <v>18.7</v>
      </c>
      <c r="BN133" s="60">
        <v>20.399999999999999</v>
      </c>
      <c r="BO133" s="60">
        <v>22.4</v>
      </c>
    </row>
    <row r="134" spans="1:67">
      <c r="A134" s="60">
        <v>193</v>
      </c>
      <c r="B134" s="60">
        <v>-1.0289999999999999</v>
      </c>
      <c r="C134" s="60">
        <v>20.734400000000001</v>
      </c>
      <c r="D134" s="60">
        <v>0.14082</v>
      </c>
      <c r="F134" s="60">
        <v>193</v>
      </c>
      <c r="G134" s="60">
        <v>-1.3403</v>
      </c>
      <c r="H134" s="60">
        <v>20.552099999999999</v>
      </c>
      <c r="I134" s="60">
        <v>0.12590999999999999</v>
      </c>
      <c r="U134" s="60">
        <v>132</v>
      </c>
      <c r="V134" s="60">
        <v>131.69999999999999</v>
      </c>
      <c r="W134" s="60">
        <v>138.30000000000001</v>
      </c>
      <c r="X134" s="60">
        <v>145</v>
      </c>
      <c r="Y134" s="60">
        <v>151.6</v>
      </c>
      <c r="Z134" s="60">
        <v>158.30000000000001</v>
      </c>
      <c r="AB134" s="60">
        <v>132</v>
      </c>
      <c r="AC134" s="60">
        <v>129.69999999999999</v>
      </c>
      <c r="AD134" s="60">
        <v>136.4</v>
      </c>
      <c r="AE134" s="60">
        <v>143.1</v>
      </c>
      <c r="AF134" s="60">
        <v>149.80000000000001</v>
      </c>
      <c r="AG134" s="60">
        <v>156.6</v>
      </c>
      <c r="AW134" s="60">
        <v>111</v>
      </c>
      <c r="AX134" s="60">
        <v>-0.38329999999999997</v>
      </c>
      <c r="AY134" s="60">
        <v>19.000900000000001</v>
      </c>
      <c r="AZ134" s="60">
        <v>9.4670000000000004E-2</v>
      </c>
      <c r="BA134" s="60">
        <v>15.8</v>
      </c>
      <c r="BB134" s="60">
        <v>17.3</v>
      </c>
      <c r="BC134" s="60">
        <v>19</v>
      </c>
      <c r="BD134" s="60">
        <v>20.9</v>
      </c>
      <c r="BE134" s="60">
        <v>23.1</v>
      </c>
      <c r="BG134" s="60">
        <v>111</v>
      </c>
      <c r="BH134" s="60">
        <v>-0.35210000000000002</v>
      </c>
      <c r="BI134" s="60">
        <v>18.875900000000001</v>
      </c>
      <c r="BJ134" s="60">
        <v>8.8639999999999997E-2</v>
      </c>
      <c r="BK134" s="60">
        <v>15.9</v>
      </c>
      <c r="BL134" s="60">
        <v>17.3</v>
      </c>
      <c r="BM134" s="60">
        <v>18.899999999999999</v>
      </c>
      <c r="BN134" s="60">
        <v>20.7</v>
      </c>
      <c r="BO134" s="60">
        <v>22.7</v>
      </c>
    </row>
    <row r="135" spans="1:67">
      <c r="A135" s="60">
        <v>194</v>
      </c>
      <c r="B135" s="60">
        <v>-1.0212000000000001</v>
      </c>
      <c r="C135" s="60">
        <v>20.7668</v>
      </c>
      <c r="D135" s="60">
        <v>0.14094000000000001</v>
      </c>
      <c r="F135" s="60">
        <v>194</v>
      </c>
      <c r="G135" s="60">
        <v>-1.3277000000000001</v>
      </c>
      <c r="H135" s="60">
        <v>20.608499999999999</v>
      </c>
      <c r="I135" s="60">
        <v>0.12603</v>
      </c>
      <c r="U135" s="60">
        <v>133</v>
      </c>
      <c r="V135" s="60">
        <v>132.19999999999999</v>
      </c>
      <c r="W135" s="60">
        <v>138.9</v>
      </c>
      <c r="X135" s="60">
        <v>145.5</v>
      </c>
      <c r="Y135" s="60">
        <v>152.19999999999999</v>
      </c>
      <c r="Z135" s="60">
        <v>158.9</v>
      </c>
      <c r="AB135" s="60">
        <v>133</v>
      </c>
      <c r="AC135" s="60">
        <v>130.1</v>
      </c>
      <c r="AD135" s="60">
        <v>136.80000000000001</v>
      </c>
      <c r="AE135" s="60">
        <v>143.6</v>
      </c>
      <c r="AF135" s="60">
        <v>150.30000000000001</v>
      </c>
      <c r="AG135" s="60">
        <v>157.1</v>
      </c>
      <c r="AW135" s="60">
        <v>111.5</v>
      </c>
      <c r="AX135" s="60">
        <v>-0.38329999999999997</v>
      </c>
      <c r="AY135" s="60">
        <v>19.202400000000001</v>
      </c>
      <c r="AZ135" s="60">
        <v>9.4869999999999996E-2</v>
      </c>
      <c r="BA135" s="60">
        <v>16</v>
      </c>
      <c r="BB135" s="60">
        <v>17.5</v>
      </c>
      <c r="BC135" s="60">
        <v>19.2</v>
      </c>
      <c r="BD135" s="60">
        <v>21.2</v>
      </c>
      <c r="BE135" s="60">
        <v>23.4</v>
      </c>
      <c r="BG135" s="60">
        <v>111.5</v>
      </c>
      <c r="BH135" s="60">
        <v>-0.35210000000000002</v>
      </c>
      <c r="BI135" s="60">
        <v>19.059000000000001</v>
      </c>
      <c r="BJ135" s="60">
        <v>8.8959999999999997E-2</v>
      </c>
      <c r="BK135" s="60">
        <v>16</v>
      </c>
      <c r="BL135" s="60">
        <v>17.5</v>
      </c>
      <c r="BM135" s="60">
        <v>19.100000000000001</v>
      </c>
      <c r="BN135" s="60">
        <v>20.9</v>
      </c>
      <c r="BO135" s="60">
        <v>22.9</v>
      </c>
    </row>
    <row r="136" spans="1:67">
      <c r="A136" s="60">
        <v>195</v>
      </c>
      <c r="B136" s="60">
        <v>-1.0134000000000001</v>
      </c>
      <c r="C136" s="60">
        <v>20.798200000000001</v>
      </c>
      <c r="D136" s="60">
        <v>0.14105999999999999</v>
      </c>
      <c r="F136" s="60">
        <v>195</v>
      </c>
      <c r="G136" s="60">
        <v>-1.3149</v>
      </c>
      <c r="H136" s="60">
        <v>20.664400000000001</v>
      </c>
      <c r="I136" s="60">
        <v>0.12615000000000001</v>
      </c>
      <c r="U136" s="60">
        <v>134</v>
      </c>
      <c r="V136" s="60">
        <v>132.69999999999999</v>
      </c>
      <c r="W136" s="60">
        <v>139.4</v>
      </c>
      <c r="X136" s="60">
        <v>146.1</v>
      </c>
      <c r="Y136" s="60">
        <v>152.69999999999999</v>
      </c>
      <c r="Z136" s="60">
        <v>159.4</v>
      </c>
      <c r="AB136" s="60">
        <v>134</v>
      </c>
      <c r="AC136" s="60">
        <v>130.5</v>
      </c>
      <c r="AD136" s="60">
        <v>137.30000000000001</v>
      </c>
      <c r="AE136" s="60">
        <v>144.1</v>
      </c>
      <c r="AF136" s="60">
        <v>150.80000000000001</v>
      </c>
      <c r="AG136" s="60">
        <v>157.6</v>
      </c>
      <c r="AW136" s="60">
        <v>112</v>
      </c>
      <c r="AX136" s="60">
        <v>-0.38329999999999997</v>
      </c>
      <c r="AY136" s="60">
        <v>19.405999999999999</v>
      </c>
      <c r="AZ136" s="60">
        <v>9.5070000000000002E-2</v>
      </c>
      <c r="BA136" s="60">
        <v>16.2</v>
      </c>
      <c r="BB136" s="60">
        <v>17.7</v>
      </c>
      <c r="BC136" s="60">
        <v>19.399999999999999</v>
      </c>
      <c r="BD136" s="60">
        <v>21.4</v>
      </c>
      <c r="BE136" s="60">
        <v>23.6</v>
      </c>
      <c r="BG136" s="60">
        <v>112</v>
      </c>
      <c r="BH136" s="60">
        <v>-0.35210000000000002</v>
      </c>
      <c r="BI136" s="60">
        <v>19.2439</v>
      </c>
      <c r="BJ136" s="60">
        <v>8.9279999999999998E-2</v>
      </c>
      <c r="BK136" s="60">
        <v>16.2</v>
      </c>
      <c r="BL136" s="60">
        <v>17.600000000000001</v>
      </c>
      <c r="BM136" s="60">
        <v>19.2</v>
      </c>
      <c r="BN136" s="60">
        <v>21.1</v>
      </c>
      <c r="BO136" s="60">
        <v>23.1</v>
      </c>
    </row>
    <row r="137" spans="1:67">
      <c r="A137" s="60">
        <v>196</v>
      </c>
      <c r="B137" s="60">
        <v>-1.0055000000000001</v>
      </c>
      <c r="C137" s="60">
        <v>20.828600000000002</v>
      </c>
      <c r="D137" s="60">
        <v>0.14118</v>
      </c>
      <c r="F137" s="60">
        <v>196</v>
      </c>
      <c r="G137" s="60">
        <v>-1.3021</v>
      </c>
      <c r="H137" s="60">
        <v>20.7197</v>
      </c>
      <c r="I137" s="60">
        <v>0.12626999999999999</v>
      </c>
      <c r="U137" s="60">
        <v>135</v>
      </c>
      <c r="V137" s="60">
        <v>133.19999999999999</v>
      </c>
      <c r="W137" s="60">
        <v>139.9</v>
      </c>
      <c r="X137" s="60">
        <v>146.6</v>
      </c>
      <c r="Y137" s="60">
        <v>153.30000000000001</v>
      </c>
      <c r="Z137" s="60">
        <v>160</v>
      </c>
      <c r="AB137" s="60">
        <v>135</v>
      </c>
      <c r="AC137" s="60">
        <v>130.9</v>
      </c>
      <c r="AD137" s="60">
        <v>137.69999999999999</v>
      </c>
      <c r="AE137" s="60">
        <v>144.5</v>
      </c>
      <c r="AF137" s="60">
        <v>151.30000000000001</v>
      </c>
      <c r="AG137" s="60">
        <v>158.19999999999999</v>
      </c>
      <c r="AW137" s="60">
        <v>112.5</v>
      </c>
      <c r="AX137" s="60">
        <v>-0.38329999999999997</v>
      </c>
      <c r="AY137" s="60">
        <v>19.611599999999999</v>
      </c>
      <c r="AZ137" s="60">
        <v>9.5269999999999994E-2</v>
      </c>
      <c r="BA137" s="60">
        <v>16.3</v>
      </c>
      <c r="BB137" s="60">
        <v>17.899999999999999</v>
      </c>
      <c r="BC137" s="60">
        <v>19.600000000000001</v>
      </c>
      <c r="BD137" s="60">
        <v>21.6</v>
      </c>
      <c r="BE137" s="60">
        <v>23.9</v>
      </c>
      <c r="BG137" s="60">
        <v>112.5</v>
      </c>
      <c r="BH137" s="60">
        <v>-0.35210000000000002</v>
      </c>
      <c r="BI137" s="60">
        <v>19.430399999999999</v>
      </c>
      <c r="BJ137" s="60">
        <v>8.9599999999999999E-2</v>
      </c>
      <c r="BK137" s="60">
        <v>16.3</v>
      </c>
      <c r="BL137" s="60">
        <v>17.8</v>
      </c>
      <c r="BM137" s="60">
        <v>19.399999999999999</v>
      </c>
      <c r="BN137" s="60">
        <v>21.3</v>
      </c>
      <c r="BO137" s="60">
        <v>23.4</v>
      </c>
    </row>
    <row r="138" spans="1:67">
      <c r="A138" s="60">
        <v>197</v>
      </c>
      <c r="B138" s="60">
        <v>-0.99770000000000003</v>
      </c>
      <c r="C138" s="60">
        <v>20.858000000000001</v>
      </c>
      <c r="D138" s="60">
        <v>0.14130000000000001</v>
      </c>
      <c r="F138" s="60">
        <v>197</v>
      </c>
      <c r="G138" s="60">
        <v>-1.2891999999999999</v>
      </c>
      <c r="H138" s="60">
        <v>20.7745</v>
      </c>
      <c r="I138" s="60">
        <v>0.12637999999999999</v>
      </c>
      <c r="U138" s="60">
        <v>136</v>
      </c>
      <c r="V138" s="60">
        <v>133.69999999999999</v>
      </c>
      <c r="W138" s="60">
        <v>140.4</v>
      </c>
      <c r="X138" s="60">
        <v>147.1</v>
      </c>
      <c r="Y138" s="60">
        <v>153.80000000000001</v>
      </c>
      <c r="Z138" s="60">
        <v>160.6</v>
      </c>
      <c r="AB138" s="60">
        <v>136</v>
      </c>
      <c r="AC138" s="60">
        <v>131.30000000000001</v>
      </c>
      <c r="AD138" s="60">
        <v>138.19999999999999</v>
      </c>
      <c r="AE138" s="60">
        <v>145</v>
      </c>
      <c r="AF138" s="60">
        <v>151.9</v>
      </c>
      <c r="AG138" s="60">
        <v>158.69999999999999</v>
      </c>
      <c r="AW138" s="60">
        <v>113</v>
      </c>
      <c r="AX138" s="60">
        <v>-0.38329999999999997</v>
      </c>
      <c r="AY138" s="60">
        <v>19.818999999999999</v>
      </c>
      <c r="AZ138" s="60">
        <v>9.5460000000000003E-2</v>
      </c>
      <c r="BA138" s="60">
        <v>16.5</v>
      </c>
      <c r="BB138" s="60">
        <v>18</v>
      </c>
      <c r="BC138" s="60">
        <v>19.8</v>
      </c>
      <c r="BD138" s="60">
        <v>21.8</v>
      </c>
      <c r="BE138" s="60">
        <v>24.2</v>
      </c>
      <c r="BG138" s="60">
        <v>113</v>
      </c>
      <c r="BH138" s="60">
        <v>-0.35210000000000002</v>
      </c>
      <c r="BI138" s="60">
        <v>19.618500000000001</v>
      </c>
      <c r="BJ138" s="60">
        <v>8.9910000000000004E-2</v>
      </c>
      <c r="BK138" s="60">
        <v>16.5</v>
      </c>
      <c r="BL138" s="60">
        <v>18</v>
      </c>
      <c r="BM138" s="60">
        <v>19.600000000000001</v>
      </c>
      <c r="BN138" s="60">
        <v>21.5</v>
      </c>
      <c r="BO138" s="60">
        <v>23.6</v>
      </c>
    </row>
    <row r="139" spans="1:67">
      <c r="A139" s="60">
        <v>198</v>
      </c>
      <c r="B139" s="60">
        <v>-0.98980000000000001</v>
      </c>
      <c r="C139" s="60">
        <v>20.886299999999999</v>
      </c>
      <c r="D139" s="60">
        <v>0.14141999999999999</v>
      </c>
      <c r="F139" s="60">
        <v>198</v>
      </c>
      <c r="G139" s="60">
        <v>-1.2762</v>
      </c>
      <c r="H139" s="60">
        <v>20.828700000000001</v>
      </c>
      <c r="I139" s="60">
        <v>0.1265</v>
      </c>
      <c r="U139" s="60">
        <v>137</v>
      </c>
      <c r="V139" s="60">
        <v>134.19999999999999</v>
      </c>
      <c r="W139" s="60">
        <v>140.9</v>
      </c>
      <c r="X139" s="60">
        <v>147.69999999999999</v>
      </c>
      <c r="Y139" s="60">
        <v>154.4</v>
      </c>
      <c r="Z139" s="60">
        <v>161.1</v>
      </c>
      <c r="AB139" s="60">
        <v>137</v>
      </c>
      <c r="AC139" s="60">
        <v>131.69999999999999</v>
      </c>
      <c r="AD139" s="60">
        <v>138.6</v>
      </c>
      <c r="AE139" s="60">
        <v>145.5</v>
      </c>
      <c r="AF139" s="60">
        <v>152.4</v>
      </c>
      <c r="AG139" s="60">
        <v>159.30000000000001</v>
      </c>
      <c r="AW139" s="60">
        <v>113.5</v>
      </c>
      <c r="AX139" s="60">
        <v>-0.38329999999999997</v>
      </c>
      <c r="AY139" s="60">
        <v>20.027999999999999</v>
      </c>
      <c r="AZ139" s="60">
        <v>9.5659999999999995E-2</v>
      </c>
      <c r="BA139" s="60">
        <v>16.7</v>
      </c>
      <c r="BB139" s="60">
        <v>18.2</v>
      </c>
      <c r="BC139" s="60">
        <v>20</v>
      </c>
      <c r="BD139" s="60">
        <v>22.1</v>
      </c>
      <c r="BE139" s="60">
        <v>24.4</v>
      </c>
      <c r="BG139" s="60">
        <v>113.5</v>
      </c>
      <c r="BH139" s="60">
        <v>-0.35210000000000002</v>
      </c>
      <c r="BI139" s="60">
        <v>19.8081</v>
      </c>
      <c r="BJ139" s="60">
        <v>9.0219999999999995E-2</v>
      </c>
      <c r="BK139" s="60">
        <v>16.600000000000001</v>
      </c>
      <c r="BL139" s="60">
        <v>18.100000000000001</v>
      </c>
      <c r="BM139" s="60">
        <v>19.8</v>
      </c>
      <c r="BN139" s="60">
        <v>21.7</v>
      </c>
      <c r="BO139" s="60">
        <v>23.9</v>
      </c>
    </row>
    <row r="140" spans="1:67">
      <c r="A140" s="60">
        <v>199</v>
      </c>
      <c r="B140" s="60">
        <v>-0.9819</v>
      </c>
      <c r="C140" s="60">
        <v>20.913699999999999</v>
      </c>
      <c r="D140" s="60">
        <v>0.14152999999999999</v>
      </c>
      <c r="F140" s="60">
        <v>199</v>
      </c>
      <c r="G140" s="60">
        <v>-1.2630999999999999</v>
      </c>
      <c r="H140" s="60">
        <v>20.882400000000001</v>
      </c>
      <c r="I140" s="60">
        <v>0.12661</v>
      </c>
      <c r="U140" s="60">
        <v>138</v>
      </c>
      <c r="V140" s="60">
        <v>134.69999999999999</v>
      </c>
      <c r="W140" s="60">
        <v>141.4</v>
      </c>
      <c r="X140" s="60">
        <v>148.19999999999999</v>
      </c>
      <c r="Y140" s="60">
        <v>154.9</v>
      </c>
      <c r="Z140" s="60">
        <v>161.69999999999999</v>
      </c>
      <c r="AB140" s="60">
        <v>138</v>
      </c>
      <c r="AC140" s="60">
        <v>132.19999999999999</v>
      </c>
      <c r="AD140" s="60">
        <v>139.1</v>
      </c>
      <c r="AE140" s="60">
        <v>146</v>
      </c>
      <c r="AF140" s="60">
        <v>152.9</v>
      </c>
      <c r="AG140" s="60">
        <v>159.80000000000001</v>
      </c>
      <c r="AW140" s="60">
        <v>114</v>
      </c>
      <c r="AX140" s="60">
        <v>-0.38329999999999997</v>
      </c>
      <c r="AY140" s="60">
        <v>20.238499999999998</v>
      </c>
      <c r="AZ140" s="60">
        <v>9.5860000000000001E-2</v>
      </c>
      <c r="BA140" s="60">
        <v>16.8</v>
      </c>
      <c r="BB140" s="60">
        <v>18.399999999999999</v>
      </c>
      <c r="BC140" s="60">
        <v>20.2</v>
      </c>
      <c r="BD140" s="60">
        <v>22.3</v>
      </c>
      <c r="BE140" s="60">
        <v>24.7</v>
      </c>
      <c r="BG140" s="60">
        <v>114</v>
      </c>
      <c r="BH140" s="60">
        <v>-0.35210000000000002</v>
      </c>
      <c r="BI140" s="60">
        <v>19.998999999999999</v>
      </c>
      <c r="BJ140" s="60">
        <v>9.0539999999999995E-2</v>
      </c>
      <c r="BK140" s="60">
        <v>16.8</v>
      </c>
      <c r="BL140" s="60">
        <v>18.3</v>
      </c>
      <c r="BM140" s="60">
        <v>20</v>
      </c>
      <c r="BN140" s="60">
        <v>21.9</v>
      </c>
      <c r="BO140" s="60">
        <v>24.1</v>
      </c>
    </row>
    <row r="141" spans="1:67">
      <c r="A141" s="60">
        <v>200</v>
      </c>
      <c r="B141" s="60">
        <v>-0.97399999999999998</v>
      </c>
      <c r="C141" s="60">
        <v>20.940100000000001</v>
      </c>
      <c r="D141" s="60">
        <v>0.14163999999999999</v>
      </c>
      <c r="F141" s="60">
        <v>200</v>
      </c>
      <c r="G141" s="60">
        <v>-1.2499</v>
      </c>
      <c r="H141" s="60">
        <v>20.935500000000001</v>
      </c>
      <c r="I141" s="60">
        <v>0.12672</v>
      </c>
      <c r="U141" s="60">
        <v>139</v>
      </c>
      <c r="V141" s="60">
        <v>135.19999999999999</v>
      </c>
      <c r="W141" s="60">
        <v>141.9</v>
      </c>
      <c r="X141" s="60">
        <v>148.69999999999999</v>
      </c>
      <c r="Y141" s="60">
        <v>155.5</v>
      </c>
      <c r="Z141" s="60">
        <v>162.19999999999999</v>
      </c>
      <c r="AB141" s="60">
        <v>139</v>
      </c>
      <c r="AC141" s="60">
        <v>132.6</v>
      </c>
      <c r="AD141" s="60">
        <v>139.6</v>
      </c>
      <c r="AE141" s="60">
        <v>146.5</v>
      </c>
      <c r="AF141" s="60">
        <v>153.4</v>
      </c>
      <c r="AG141" s="60">
        <v>160.4</v>
      </c>
      <c r="AW141" s="60">
        <v>114.5</v>
      </c>
      <c r="AX141" s="60">
        <v>-0.38329999999999997</v>
      </c>
      <c r="AY141" s="60">
        <v>20.450199999999999</v>
      </c>
      <c r="AZ141" s="60">
        <v>9.6060000000000006E-2</v>
      </c>
      <c r="BA141" s="60">
        <v>17</v>
      </c>
      <c r="BB141" s="60">
        <v>18.600000000000001</v>
      </c>
      <c r="BC141" s="60">
        <v>20.5</v>
      </c>
      <c r="BD141" s="60">
        <v>22.6</v>
      </c>
      <c r="BE141" s="60">
        <v>25</v>
      </c>
      <c r="BG141" s="60">
        <v>114.5</v>
      </c>
      <c r="BH141" s="60">
        <v>-0.35210000000000002</v>
      </c>
      <c r="BI141" s="60">
        <v>20.191199999999998</v>
      </c>
      <c r="BJ141" s="60">
        <v>9.085E-2</v>
      </c>
      <c r="BK141" s="60">
        <v>16.899999999999999</v>
      </c>
      <c r="BL141" s="60">
        <v>18.5</v>
      </c>
      <c r="BM141" s="60">
        <v>20.2</v>
      </c>
      <c r="BN141" s="60">
        <v>22.1</v>
      </c>
      <c r="BO141" s="60">
        <v>24.4</v>
      </c>
    </row>
    <row r="142" spans="1:67">
      <c r="A142" s="60">
        <v>201</v>
      </c>
      <c r="B142" s="60">
        <v>-0.96609999999999996</v>
      </c>
      <c r="C142" s="60">
        <v>20.965599999999998</v>
      </c>
      <c r="D142" s="60">
        <v>0.14176</v>
      </c>
      <c r="F142" s="60">
        <v>201</v>
      </c>
      <c r="G142" s="60">
        <v>-1.2365999999999999</v>
      </c>
      <c r="H142" s="60">
        <v>20.988099999999999</v>
      </c>
      <c r="I142" s="60">
        <v>0.12683</v>
      </c>
      <c r="U142" s="60">
        <v>140</v>
      </c>
      <c r="V142" s="60">
        <v>135.69999999999999</v>
      </c>
      <c r="W142" s="60">
        <v>142.4</v>
      </c>
      <c r="X142" s="60">
        <v>149.19999999999999</v>
      </c>
      <c r="Y142" s="60">
        <v>156</v>
      </c>
      <c r="Z142" s="60">
        <v>162.80000000000001</v>
      </c>
      <c r="AB142" s="60">
        <v>140</v>
      </c>
      <c r="AC142" s="60">
        <v>133.1</v>
      </c>
      <c r="AD142" s="60">
        <v>140</v>
      </c>
      <c r="AE142" s="60">
        <v>147</v>
      </c>
      <c r="AF142" s="60">
        <v>154</v>
      </c>
      <c r="AG142" s="60">
        <v>160.9</v>
      </c>
      <c r="AW142" s="60">
        <v>115</v>
      </c>
      <c r="AX142" s="60">
        <v>-0.38329999999999997</v>
      </c>
      <c r="AY142" s="60">
        <v>20.6629</v>
      </c>
      <c r="AZ142" s="60">
        <v>9.6259999999999998E-2</v>
      </c>
      <c r="BA142" s="60">
        <v>17.2</v>
      </c>
      <c r="BB142" s="60">
        <v>18.8</v>
      </c>
      <c r="BC142" s="60">
        <v>20.7</v>
      </c>
      <c r="BD142" s="60">
        <v>22.8</v>
      </c>
      <c r="BE142" s="60">
        <v>25.2</v>
      </c>
      <c r="BG142" s="60">
        <v>115</v>
      </c>
      <c r="BH142" s="60">
        <v>-0.35210000000000002</v>
      </c>
      <c r="BI142" s="60">
        <v>20.384599999999999</v>
      </c>
      <c r="BJ142" s="60">
        <v>9.1160000000000005E-2</v>
      </c>
      <c r="BK142" s="60">
        <v>17.100000000000001</v>
      </c>
      <c r="BL142" s="60">
        <v>18.600000000000001</v>
      </c>
      <c r="BM142" s="60">
        <v>20.399999999999999</v>
      </c>
      <c r="BN142" s="60">
        <v>22.4</v>
      </c>
      <c r="BO142" s="60">
        <v>24.6</v>
      </c>
    </row>
    <row r="143" spans="1:67">
      <c r="A143" s="60">
        <v>202</v>
      </c>
      <c r="B143" s="60">
        <v>-0.95820000000000005</v>
      </c>
      <c r="C143" s="60">
        <v>20.990100000000002</v>
      </c>
      <c r="D143" s="60">
        <v>0.14187</v>
      </c>
      <c r="F143" s="60">
        <v>202</v>
      </c>
      <c r="G143" s="60">
        <v>-1.2233000000000001</v>
      </c>
      <c r="H143" s="60">
        <v>21.04</v>
      </c>
      <c r="I143" s="60">
        <v>0.12694</v>
      </c>
      <c r="U143" s="60">
        <v>141</v>
      </c>
      <c r="V143" s="60">
        <v>136.1</v>
      </c>
      <c r="W143" s="60">
        <v>142.9</v>
      </c>
      <c r="X143" s="60">
        <v>149.69999999999999</v>
      </c>
      <c r="Y143" s="60">
        <v>156.5</v>
      </c>
      <c r="Z143" s="60">
        <v>163.30000000000001</v>
      </c>
      <c r="AB143" s="60">
        <v>141</v>
      </c>
      <c r="AC143" s="60">
        <v>133.5</v>
      </c>
      <c r="AD143" s="60">
        <v>140.5</v>
      </c>
      <c r="AE143" s="60">
        <v>147.5</v>
      </c>
      <c r="AF143" s="60">
        <v>154.5</v>
      </c>
      <c r="AG143" s="60">
        <v>161.5</v>
      </c>
      <c r="AW143" s="60">
        <v>115.5</v>
      </c>
      <c r="AX143" s="60">
        <v>-0.38329999999999997</v>
      </c>
      <c r="AY143" s="60">
        <v>20.8766</v>
      </c>
      <c r="AZ143" s="60">
        <v>9.6460000000000004E-2</v>
      </c>
      <c r="BA143" s="60">
        <v>17.3</v>
      </c>
      <c r="BB143" s="60">
        <v>19</v>
      </c>
      <c r="BC143" s="60">
        <v>20.9</v>
      </c>
      <c r="BD143" s="60">
        <v>23</v>
      </c>
      <c r="BE143" s="60">
        <v>25.5</v>
      </c>
      <c r="BG143" s="60">
        <v>115.5</v>
      </c>
      <c r="BH143" s="60">
        <v>-0.35210000000000002</v>
      </c>
      <c r="BI143" s="60">
        <v>20.578900000000001</v>
      </c>
      <c r="BJ143" s="60">
        <v>9.1469999999999996E-2</v>
      </c>
      <c r="BK143" s="60">
        <v>17.2</v>
      </c>
      <c r="BL143" s="60">
        <v>18.8</v>
      </c>
      <c r="BM143" s="60">
        <v>20.6</v>
      </c>
      <c r="BN143" s="60">
        <v>22.6</v>
      </c>
      <c r="BO143" s="60">
        <v>24.9</v>
      </c>
    </row>
    <row r="144" spans="1:67">
      <c r="A144" s="60">
        <v>203</v>
      </c>
      <c r="B144" s="60">
        <v>-0.95030000000000003</v>
      </c>
      <c r="C144" s="60">
        <v>21.0138</v>
      </c>
      <c r="D144" s="60">
        <v>0.14198</v>
      </c>
      <c r="F144" s="60">
        <v>203</v>
      </c>
      <c r="G144" s="60">
        <v>-1.2098</v>
      </c>
      <c r="H144" s="60">
        <v>21.0914</v>
      </c>
      <c r="I144" s="60">
        <v>0.12703999999999999</v>
      </c>
      <c r="U144" s="60">
        <v>142</v>
      </c>
      <c r="V144" s="60">
        <v>136.6</v>
      </c>
      <c r="W144" s="60">
        <v>143.4</v>
      </c>
      <c r="X144" s="60">
        <v>150.19999999999999</v>
      </c>
      <c r="Y144" s="60">
        <v>157.1</v>
      </c>
      <c r="Z144" s="60">
        <v>163.9</v>
      </c>
      <c r="AB144" s="60">
        <v>142</v>
      </c>
      <c r="AC144" s="60">
        <v>134</v>
      </c>
      <c r="AD144" s="60">
        <v>141</v>
      </c>
      <c r="AE144" s="60">
        <v>148</v>
      </c>
      <c r="AF144" s="60">
        <v>155</v>
      </c>
      <c r="AG144" s="60">
        <v>162.1</v>
      </c>
      <c r="AW144" s="60">
        <v>116</v>
      </c>
      <c r="AX144" s="60">
        <v>-0.38329999999999997</v>
      </c>
      <c r="AY144" s="60">
        <v>21.090900000000001</v>
      </c>
      <c r="AZ144" s="60">
        <v>9.6659999999999996E-2</v>
      </c>
      <c r="BA144" s="60">
        <v>17.5</v>
      </c>
      <c r="BB144" s="60">
        <v>19.2</v>
      </c>
      <c r="BC144" s="60">
        <v>21.1</v>
      </c>
      <c r="BD144" s="60">
        <v>23.3</v>
      </c>
      <c r="BE144" s="60">
        <v>25.8</v>
      </c>
      <c r="BG144" s="60">
        <v>116</v>
      </c>
      <c r="BH144" s="60">
        <v>-0.35210000000000002</v>
      </c>
      <c r="BI144" s="60">
        <v>20.774100000000001</v>
      </c>
      <c r="BJ144" s="60">
        <v>9.1770000000000004E-2</v>
      </c>
      <c r="BK144" s="60">
        <v>17.399999999999999</v>
      </c>
      <c r="BL144" s="60">
        <v>19</v>
      </c>
      <c r="BM144" s="60">
        <v>20.8</v>
      </c>
      <c r="BN144" s="60">
        <v>22.8</v>
      </c>
      <c r="BO144" s="60">
        <v>25.1</v>
      </c>
    </row>
    <row r="145" spans="1:67">
      <c r="A145" s="60">
        <v>204</v>
      </c>
      <c r="B145" s="60">
        <v>-0.94230000000000003</v>
      </c>
      <c r="C145" s="60">
        <v>21.0367</v>
      </c>
      <c r="D145" s="60">
        <v>0.14208000000000001</v>
      </c>
      <c r="F145" s="60">
        <v>204</v>
      </c>
      <c r="G145" s="60">
        <v>-1.1961999999999999</v>
      </c>
      <c r="H145" s="60">
        <v>21.142299999999999</v>
      </c>
      <c r="I145" s="60">
        <v>0.12715000000000001</v>
      </c>
      <c r="U145" s="60">
        <v>143</v>
      </c>
      <c r="V145" s="60">
        <v>137.1</v>
      </c>
      <c r="W145" s="60">
        <v>143.9</v>
      </c>
      <c r="X145" s="60">
        <v>150.69999999999999</v>
      </c>
      <c r="Y145" s="60">
        <v>157.6</v>
      </c>
      <c r="Z145" s="60">
        <v>164.4</v>
      </c>
      <c r="AB145" s="60">
        <v>143</v>
      </c>
      <c r="AC145" s="60">
        <v>134.4</v>
      </c>
      <c r="AD145" s="60">
        <v>141.5</v>
      </c>
      <c r="AE145" s="60">
        <v>148.5</v>
      </c>
      <c r="AF145" s="60">
        <v>155.6</v>
      </c>
      <c r="AG145" s="60">
        <v>162.69999999999999</v>
      </c>
      <c r="AW145" s="60">
        <v>116.5</v>
      </c>
      <c r="AX145" s="60">
        <v>-0.38329999999999997</v>
      </c>
      <c r="AY145" s="60">
        <v>21.305900000000001</v>
      </c>
      <c r="AZ145" s="60">
        <v>9.6860000000000002E-2</v>
      </c>
      <c r="BA145" s="60">
        <v>17.7</v>
      </c>
      <c r="BB145" s="60">
        <v>19.399999999999999</v>
      </c>
      <c r="BC145" s="60">
        <v>21.3</v>
      </c>
      <c r="BD145" s="60">
        <v>23.5</v>
      </c>
      <c r="BE145" s="60">
        <v>26.1</v>
      </c>
      <c r="BG145" s="60">
        <v>116.5</v>
      </c>
      <c r="BH145" s="60">
        <v>-0.35210000000000002</v>
      </c>
      <c r="BI145" s="60">
        <v>20.97</v>
      </c>
      <c r="BJ145" s="60">
        <v>9.2079999999999995E-2</v>
      </c>
      <c r="BK145" s="60">
        <v>17.5</v>
      </c>
      <c r="BL145" s="60">
        <v>19.2</v>
      </c>
      <c r="BM145" s="60">
        <v>21</v>
      </c>
      <c r="BN145" s="60">
        <v>23</v>
      </c>
      <c r="BO145" s="60">
        <v>25.4</v>
      </c>
    </row>
    <row r="146" spans="1:67">
      <c r="A146" s="60">
        <v>205</v>
      </c>
      <c r="B146" s="60">
        <v>-0.93440000000000001</v>
      </c>
      <c r="C146" s="60">
        <v>21.058700000000002</v>
      </c>
      <c r="D146" s="60">
        <v>0.14219000000000001</v>
      </c>
      <c r="F146" s="60">
        <v>205</v>
      </c>
      <c r="G146" s="60">
        <v>-1.1826000000000001</v>
      </c>
      <c r="H146" s="60">
        <v>21.192499999999999</v>
      </c>
      <c r="I146" s="60">
        <v>0.12726000000000001</v>
      </c>
      <c r="U146" s="60">
        <v>144</v>
      </c>
      <c r="V146" s="60">
        <v>137.6</v>
      </c>
      <c r="W146" s="60">
        <v>144.4</v>
      </c>
      <c r="X146" s="60">
        <v>151.19999999999999</v>
      </c>
      <c r="Y146" s="60">
        <v>158.1</v>
      </c>
      <c r="Z146" s="60">
        <v>164.9</v>
      </c>
      <c r="AB146" s="60">
        <v>144</v>
      </c>
      <c r="AC146" s="60">
        <v>134.9</v>
      </c>
      <c r="AD146" s="60">
        <v>142</v>
      </c>
      <c r="AE146" s="60">
        <v>149.1</v>
      </c>
      <c r="AF146" s="60">
        <v>156.19999999999999</v>
      </c>
      <c r="AG146" s="60">
        <v>163.30000000000001</v>
      </c>
      <c r="AW146" s="60">
        <v>117</v>
      </c>
      <c r="AX146" s="60">
        <v>-0.38329999999999997</v>
      </c>
      <c r="AY146" s="60">
        <v>21.5213</v>
      </c>
      <c r="AZ146" s="60">
        <v>9.7070000000000004E-2</v>
      </c>
      <c r="BA146" s="60">
        <v>17.8</v>
      </c>
      <c r="BB146" s="60">
        <v>19.600000000000001</v>
      </c>
      <c r="BC146" s="60">
        <v>21.5</v>
      </c>
      <c r="BD146" s="60">
        <v>23.8</v>
      </c>
      <c r="BE146" s="60">
        <v>26.3</v>
      </c>
      <c r="BG146" s="60">
        <v>117</v>
      </c>
      <c r="BH146" s="60">
        <v>-0.35210000000000002</v>
      </c>
      <c r="BI146" s="60">
        <v>21.166599999999999</v>
      </c>
      <c r="BJ146" s="60">
        <v>9.239E-2</v>
      </c>
      <c r="BK146" s="60">
        <v>17.7</v>
      </c>
      <c r="BL146" s="60">
        <v>19.3</v>
      </c>
      <c r="BM146" s="60">
        <v>21.2</v>
      </c>
      <c r="BN146" s="60">
        <v>23.3</v>
      </c>
      <c r="BO146" s="60">
        <v>25.6</v>
      </c>
    </row>
    <row r="147" spans="1:67">
      <c r="A147" s="60">
        <v>206</v>
      </c>
      <c r="B147" s="60">
        <v>-0.9264</v>
      </c>
      <c r="C147" s="60">
        <v>21.080100000000002</v>
      </c>
      <c r="D147" s="60">
        <v>0.14230000000000001</v>
      </c>
      <c r="F147" s="60">
        <v>206</v>
      </c>
      <c r="G147" s="60">
        <v>-1.1688000000000001</v>
      </c>
      <c r="H147" s="60">
        <v>21.2423</v>
      </c>
      <c r="I147" s="60">
        <v>0.12736</v>
      </c>
      <c r="U147" s="60">
        <v>145</v>
      </c>
      <c r="V147" s="60">
        <v>138</v>
      </c>
      <c r="W147" s="60">
        <v>144.9</v>
      </c>
      <c r="X147" s="60">
        <v>151.69999999999999</v>
      </c>
      <c r="Y147" s="60">
        <v>158.6</v>
      </c>
      <c r="Z147" s="60">
        <v>165.4</v>
      </c>
      <c r="AB147" s="60">
        <v>145</v>
      </c>
      <c r="AC147" s="60">
        <v>135.4</v>
      </c>
      <c r="AD147" s="60">
        <v>142.5</v>
      </c>
      <c r="AE147" s="60">
        <v>149.6</v>
      </c>
      <c r="AF147" s="60">
        <v>156.69999999999999</v>
      </c>
      <c r="AG147" s="60">
        <v>163.9</v>
      </c>
      <c r="AW147" s="60">
        <v>117.5</v>
      </c>
      <c r="AX147" s="60">
        <v>-0.38329999999999997</v>
      </c>
      <c r="AY147" s="60">
        <v>21.736999999999998</v>
      </c>
      <c r="AZ147" s="60">
        <v>9.7269999999999995E-2</v>
      </c>
      <c r="BA147" s="60">
        <v>18</v>
      </c>
      <c r="BB147" s="60">
        <v>19.8</v>
      </c>
      <c r="BC147" s="60">
        <v>21.7</v>
      </c>
      <c r="BD147" s="60">
        <v>24</v>
      </c>
      <c r="BE147" s="60">
        <v>26.6</v>
      </c>
      <c r="BG147" s="60">
        <v>117.5</v>
      </c>
      <c r="BH147" s="60">
        <v>-0.35210000000000002</v>
      </c>
      <c r="BI147" s="60">
        <v>21.363600000000002</v>
      </c>
      <c r="BJ147" s="60">
        <v>9.2700000000000005E-2</v>
      </c>
      <c r="BK147" s="60">
        <v>17.899999999999999</v>
      </c>
      <c r="BL147" s="60">
        <v>19.5</v>
      </c>
      <c r="BM147" s="60">
        <v>21.4</v>
      </c>
      <c r="BN147" s="60">
        <v>23.5</v>
      </c>
      <c r="BO147" s="60">
        <v>25.9</v>
      </c>
    </row>
    <row r="148" spans="1:67">
      <c r="A148" s="60">
        <v>207</v>
      </c>
      <c r="B148" s="60">
        <v>-0.91839999999999999</v>
      </c>
      <c r="C148" s="60">
        <v>21.1007</v>
      </c>
      <c r="D148" s="60">
        <v>0.1424</v>
      </c>
      <c r="F148" s="60">
        <v>207</v>
      </c>
      <c r="G148" s="60">
        <v>-1.155</v>
      </c>
      <c r="H148" s="60">
        <v>21.291399999999999</v>
      </c>
      <c r="I148" s="60">
        <v>0.12745999999999999</v>
      </c>
      <c r="U148" s="60">
        <v>146</v>
      </c>
      <c r="V148" s="60">
        <v>138.5</v>
      </c>
      <c r="W148" s="60">
        <v>145.30000000000001</v>
      </c>
      <c r="X148" s="60">
        <v>152.19999999999999</v>
      </c>
      <c r="Y148" s="60">
        <v>159.1</v>
      </c>
      <c r="Z148" s="60">
        <v>165.9</v>
      </c>
      <c r="AB148" s="60">
        <v>146</v>
      </c>
      <c r="AC148" s="60">
        <v>135.9</v>
      </c>
      <c r="AD148" s="60">
        <v>143</v>
      </c>
      <c r="AE148" s="60">
        <v>150.19999999999999</v>
      </c>
      <c r="AF148" s="60">
        <v>157.30000000000001</v>
      </c>
      <c r="AG148" s="60">
        <v>164.5</v>
      </c>
      <c r="AW148" s="60">
        <v>118</v>
      </c>
      <c r="AX148" s="60">
        <v>-0.38329999999999997</v>
      </c>
      <c r="AY148" s="60">
        <v>21.9529</v>
      </c>
      <c r="AZ148" s="60">
        <v>9.7470000000000001E-2</v>
      </c>
      <c r="BA148" s="60">
        <v>18.2</v>
      </c>
      <c r="BB148" s="60">
        <v>19.899999999999999</v>
      </c>
      <c r="BC148" s="60">
        <v>22</v>
      </c>
      <c r="BD148" s="60">
        <v>24.2</v>
      </c>
      <c r="BE148" s="60">
        <v>26.9</v>
      </c>
      <c r="BG148" s="60">
        <v>118</v>
      </c>
      <c r="BH148" s="60">
        <v>-0.35210000000000002</v>
      </c>
      <c r="BI148" s="60">
        <v>21.5611</v>
      </c>
      <c r="BJ148" s="60">
        <v>9.2999999999999999E-2</v>
      </c>
      <c r="BK148" s="60">
        <v>18</v>
      </c>
      <c r="BL148" s="60">
        <v>19.7</v>
      </c>
      <c r="BM148" s="60">
        <v>21.6</v>
      </c>
      <c r="BN148" s="60">
        <v>23.7</v>
      </c>
      <c r="BO148" s="60">
        <v>26.1</v>
      </c>
    </row>
    <row r="149" spans="1:67">
      <c r="A149" s="60">
        <v>208</v>
      </c>
      <c r="B149" s="60">
        <v>-0.91039999999999999</v>
      </c>
      <c r="C149" s="60">
        <v>21.1206</v>
      </c>
      <c r="D149" s="60">
        <v>0.14249999999999999</v>
      </c>
      <c r="F149" s="60">
        <v>208</v>
      </c>
      <c r="G149" s="60">
        <v>-1.141</v>
      </c>
      <c r="H149" s="60">
        <v>21.34</v>
      </c>
      <c r="I149" s="60">
        <v>0.12756000000000001</v>
      </c>
      <c r="U149" s="60">
        <v>147</v>
      </c>
      <c r="V149" s="60">
        <v>138.9</v>
      </c>
      <c r="W149" s="60">
        <v>145.80000000000001</v>
      </c>
      <c r="X149" s="60">
        <v>152.69999999999999</v>
      </c>
      <c r="Y149" s="60">
        <v>159.5</v>
      </c>
      <c r="Z149" s="60">
        <v>166.4</v>
      </c>
      <c r="AB149" s="60">
        <v>147</v>
      </c>
      <c r="AC149" s="60">
        <v>136.4</v>
      </c>
      <c r="AD149" s="60">
        <v>143.6</v>
      </c>
      <c r="AE149" s="60">
        <v>150.69999999999999</v>
      </c>
      <c r="AF149" s="60">
        <v>157.9</v>
      </c>
      <c r="AG149" s="60">
        <v>165.1</v>
      </c>
      <c r="AW149" s="60">
        <v>118.5</v>
      </c>
      <c r="AX149" s="60">
        <v>-0.38329999999999997</v>
      </c>
      <c r="AY149" s="60">
        <v>22.169</v>
      </c>
      <c r="AZ149" s="60">
        <v>9.7670000000000007E-2</v>
      </c>
      <c r="BA149" s="60">
        <v>18.399999999999999</v>
      </c>
      <c r="BB149" s="60">
        <v>20.100000000000001</v>
      </c>
      <c r="BC149" s="60">
        <v>22.2</v>
      </c>
      <c r="BD149" s="60">
        <v>24.5</v>
      </c>
      <c r="BE149" s="60">
        <v>27.2</v>
      </c>
      <c r="BG149" s="60">
        <v>118.5</v>
      </c>
      <c r="BH149" s="60">
        <v>-0.35210000000000002</v>
      </c>
      <c r="BI149" s="60">
        <v>21.758800000000001</v>
      </c>
      <c r="BJ149" s="60">
        <v>9.3310000000000004E-2</v>
      </c>
      <c r="BK149" s="60">
        <v>18.2</v>
      </c>
      <c r="BL149" s="60">
        <v>19.899999999999999</v>
      </c>
      <c r="BM149" s="60">
        <v>21.8</v>
      </c>
      <c r="BN149" s="60">
        <v>23.9</v>
      </c>
      <c r="BO149" s="60">
        <v>26.4</v>
      </c>
    </row>
    <row r="150" spans="1:67">
      <c r="A150" s="60">
        <v>209</v>
      </c>
      <c r="B150" s="60">
        <v>-0.90239999999999998</v>
      </c>
      <c r="C150" s="60">
        <v>21.139900000000001</v>
      </c>
      <c r="D150" s="60">
        <v>0.14260999999999999</v>
      </c>
      <c r="F150" s="60">
        <v>209</v>
      </c>
      <c r="G150" s="60">
        <v>-1.127</v>
      </c>
      <c r="H150" s="60">
        <v>21.388000000000002</v>
      </c>
      <c r="I150" s="60">
        <v>0.12767000000000001</v>
      </c>
      <c r="U150" s="60">
        <v>148</v>
      </c>
      <c r="V150" s="60">
        <v>139.30000000000001</v>
      </c>
      <c r="W150" s="60">
        <v>146.19999999999999</v>
      </c>
      <c r="X150" s="60">
        <v>153.1</v>
      </c>
      <c r="Y150" s="60">
        <v>160</v>
      </c>
      <c r="Z150" s="60">
        <v>166.9</v>
      </c>
      <c r="AB150" s="60">
        <v>148</v>
      </c>
      <c r="AC150" s="60">
        <v>136.9</v>
      </c>
      <c r="AD150" s="60">
        <v>144.1</v>
      </c>
      <c r="AE150" s="60">
        <v>151.30000000000001</v>
      </c>
      <c r="AF150" s="60">
        <v>158.5</v>
      </c>
      <c r="AG150" s="60">
        <v>165.7</v>
      </c>
      <c r="AW150" s="60">
        <v>119</v>
      </c>
      <c r="AX150" s="60">
        <v>-0.38329999999999997</v>
      </c>
      <c r="AY150" s="60">
        <v>22.385100000000001</v>
      </c>
      <c r="AZ150" s="60">
        <v>9.7879999999999995E-2</v>
      </c>
      <c r="BA150" s="60">
        <v>18.5</v>
      </c>
      <c r="BB150" s="60">
        <v>20.3</v>
      </c>
      <c r="BC150" s="60">
        <v>22.4</v>
      </c>
      <c r="BD150" s="60">
        <v>24.7</v>
      </c>
      <c r="BE150" s="60">
        <v>27.4</v>
      </c>
      <c r="BG150" s="60">
        <v>119</v>
      </c>
      <c r="BH150" s="60">
        <v>-0.35210000000000002</v>
      </c>
      <c r="BI150" s="60">
        <v>21.956800000000001</v>
      </c>
      <c r="BJ150" s="60">
        <v>9.3619999999999995E-2</v>
      </c>
      <c r="BK150" s="60">
        <v>18.3</v>
      </c>
      <c r="BL150" s="60">
        <v>20</v>
      </c>
      <c r="BM150" s="60">
        <v>22</v>
      </c>
      <c r="BN150" s="60">
        <v>24.1</v>
      </c>
      <c r="BO150" s="60">
        <v>26.6</v>
      </c>
    </row>
    <row r="151" spans="1:67">
      <c r="A151" s="60">
        <v>210</v>
      </c>
      <c r="B151" s="60">
        <v>-0.89439999999999997</v>
      </c>
      <c r="C151" s="60">
        <v>21.1586</v>
      </c>
      <c r="D151" s="60">
        <v>0.14271</v>
      </c>
      <c r="F151" s="60">
        <v>210</v>
      </c>
      <c r="G151" s="60">
        <v>-1.1129</v>
      </c>
      <c r="H151" s="60">
        <v>21.435400000000001</v>
      </c>
      <c r="I151" s="60">
        <v>0.12776999999999999</v>
      </c>
      <c r="U151" s="60">
        <v>149</v>
      </c>
      <c r="V151" s="60">
        <v>139.80000000000001</v>
      </c>
      <c r="W151" s="60">
        <v>146.69999999999999</v>
      </c>
      <c r="X151" s="60">
        <v>153.6</v>
      </c>
      <c r="Y151" s="60">
        <v>160.5</v>
      </c>
      <c r="Z151" s="60">
        <v>167.4</v>
      </c>
      <c r="AB151" s="60">
        <v>149</v>
      </c>
      <c r="AC151" s="60">
        <v>137.4</v>
      </c>
      <c r="AD151" s="60">
        <v>144.6</v>
      </c>
      <c r="AE151" s="60">
        <v>151.9</v>
      </c>
      <c r="AF151" s="60">
        <v>159.1</v>
      </c>
      <c r="AG151" s="60">
        <v>166.3</v>
      </c>
      <c r="AW151" s="60">
        <v>119.5</v>
      </c>
      <c r="AX151" s="60">
        <v>-0.38329999999999997</v>
      </c>
      <c r="AY151" s="60">
        <v>22.601199999999999</v>
      </c>
      <c r="AZ151" s="60">
        <v>9.8080000000000001E-2</v>
      </c>
      <c r="BA151" s="60">
        <v>18.7</v>
      </c>
      <c r="BB151" s="60">
        <v>20.5</v>
      </c>
      <c r="BC151" s="60">
        <v>22.6</v>
      </c>
      <c r="BD151" s="60">
        <v>25</v>
      </c>
      <c r="BE151" s="60">
        <v>27.7</v>
      </c>
      <c r="BG151" s="60">
        <v>119.5</v>
      </c>
      <c r="BH151" s="60">
        <v>-0.35210000000000002</v>
      </c>
      <c r="BI151" s="60">
        <v>22.154900000000001</v>
      </c>
      <c r="BJ151" s="60">
        <v>9.393E-2</v>
      </c>
      <c r="BK151" s="60">
        <v>18.5</v>
      </c>
      <c r="BL151" s="60">
        <v>20.2</v>
      </c>
      <c r="BM151" s="60">
        <v>22.2</v>
      </c>
      <c r="BN151" s="60">
        <v>24.4</v>
      </c>
      <c r="BO151" s="60">
        <v>26.9</v>
      </c>
    </row>
    <row r="152" spans="1:67">
      <c r="A152" s="60">
        <v>211</v>
      </c>
      <c r="B152" s="60">
        <v>-0.88629999999999998</v>
      </c>
      <c r="C152" s="60">
        <v>21.1768</v>
      </c>
      <c r="D152" s="60">
        <v>0.14280999999999999</v>
      </c>
      <c r="F152" s="60">
        <v>211</v>
      </c>
      <c r="G152" s="60">
        <v>-1.0986</v>
      </c>
      <c r="H152" s="60">
        <v>21.482199999999999</v>
      </c>
      <c r="I152" s="60">
        <v>0.12787000000000001</v>
      </c>
      <c r="U152" s="60">
        <v>150</v>
      </c>
      <c r="V152" s="60">
        <v>140.19999999999999</v>
      </c>
      <c r="W152" s="60">
        <v>147.1</v>
      </c>
      <c r="X152" s="60">
        <v>154</v>
      </c>
      <c r="Y152" s="60">
        <v>160.9</v>
      </c>
      <c r="Z152" s="60">
        <v>167.8</v>
      </c>
      <c r="AB152" s="60">
        <v>150</v>
      </c>
      <c r="AC152" s="60">
        <v>137.9</v>
      </c>
      <c r="AD152" s="60">
        <v>145.19999999999999</v>
      </c>
      <c r="AE152" s="60">
        <v>152.4</v>
      </c>
      <c r="AF152" s="60">
        <v>159.69999999999999</v>
      </c>
      <c r="AG152" s="60">
        <v>167</v>
      </c>
      <c r="AW152" s="60">
        <v>120</v>
      </c>
      <c r="AX152" s="60">
        <v>-0.38329999999999997</v>
      </c>
      <c r="AY152" s="60">
        <v>22.817299999999999</v>
      </c>
      <c r="AZ152" s="60">
        <v>9.8280000000000006E-2</v>
      </c>
      <c r="BA152" s="60">
        <v>18.899999999999999</v>
      </c>
      <c r="BB152" s="60">
        <v>20.7</v>
      </c>
      <c r="BC152" s="60">
        <v>22.8</v>
      </c>
      <c r="BD152" s="60">
        <v>25.2</v>
      </c>
      <c r="BE152" s="60">
        <v>28</v>
      </c>
      <c r="BG152" s="60">
        <v>120</v>
      </c>
      <c r="BH152" s="60">
        <v>-0.35210000000000002</v>
      </c>
      <c r="BI152" s="60">
        <v>22.353000000000002</v>
      </c>
      <c r="BJ152" s="60">
        <v>9.4240000000000004E-2</v>
      </c>
      <c r="BK152" s="60">
        <v>18.600000000000001</v>
      </c>
      <c r="BL152" s="60">
        <v>20.399999999999999</v>
      </c>
      <c r="BM152" s="60">
        <v>22.4</v>
      </c>
      <c r="BN152" s="60">
        <v>24.6</v>
      </c>
      <c r="BO152" s="60">
        <v>27.2</v>
      </c>
    </row>
    <row r="153" spans="1:67">
      <c r="A153" s="60">
        <v>212</v>
      </c>
      <c r="B153" s="60">
        <v>-0.87829999999999997</v>
      </c>
      <c r="C153" s="60">
        <v>21.194400000000002</v>
      </c>
      <c r="D153" s="60">
        <v>0.14291000000000001</v>
      </c>
      <c r="F153" s="60">
        <v>212</v>
      </c>
      <c r="G153" s="60">
        <v>-1.0843</v>
      </c>
      <c r="H153" s="60">
        <v>21.528500000000001</v>
      </c>
      <c r="I153" s="60">
        <v>0.12797</v>
      </c>
      <c r="U153" s="60">
        <v>151</v>
      </c>
      <c r="V153" s="60">
        <v>140.6</v>
      </c>
      <c r="W153" s="60">
        <v>147.5</v>
      </c>
      <c r="X153" s="60">
        <v>154.4</v>
      </c>
      <c r="Y153" s="60">
        <v>161.30000000000001</v>
      </c>
      <c r="Z153" s="60">
        <v>168.3</v>
      </c>
      <c r="AB153" s="60">
        <v>151</v>
      </c>
      <c r="AC153" s="60">
        <v>138.5</v>
      </c>
      <c r="AD153" s="60">
        <v>145.69999999999999</v>
      </c>
      <c r="AE153" s="60">
        <v>153</v>
      </c>
      <c r="AF153" s="60">
        <v>160.30000000000001</v>
      </c>
      <c r="AG153" s="60">
        <v>167.6</v>
      </c>
    </row>
    <row r="154" spans="1:67">
      <c r="A154" s="60">
        <v>213</v>
      </c>
      <c r="B154" s="60">
        <v>-0.87029999999999996</v>
      </c>
      <c r="C154" s="60">
        <v>21.211600000000001</v>
      </c>
      <c r="D154" s="60">
        <v>0.14301</v>
      </c>
      <c r="F154" s="60">
        <v>213</v>
      </c>
      <c r="G154" s="60">
        <v>-1.0699000000000001</v>
      </c>
      <c r="H154" s="60">
        <v>21.574200000000001</v>
      </c>
      <c r="I154" s="60">
        <v>0.12806999999999999</v>
      </c>
      <c r="U154" s="60">
        <v>152</v>
      </c>
      <c r="V154" s="60">
        <v>141</v>
      </c>
      <c r="W154" s="60">
        <v>147.9</v>
      </c>
      <c r="X154" s="60">
        <v>154.80000000000001</v>
      </c>
      <c r="Y154" s="60">
        <v>161.80000000000001</v>
      </c>
      <c r="Z154" s="60">
        <v>168.7</v>
      </c>
      <c r="AB154" s="60">
        <v>152</v>
      </c>
      <c r="AC154" s="60">
        <v>139</v>
      </c>
      <c r="AD154" s="60">
        <v>146.30000000000001</v>
      </c>
      <c r="AE154" s="60">
        <v>153.6</v>
      </c>
      <c r="AF154" s="60">
        <v>160.9</v>
      </c>
      <c r="AG154" s="60">
        <v>168.3</v>
      </c>
    </row>
    <row r="155" spans="1:67">
      <c r="A155" s="60">
        <v>214</v>
      </c>
      <c r="B155" s="60">
        <v>-0.86229999999999996</v>
      </c>
      <c r="C155" s="60">
        <v>21.228200000000001</v>
      </c>
      <c r="D155" s="60">
        <v>0.14310999999999999</v>
      </c>
      <c r="F155" s="60">
        <v>214</v>
      </c>
      <c r="G155" s="60">
        <v>-1.0552999999999999</v>
      </c>
      <c r="H155" s="60">
        <v>21.619299999999999</v>
      </c>
      <c r="I155" s="60">
        <v>0.12816</v>
      </c>
      <c r="U155" s="60">
        <v>153</v>
      </c>
      <c r="V155" s="60">
        <v>141.4</v>
      </c>
      <c r="W155" s="60">
        <v>148.30000000000001</v>
      </c>
      <c r="X155" s="60">
        <v>155.19999999999999</v>
      </c>
      <c r="Y155" s="60">
        <v>162.19999999999999</v>
      </c>
      <c r="Z155" s="60">
        <v>169.1</v>
      </c>
      <c r="AB155" s="60">
        <v>153</v>
      </c>
      <c r="AC155" s="60">
        <v>139.5</v>
      </c>
      <c r="AD155" s="60">
        <v>146.9</v>
      </c>
      <c r="AE155" s="60">
        <v>154.19999999999999</v>
      </c>
      <c r="AF155" s="60">
        <v>161.6</v>
      </c>
      <c r="AG155" s="60">
        <v>168.9</v>
      </c>
    </row>
    <row r="156" spans="1:67">
      <c r="A156" s="60">
        <v>215</v>
      </c>
      <c r="B156" s="60">
        <v>-0.85419999999999996</v>
      </c>
      <c r="C156" s="60">
        <v>21.244399999999999</v>
      </c>
      <c r="D156" s="60">
        <v>0.14319999999999999</v>
      </c>
      <c r="F156" s="60">
        <v>215</v>
      </c>
      <c r="G156" s="60">
        <v>-1.0407</v>
      </c>
      <c r="H156" s="60">
        <v>21.663799999999998</v>
      </c>
      <c r="I156" s="60">
        <v>0.12826000000000001</v>
      </c>
      <c r="U156" s="60">
        <v>154</v>
      </c>
      <c r="V156" s="60">
        <v>141.80000000000001</v>
      </c>
      <c r="W156" s="60">
        <v>148.69999999999999</v>
      </c>
      <c r="X156" s="60">
        <v>155.6</v>
      </c>
      <c r="Y156" s="60">
        <v>162.6</v>
      </c>
      <c r="Z156" s="60">
        <v>169.5</v>
      </c>
      <c r="AB156" s="60">
        <v>154</v>
      </c>
      <c r="AC156" s="60">
        <v>140.1</v>
      </c>
      <c r="AD156" s="60">
        <v>147.5</v>
      </c>
      <c r="AE156" s="60">
        <v>154.80000000000001</v>
      </c>
      <c r="AF156" s="60">
        <v>162.19999999999999</v>
      </c>
      <c r="AG156" s="60">
        <v>169.6</v>
      </c>
    </row>
    <row r="157" spans="1:67">
      <c r="A157" s="60">
        <v>216</v>
      </c>
      <c r="B157" s="60">
        <v>-0.84619999999999995</v>
      </c>
      <c r="C157" s="60">
        <v>21.260300000000001</v>
      </c>
      <c r="D157" s="60">
        <v>0.14330000000000001</v>
      </c>
      <c r="F157" s="60">
        <v>216</v>
      </c>
      <c r="G157" s="60">
        <v>-1.026</v>
      </c>
      <c r="H157" s="60">
        <v>21.707699999999999</v>
      </c>
      <c r="I157" s="60">
        <v>0.12836</v>
      </c>
      <c r="U157" s="60">
        <v>155</v>
      </c>
      <c r="V157" s="60">
        <v>142.1</v>
      </c>
      <c r="W157" s="60">
        <v>149.1</v>
      </c>
      <c r="X157" s="60">
        <v>156</v>
      </c>
      <c r="Y157" s="60">
        <v>162.9</v>
      </c>
      <c r="Z157" s="60">
        <v>169.9</v>
      </c>
      <c r="AB157" s="60">
        <v>155</v>
      </c>
      <c r="AC157" s="60">
        <v>140.6</v>
      </c>
      <c r="AD157" s="60">
        <v>148</v>
      </c>
      <c r="AE157" s="60">
        <v>155.4</v>
      </c>
      <c r="AF157" s="60">
        <v>162.80000000000001</v>
      </c>
      <c r="AG157" s="60">
        <v>170.2</v>
      </c>
    </row>
    <row r="158" spans="1:67">
      <c r="A158" s="60">
        <v>217</v>
      </c>
      <c r="B158" s="60">
        <v>-0.83819999999999995</v>
      </c>
      <c r="C158" s="60">
        <v>21.275700000000001</v>
      </c>
      <c r="D158" s="60">
        <v>0.1434</v>
      </c>
      <c r="F158" s="60">
        <v>217</v>
      </c>
      <c r="G158" s="60">
        <v>-1.0112000000000001</v>
      </c>
      <c r="H158" s="60">
        <v>21.751000000000001</v>
      </c>
      <c r="I158" s="60">
        <v>0.12845000000000001</v>
      </c>
      <c r="U158" s="60">
        <v>156</v>
      </c>
      <c r="V158" s="60">
        <v>142.5</v>
      </c>
      <c r="W158" s="60">
        <v>149.4</v>
      </c>
      <c r="X158" s="60">
        <v>156.4</v>
      </c>
      <c r="Y158" s="60">
        <v>163.30000000000001</v>
      </c>
      <c r="Z158" s="60">
        <v>170.3</v>
      </c>
      <c r="AB158" s="60">
        <v>156</v>
      </c>
      <c r="AC158" s="60">
        <v>141.19999999999999</v>
      </c>
      <c r="AD158" s="60">
        <v>148.6</v>
      </c>
      <c r="AE158" s="60">
        <v>156</v>
      </c>
      <c r="AF158" s="60">
        <v>163.5</v>
      </c>
      <c r="AG158" s="60">
        <v>170.9</v>
      </c>
    </row>
    <row r="159" spans="1:67">
      <c r="A159" s="60">
        <v>218</v>
      </c>
      <c r="B159" s="60">
        <v>-0.83009999999999995</v>
      </c>
      <c r="C159" s="60">
        <v>21.290800000000001</v>
      </c>
      <c r="D159" s="60">
        <v>0.14349000000000001</v>
      </c>
      <c r="F159" s="60">
        <v>218</v>
      </c>
      <c r="G159" s="60">
        <v>-0.99619999999999997</v>
      </c>
      <c r="H159" s="60">
        <v>21.793700000000001</v>
      </c>
      <c r="I159" s="60">
        <v>0.12855</v>
      </c>
      <c r="U159" s="60">
        <v>157</v>
      </c>
      <c r="V159" s="60">
        <v>142.80000000000001</v>
      </c>
      <c r="W159" s="60">
        <v>149.80000000000001</v>
      </c>
      <c r="X159" s="60">
        <v>156.69999999999999</v>
      </c>
      <c r="Y159" s="60">
        <v>163.69999999999999</v>
      </c>
      <c r="Z159" s="60">
        <v>170.6</v>
      </c>
      <c r="AB159" s="60">
        <v>157</v>
      </c>
      <c r="AC159" s="60">
        <v>141.69999999999999</v>
      </c>
      <c r="AD159" s="60">
        <v>149.19999999999999</v>
      </c>
      <c r="AE159" s="60">
        <v>156.69999999999999</v>
      </c>
      <c r="AF159" s="60">
        <v>164.1</v>
      </c>
      <c r="AG159" s="60">
        <v>171.6</v>
      </c>
    </row>
    <row r="160" spans="1:67">
      <c r="A160" s="60">
        <v>219</v>
      </c>
      <c r="B160" s="60">
        <v>-0.82210000000000005</v>
      </c>
      <c r="C160" s="60">
        <v>21.305499999999999</v>
      </c>
      <c r="D160" s="60">
        <v>0.14359</v>
      </c>
      <c r="F160" s="60">
        <v>219</v>
      </c>
      <c r="G160" s="60">
        <v>-0.98119999999999996</v>
      </c>
      <c r="H160" s="60">
        <v>21.835799999999999</v>
      </c>
      <c r="I160" s="60">
        <v>0.12864</v>
      </c>
      <c r="U160" s="60">
        <v>158</v>
      </c>
      <c r="V160" s="60">
        <v>143.19999999999999</v>
      </c>
      <c r="W160" s="60">
        <v>150.1</v>
      </c>
      <c r="X160" s="60">
        <v>157.1</v>
      </c>
      <c r="Y160" s="60">
        <v>164</v>
      </c>
      <c r="Z160" s="60">
        <v>171</v>
      </c>
      <c r="AB160" s="60">
        <v>158</v>
      </c>
      <c r="AC160" s="60">
        <v>142.30000000000001</v>
      </c>
      <c r="AD160" s="60">
        <v>149.80000000000001</v>
      </c>
      <c r="AE160" s="60">
        <v>157.30000000000001</v>
      </c>
      <c r="AF160" s="60">
        <v>164.7</v>
      </c>
      <c r="AG160" s="60">
        <v>172.2</v>
      </c>
    </row>
    <row r="161" spans="1:33">
      <c r="A161" s="60">
        <v>220</v>
      </c>
      <c r="B161" s="60">
        <v>-0.81399999999999995</v>
      </c>
      <c r="C161" s="60">
        <v>21.32</v>
      </c>
      <c r="D161" s="60">
        <v>0.14368</v>
      </c>
      <c r="F161" s="60">
        <v>220</v>
      </c>
      <c r="G161" s="60">
        <v>-0.96609999999999996</v>
      </c>
      <c r="H161" s="60">
        <v>21.877300000000002</v>
      </c>
      <c r="I161" s="60">
        <v>0.12873999999999999</v>
      </c>
      <c r="U161" s="60">
        <v>159</v>
      </c>
      <c r="V161" s="60">
        <v>143.5</v>
      </c>
      <c r="W161" s="60">
        <v>150.4</v>
      </c>
      <c r="X161" s="60">
        <v>157.4</v>
      </c>
      <c r="Y161" s="60">
        <v>164.3</v>
      </c>
      <c r="Z161" s="60">
        <v>171.3</v>
      </c>
      <c r="AB161" s="60">
        <v>159</v>
      </c>
      <c r="AC161" s="60">
        <v>142.9</v>
      </c>
      <c r="AD161" s="60">
        <v>150.4</v>
      </c>
      <c r="AE161" s="60">
        <v>157.9</v>
      </c>
      <c r="AF161" s="60">
        <v>165.4</v>
      </c>
      <c r="AG161" s="60">
        <v>172.9</v>
      </c>
    </row>
    <row r="162" spans="1:33">
      <c r="A162" s="60">
        <v>221</v>
      </c>
      <c r="B162" s="60">
        <v>-0.80600000000000005</v>
      </c>
      <c r="C162" s="60">
        <v>21.334099999999999</v>
      </c>
      <c r="D162" s="60">
        <v>0.14377000000000001</v>
      </c>
      <c r="F162" s="60">
        <v>221</v>
      </c>
      <c r="G162" s="60">
        <v>-0.95089999999999997</v>
      </c>
      <c r="H162" s="60">
        <v>21.918199999999999</v>
      </c>
      <c r="I162" s="60">
        <v>0.12883</v>
      </c>
      <c r="U162" s="60">
        <v>160</v>
      </c>
      <c r="V162" s="60">
        <v>143.80000000000001</v>
      </c>
      <c r="W162" s="60">
        <v>150.80000000000001</v>
      </c>
      <c r="X162" s="60">
        <v>157.69999999999999</v>
      </c>
      <c r="Y162" s="60">
        <v>164.7</v>
      </c>
      <c r="Z162" s="60">
        <v>171.6</v>
      </c>
      <c r="AB162" s="60">
        <v>160</v>
      </c>
      <c r="AC162" s="60">
        <v>143.4</v>
      </c>
      <c r="AD162" s="60">
        <v>151</v>
      </c>
      <c r="AE162" s="60">
        <v>158.5</v>
      </c>
      <c r="AF162" s="60">
        <v>166</v>
      </c>
      <c r="AG162" s="60">
        <v>173.5</v>
      </c>
    </row>
    <row r="163" spans="1:33">
      <c r="A163" s="60">
        <v>222</v>
      </c>
      <c r="B163" s="60">
        <v>-0.79800000000000004</v>
      </c>
      <c r="C163" s="60">
        <v>21.347999999999999</v>
      </c>
      <c r="D163" s="60">
        <v>0.14385999999999999</v>
      </c>
      <c r="F163" s="60">
        <v>222</v>
      </c>
      <c r="G163" s="60">
        <v>-0.93559999999999999</v>
      </c>
      <c r="H163" s="60">
        <v>21.958500000000001</v>
      </c>
      <c r="I163" s="60">
        <v>0.12892999999999999</v>
      </c>
      <c r="U163" s="60">
        <v>161</v>
      </c>
      <c r="V163" s="60">
        <v>144.1</v>
      </c>
      <c r="W163" s="60">
        <v>151.1</v>
      </c>
      <c r="X163" s="60">
        <v>158</v>
      </c>
      <c r="Y163" s="60">
        <v>165</v>
      </c>
      <c r="Z163" s="60">
        <v>171.9</v>
      </c>
      <c r="AB163" s="60">
        <v>161</v>
      </c>
      <c r="AC163" s="60">
        <v>144</v>
      </c>
      <c r="AD163" s="60">
        <v>151.5</v>
      </c>
      <c r="AE163" s="60">
        <v>159.1</v>
      </c>
      <c r="AF163" s="60">
        <v>166.6</v>
      </c>
      <c r="AG163" s="60">
        <v>174.2</v>
      </c>
    </row>
    <row r="164" spans="1:33">
      <c r="A164" s="60">
        <v>223</v>
      </c>
      <c r="B164" s="60">
        <v>-0.78990000000000005</v>
      </c>
      <c r="C164" s="60">
        <v>21.361699999999999</v>
      </c>
      <c r="D164" s="60">
        <v>0.14396</v>
      </c>
      <c r="F164" s="60">
        <v>223</v>
      </c>
      <c r="G164" s="60">
        <v>-0.92020000000000002</v>
      </c>
      <c r="H164" s="60">
        <v>21.998200000000001</v>
      </c>
      <c r="I164" s="60">
        <v>0.12902</v>
      </c>
      <c r="U164" s="60">
        <v>162</v>
      </c>
      <c r="V164" s="60">
        <v>144.4</v>
      </c>
      <c r="W164" s="60">
        <v>151.30000000000001</v>
      </c>
      <c r="X164" s="60">
        <v>158.30000000000001</v>
      </c>
      <c r="Y164" s="60">
        <v>165.3</v>
      </c>
      <c r="Z164" s="60">
        <v>172.2</v>
      </c>
      <c r="AB164" s="60">
        <v>162</v>
      </c>
      <c r="AC164" s="60">
        <v>144.5</v>
      </c>
      <c r="AD164" s="60">
        <v>152.1</v>
      </c>
      <c r="AE164" s="60">
        <v>159.69999999999999</v>
      </c>
      <c r="AF164" s="60">
        <v>167.3</v>
      </c>
      <c r="AG164" s="60">
        <v>174.8</v>
      </c>
    </row>
    <row r="165" spans="1:33">
      <c r="A165" s="60">
        <v>224</v>
      </c>
      <c r="B165" s="60">
        <v>-0.78190000000000004</v>
      </c>
      <c r="C165" s="60">
        <v>21.3752</v>
      </c>
      <c r="D165" s="60">
        <v>0.14405000000000001</v>
      </c>
      <c r="F165" s="60">
        <v>224</v>
      </c>
      <c r="G165" s="60">
        <v>-0.90480000000000005</v>
      </c>
      <c r="H165" s="60">
        <v>22.037400000000002</v>
      </c>
      <c r="I165" s="60">
        <v>0.12911</v>
      </c>
      <c r="U165" s="60">
        <v>163</v>
      </c>
      <c r="V165" s="60">
        <v>144.69999999999999</v>
      </c>
      <c r="W165" s="60">
        <v>151.6</v>
      </c>
      <c r="X165" s="60">
        <v>158.6</v>
      </c>
      <c r="Y165" s="60">
        <v>165.5</v>
      </c>
      <c r="Z165" s="60">
        <v>172.5</v>
      </c>
      <c r="AB165" s="60">
        <v>163</v>
      </c>
      <c r="AC165" s="60">
        <v>145.1</v>
      </c>
      <c r="AD165" s="60">
        <v>152.69999999999999</v>
      </c>
      <c r="AE165" s="60">
        <v>160.30000000000001</v>
      </c>
      <c r="AF165" s="60">
        <v>167.9</v>
      </c>
      <c r="AG165" s="60">
        <v>175.5</v>
      </c>
    </row>
    <row r="166" spans="1:33">
      <c r="A166" s="60">
        <v>225</v>
      </c>
      <c r="B166" s="60">
        <v>-0.77380000000000004</v>
      </c>
      <c r="C166" s="60">
        <v>21.388400000000001</v>
      </c>
      <c r="D166" s="60">
        <v>0.14413999999999999</v>
      </c>
      <c r="F166" s="60">
        <v>225</v>
      </c>
      <c r="G166" s="60">
        <v>-0.88919999999999999</v>
      </c>
      <c r="H166" s="60">
        <v>22.076000000000001</v>
      </c>
      <c r="I166" s="60">
        <v>0.12920000000000001</v>
      </c>
      <c r="U166" s="60">
        <v>164</v>
      </c>
      <c r="V166" s="60">
        <v>144.9</v>
      </c>
      <c r="W166" s="60">
        <v>151.9</v>
      </c>
      <c r="X166" s="60">
        <v>158.80000000000001</v>
      </c>
      <c r="Y166" s="60">
        <v>165.8</v>
      </c>
      <c r="Z166" s="60">
        <v>172.7</v>
      </c>
      <c r="AB166" s="60">
        <v>164</v>
      </c>
      <c r="AC166" s="60">
        <v>145.69999999999999</v>
      </c>
      <c r="AD166" s="60">
        <v>153.30000000000001</v>
      </c>
      <c r="AE166" s="60">
        <v>160.9</v>
      </c>
      <c r="AF166" s="60">
        <v>168.5</v>
      </c>
      <c r="AG166" s="60">
        <v>176.1</v>
      </c>
    </row>
    <row r="167" spans="1:33">
      <c r="A167" s="60">
        <v>226</v>
      </c>
      <c r="B167" s="60">
        <v>-0.76580000000000004</v>
      </c>
      <c r="C167" s="60">
        <v>21.401399999999999</v>
      </c>
      <c r="D167" s="60">
        <v>0.14423</v>
      </c>
      <c r="F167" s="60">
        <v>226</v>
      </c>
      <c r="G167" s="60">
        <v>-0.87350000000000005</v>
      </c>
      <c r="H167" s="60">
        <v>22.114000000000001</v>
      </c>
      <c r="I167" s="60">
        <v>0.1293</v>
      </c>
      <c r="U167" s="60">
        <v>165</v>
      </c>
      <c r="V167" s="60">
        <v>145.19999999999999</v>
      </c>
      <c r="W167" s="60">
        <v>152.1</v>
      </c>
      <c r="X167" s="60">
        <v>159.1</v>
      </c>
      <c r="Y167" s="60">
        <v>166</v>
      </c>
      <c r="Z167" s="60">
        <v>173</v>
      </c>
      <c r="AB167" s="60">
        <v>165</v>
      </c>
      <c r="AC167" s="60">
        <v>146.19999999999999</v>
      </c>
      <c r="AD167" s="60">
        <v>153.80000000000001</v>
      </c>
      <c r="AE167" s="60">
        <v>161.5</v>
      </c>
      <c r="AF167" s="60">
        <v>169.1</v>
      </c>
      <c r="AG167" s="60">
        <v>176.7</v>
      </c>
    </row>
    <row r="168" spans="1:33">
      <c r="A168" s="60">
        <v>227</v>
      </c>
      <c r="B168" s="60">
        <v>-0.75770000000000004</v>
      </c>
      <c r="C168" s="60">
        <v>21.414300000000001</v>
      </c>
      <c r="D168" s="60">
        <v>0.14432</v>
      </c>
      <c r="F168" s="60">
        <v>227</v>
      </c>
      <c r="G168" s="60">
        <v>-0.85780000000000001</v>
      </c>
      <c r="H168" s="60">
        <v>22.151399999999999</v>
      </c>
      <c r="I168" s="60">
        <v>0.12939000000000001</v>
      </c>
      <c r="U168" s="60">
        <v>166</v>
      </c>
      <c r="V168" s="60">
        <v>145.4</v>
      </c>
      <c r="W168" s="60">
        <v>152.4</v>
      </c>
      <c r="X168" s="60">
        <v>159.30000000000001</v>
      </c>
      <c r="Y168" s="60">
        <v>166.3</v>
      </c>
      <c r="Z168" s="60">
        <v>173.2</v>
      </c>
      <c r="AB168" s="60">
        <v>166</v>
      </c>
      <c r="AC168" s="60">
        <v>146.69999999999999</v>
      </c>
      <c r="AD168" s="60">
        <v>154.4</v>
      </c>
      <c r="AE168" s="60">
        <v>162.1</v>
      </c>
      <c r="AF168" s="60">
        <v>169.7</v>
      </c>
      <c r="AG168" s="60">
        <v>177.4</v>
      </c>
    </row>
    <row r="169" spans="1:33">
      <c r="A169" s="60">
        <v>228</v>
      </c>
      <c r="B169" s="60">
        <v>-0.74960000000000004</v>
      </c>
      <c r="C169" s="60">
        <v>21.4269</v>
      </c>
      <c r="D169" s="60">
        <v>0.14441000000000001</v>
      </c>
      <c r="F169" s="60">
        <v>228</v>
      </c>
      <c r="G169" s="60">
        <v>-0.84189999999999998</v>
      </c>
      <c r="H169" s="60">
        <v>22.188300000000002</v>
      </c>
      <c r="I169" s="60">
        <v>0.12948000000000001</v>
      </c>
      <c r="U169" s="60">
        <v>167</v>
      </c>
      <c r="V169" s="60">
        <v>145.69999999999999</v>
      </c>
      <c r="W169" s="60">
        <v>152.6</v>
      </c>
      <c r="X169" s="60">
        <v>159.6</v>
      </c>
      <c r="Y169" s="60">
        <v>166.5</v>
      </c>
      <c r="Z169" s="60">
        <v>173.5</v>
      </c>
      <c r="AB169" s="60">
        <v>167</v>
      </c>
      <c r="AC169" s="60">
        <v>147.30000000000001</v>
      </c>
      <c r="AD169" s="60">
        <v>154.9</v>
      </c>
      <c r="AE169" s="60">
        <v>162.6</v>
      </c>
      <c r="AF169" s="60">
        <v>170.3</v>
      </c>
      <c r="AG169" s="60">
        <v>178</v>
      </c>
    </row>
    <row r="170" spans="1:33">
      <c r="U170" s="60">
        <v>168</v>
      </c>
      <c r="V170" s="60">
        <v>145.9</v>
      </c>
      <c r="W170" s="60">
        <v>152.80000000000001</v>
      </c>
      <c r="X170" s="60">
        <v>159.80000000000001</v>
      </c>
      <c r="Y170" s="60">
        <v>166.7</v>
      </c>
      <c r="Z170" s="60">
        <v>173.7</v>
      </c>
      <c r="AB170" s="60">
        <v>168</v>
      </c>
      <c r="AC170" s="60">
        <v>147.80000000000001</v>
      </c>
      <c r="AD170" s="60">
        <v>155.5</v>
      </c>
      <c r="AE170" s="60">
        <v>163.19999999999999</v>
      </c>
      <c r="AF170" s="60">
        <v>170.9</v>
      </c>
      <c r="AG170" s="60">
        <v>178.6</v>
      </c>
    </row>
    <row r="171" spans="1:33">
      <c r="U171" s="60">
        <v>169</v>
      </c>
      <c r="V171" s="60">
        <v>146.1</v>
      </c>
      <c r="W171" s="60">
        <v>153.1</v>
      </c>
      <c r="X171" s="60">
        <v>160</v>
      </c>
      <c r="Y171" s="60">
        <v>166.9</v>
      </c>
      <c r="Z171" s="60">
        <v>173.9</v>
      </c>
      <c r="AB171" s="60">
        <v>169</v>
      </c>
      <c r="AC171" s="60">
        <v>148.30000000000001</v>
      </c>
      <c r="AD171" s="60">
        <v>156</v>
      </c>
      <c r="AE171" s="60">
        <v>163.69999999999999</v>
      </c>
      <c r="AF171" s="60">
        <v>171.4</v>
      </c>
      <c r="AG171" s="60">
        <v>179.1</v>
      </c>
    </row>
    <row r="172" spans="1:33">
      <c r="U172" s="60">
        <v>170</v>
      </c>
      <c r="V172" s="60">
        <v>146.30000000000001</v>
      </c>
      <c r="W172" s="60">
        <v>153.30000000000001</v>
      </c>
      <c r="X172" s="60">
        <v>160.19999999999999</v>
      </c>
      <c r="Y172" s="60">
        <v>167.1</v>
      </c>
      <c r="Z172" s="60">
        <v>174.1</v>
      </c>
      <c r="AB172" s="60">
        <v>170</v>
      </c>
      <c r="AC172" s="60">
        <v>148.80000000000001</v>
      </c>
      <c r="AD172" s="60">
        <v>156.5</v>
      </c>
      <c r="AE172" s="60">
        <v>164.3</v>
      </c>
      <c r="AF172" s="60">
        <v>172</v>
      </c>
      <c r="AG172" s="60">
        <v>179.7</v>
      </c>
    </row>
    <row r="173" spans="1:33">
      <c r="U173" s="60">
        <v>171</v>
      </c>
      <c r="V173" s="60">
        <v>146.5</v>
      </c>
      <c r="W173" s="60">
        <v>153.5</v>
      </c>
      <c r="X173" s="60">
        <v>160.4</v>
      </c>
      <c r="Y173" s="60">
        <v>167.3</v>
      </c>
      <c r="Z173" s="60">
        <v>174.2</v>
      </c>
      <c r="AB173" s="60">
        <v>171</v>
      </c>
      <c r="AC173" s="60">
        <v>149.30000000000001</v>
      </c>
      <c r="AD173" s="60">
        <v>157.1</v>
      </c>
      <c r="AE173" s="60">
        <v>164.8</v>
      </c>
      <c r="AF173" s="60">
        <v>172.5</v>
      </c>
      <c r="AG173" s="60">
        <v>180.3</v>
      </c>
    </row>
    <row r="174" spans="1:33">
      <c r="U174" s="60">
        <v>172</v>
      </c>
      <c r="V174" s="60">
        <v>146.69999999999999</v>
      </c>
      <c r="W174" s="60">
        <v>153.6</v>
      </c>
      <c r="X174" s="60">
        <v>160.6</v>
      </c>
      <c r="Y174" s="60">
        <v>167.5</v>
      </c>
      <c r="Z174" s="60">
        <v>174.4</v>
      </c>
      <c r="AB174" s="60">
        <v>172</v>
      </c>
      <c r="AC174" s="60">
        <v>149.80000000000001</v>
      </c>
      <c r="AD174" s="60">
        <v>157.6</v>
      </c>
      <c r="AE174" s="60">
        <v>165.3</v>
      </c>
      <c r="AF174" s="60">
        <v>173.1</v>
      </c>
      <c r="AG174" s="60">
        <v>180.8</v>
      </c>
    </row>
    <row r="175" spans="1:33">
      <c r="U175" s="60">
        <v>173</v>
      </c>
      <c r="V175" s="60">
        <v>146.9</v>
      </c>
      <c r="W175" s="60">
        <v>153.80000000000001</v>
      </c>
      <c r="X175" s="60">
        <v>160.69999999999999</v>
      </c>
      <c r="Y175" s="60">
        <v>167.7</v>
      </c>
      <c r="Z175" s="60">
        <v>174.6</v>
      </c>
      <c r="AB175" s="60">
        <v>173</v>
      </c>
      <c r="AC175" s="60">
        <v>150.30000000000001</v>
      </c>
      <c r="AD175" s="60">
        <v>158.1</v>
      </c>
      <c r="AE175" s="60">
        <v>165.8</v>
      </c>
      <c r="AF175" s="60">
        <v>173.6</v>
      </c>
      <c r="AG175" s="60">
        <v>181.3</v>
      </c>
    </row>
    <row r="176" spans="1:33">
      <c r="U176" s="60">
        <v>174</v>
      </c>
      <c r="V176" s="60">
        <v>147.1</v>
      </c>
      <c r="W176" s="60">
        <v>154</v>
      </c>
      <c r="X176" s="60">
        <v>160.9</v>
      </c>
      <c r="Y176" s="60">
        <v>167.8</v>
      </c>
      <c r="Z176" s="60">
        <v>174.7</v>
      </c>
      <c r="AB176" s="60">
        <v>174</v>
      </c>
      <c r="AC176" s="60">
        <v>150.80000000000001</v>
      </c>
      <c r="AD176" s="60">
        <v>158.5</v>
      </c>
      <c r="AE176" s="60">
        <v>166.3</v>
      </c>
      <c r="AF176" s="60">
        <v>174.1</v>
      </c>
      <c r="AG176" s="60">
        <v>181.8</v>
      </c>
    </row>
    <row r="177" spans="21:33">
      <c r="U177" s="60">
        <v>175</v>
      </c>
      <c r="V177" s="60">
        <v>147.19999999999999</v>
      </c>
      <c r="W177" s="60">
        <v>154.1</v>
      </c>
      <c r="X177" s="60">
        <v>161</v>
      </c>
      <c r="Y177" s="60">
        <v>168</v>
      </c>
      <c r="Z177" s="60">
        <v>174.9</v>
      </c>
      <c r="AB177" s="60">
        <v>175</v>
      </c>
      <c r="AC177" s="60">
        <v>151.19999999999999</v>
      </c>
      <c r="AD177" s="60">
        <v>159</v>
      </c>
      <c r="AE177" s="60">
        <v>166.8</v>
      </c>
      <c r="AF177" s="60">
        <v>174.6</v>
      </c>
      <c r="AG177" s="60">
        <v>182.3</v>
      </c>
    </row>
    <row r="178" spans="21:33">
      <c r="U178" s="60">
        <v>176</v>
      </c>
      <c r="V178" s="60">
        <v>147.4</v>
      </c>
      <c r="W178" s="60">
        <v>154.30000000000001</v>
      </c>
      <c r="X178" s="60">
        <v>161.19999999999999</v>
      </c>
      <c r="Y178" s="60">
        <v>168.1</v>
      </c>
      <c r="Z178" s="60">
        <v>175</v>
      </c>
      <c r="AB178" s="60">
        <v>176</v>
      </c>
      <c r="AC178" s="60">
        <v>151.69999999999999</v>
      </c>
      <c r="AD178" s="60">
        <v>159.5</v>
      </c>
      <c r="AE178" s="60">
        <v>167.2</v>
      </c>
      <c r="AF178" s="60">
        <v>175</v>
      </c>
      <c r="AG178" s="60">
        <v>182.8</v>
      </c>
    </row>
    <row r="179" spans="21:33">
      <c r="U179" s="60">
        <v>177</v>
      </c>
      <c r="V179" s="60">
        <v>147.5</v>
      </c>
      <c r="W179" s="60">
        <v>154.4</v>
      </c>
      <c r="X179" s="60">
        <v>161.30000000000001</v>
      </c>
      <c r="Y179" s="60">
        <v>168.2</v>
      </c>
      <c r="Z179" s="60">
        <v>175.1</v>
      </c>
      <c r="AB179" s="60">
        <v>177</v>
      </c>
      <c r="AC179" s="60">
        <v>152.1</v>
      </c>
      <c r="AD179" s="60">
        <v>159.9</v>
      </c>
      <c r="AE179" s="60">
        <v>167.7</v>
      </c>
      <c r="AF179" s="60">
        <v>175.5</v>
      </c>
      <c r="AG179" s="60">
        <v>183.3</v>
      </c>
    </row>
    <row r="180" spans="21:33">
      <c r="U180" s="60">
        <v>178</v>
      </c>
      <c r="V180" s="60">
        <v>147.69999999999999</v>
      </c>
      <c r="W180" s="60">
        <v>154.5</v>
      </c>
      <c r="X180" s="60">
        <v>161.4</v>
      </c>
      <c r="Y180" s="60">
        <v>168.3</v>
      </c>
      <c r="Z180" s="60">
        <v>175.2</v>
      </c>
      <c r="AB180" s="60">
        <v>178</v>
      </c>
      <c r="AC180" s="60">
        <v>152.5</v>
      </c>
      <c r="AD180" s="60">
        <v>160.30000000000001</v>
      </c>
      <c r="AE180" s="60">
        <v>168.1</v>
      </c>
      <c r="AF180" s="60">
        <v>175.9</v>
      </c>
      <c r="AG180" s="60">
        <v>183.7</v>
      </c>
    </row>
    <row r="181" spans="21:33">
      <c r="U181" s="60">
        <v>179</v>
      </c>
      <c r="V181" s="60">
        <v>147.80000000000001</v>
      </c>
      <c r="W181" s="60">
        <v>154.69999999999999</v>
      </c>
      <c r="X181" s="60">
        <v>161.6</v>
      </c>
      <c r="Y181" s="60">
        <v>168.4</v>
      </c>
      <c r="Z181" s="60">
        <v>175.3</v>
      </c>
      <c r="AB181" s="60">
        <v>179</v>
      </c>
      <c r="AC181" s="60">
        <v>152.9</v>
      </c>
      <c r="AD181" s="60">
        <v>160.69999999999999</v>
      </c>
      <c r="AE181" s="60">
        <v>168.5</v>
      </c>
      <c r="AF181" s="60">
        <v>176.3</v>
      </c>
      <c r="AG181" s="60">
        <v>184.1</v>
      </c>
    </row>
    <row r="182" spans="21:33">
      <c r="U182" s="60">
        <v>180</v>
      </c>
      <c r="V182" s="60">
        <v>147.9</v>
      </c>
      <c r="W182" s="60">
        <v>154.80000000000001</v>
      </c>
      <c r="X182" s="60">
        <v>161.69999999999999</v>
      </c>
      <c r="Y182" s="60">
        <v>168.5</v>
      </c>
      <c r="Z182" s="60">
        <v>175.4</v>
      </c>
      <c r="AB182" s="60">
        <v>180</v>
      </c>
      <c r="AC182" s="60">
        <v>153.4</v>
      </c>
      <c r="AD182" s="60">
        <v>161.19999999999999</v>
      </c>
      <c r="AE182" s="60">
        <v>169</v>
      </c>
      <c r="AF182" s="60">
        <v>176.8</v>
      </c>
      <c r="AG182" s="60">
        <v>184.6</v>
      </c>
    </row>
    <row r="183" spans="21:33">
      <c r="U183" s="60">
        <v>181</v>
      </c>
      <c r="V183" s="60">
        <v>148</v>
      </c>
      <c r="W183" s="60">
        <v>154.9</v>
      </c>
      <c r="X183" s="60">
        <v>161.80000000000001</v>
      </c>
      <c r="Y183" s="60">
        <v>168.6</v>
      </c>
      <c r="Z183" s="60">
        <v>175.5</v>
      </c>
      <c r="AB183" s="60">
        <v>181</v>
      </c>
      <c r="AC183" s="60">
        <v>153.69999999999999</v>
      </c>
      <c r="AD183" s="60">
        <v>161.5</v>
      </c>
      <c r="AE183" s="60">
        <v>169.4</v>
      </c>
      <c r="AF183" s="60">
        <v>177.2</v>
      </c>
      <c r="AG183" s="60">
        <v>185</v>
      </c>
    </row>
    <row r="184" spans="21:33">
      <c r="U184" s="60">
        <v>182</v>
      </c>
      <c r="V184" s="60">
        <v>148.1</v>
      </c>
      <c r="W184" s="60">
        <v>155</v>
      </c>
      <c r="X184" s="60">
        <v>161.9</v>
      </c>
      <c r="Y184" s="60">
        <v>168.7</v>
      </c>
      <c r="Z184" s="60">
        <v>175.6</v>
      </c>
      <c r="AB184" s="60">
        <v>182</v>
      </c>
      <c r="AC184" s="60">
        <v>154.1</v>
      </c>
      <c r="AD184" s="60">
        <v>161.9</v>
      </c>
      <c r="AE184" s="60">
        <v>169.7</v>
      </c>
      <c r="AF184" s="60">
        <v>177.5</v>
      </c>
      <c r="AG184" s="60">
        <v>185.4</v>
      </c>
    </row>
    <row r="185" spans="21:33">
      <c r="U185" s="60">
        <v>183</v>
      </c>
      <c r="V185" s="60">
        <v>148.19999999999999</v>
      </c>
      <c r="W185" s="60">
        <v>155.1</v>
      </c>
      <c r="X185" s="60">
        <v>162</v>
      </c>
      <c r="Y185" s="60">
        <v>168.8</v>
      </c>
      <c r="Z185" s="60">
        <v>175.7</v>
      </c>
      <c r="AB185" s="60">
        <v>183</v>
      </c>
      <c r="AC185" s="60">
        <v>154.5</v>
      </c>
      <c r="AD185" s="60">
        <v>162.30000000000001</v>
      </c>
      <c r="AE185" s="60">
        <v>170.1</v>
      </c>
      <c r="AF185" s="60">
        <v>177.9</v>
      </c>
      <c r="AG185" s="60">
        <v>185.7</v>
      </c>
    </row>
    <row r="186" spans="21:33">
      <c r="U186" s="60">
        <v>184</v>
      </c>
      <c r="V186" s="60">
        <v>148.30000000000001</v>
      </c>
      <c r="W186" s="60">
        <v>155.19999999999999</v>
      </c>
      <c r="X186" s="60">
        <v>162</v>
      </c>
      <c r="Y186" s="60">
        <v>168.9</v>
      </c>
      <c r="Z186" s="60">
        <v>175.7</v>
      </c>
      <c r="AB186" s="60">
        <v>184</v>
      </c>
      <c r="AC186" s="60">
        <v>154.9</v>
      </c>
      <c r="AD186" s="60">
        <v>162.69999999999999</v>
      </c>
      <c r="AE186" s="60">
        <v>170.5</v>
      </c>
      <c r="AF186" s="60">
        <v>178.3</v>
      </c>
      <c r="AG186" s="60">
        <v>186.1</v>
      </c>
    </row>
    <row r="187" spans="21:33">
      <c r="U187" s="60">
        <v>185</v>
      </c>
      <c r="V187" s="60">
        <v>148.4</v>
      </c>
      <c r="W187" s="60">
        <v>155.30000000000001</v>
      </c>
      <c r="X187" s="60">
        <v>162.1</v>
      </c>
      <c r="Y187" s="60">
        <v>169</v>
      </c>
      <c r="Z187" s="60">
        <v>175.8</v>
      </c>
      <c r="AB187" s="60">
        <v>185</v>
      </c>
      <c r="AC187" s="60">
        <v>155.19999999999999</v>
      </c>
      <c r="AD187" s="60">
        <v>163</v>
      </c>
      <c r="AE187" s="60">
        <v>170.8</v>
      </c>
      <c r="AF187" s="60">
        <v>178.6</v>
      </c>
      <c r="AG187" s="60">
        <v>186.4</v>
      </c>
    </row>
    <row r="188" spans="21:33">
      <c r="U188" s="60">
        <v>186</v>
      </c>
      <c r="V188" s="60">
        <v>148.5</v>
      </c>
      <c r="W188" s="60">
        <v>155.4</v>
      </c>
      <c r="X188" s="60">
        <v>162.19999999999999</v>
      </c>
      <c r="Y188" s="60">
        <v>169</v>
      </c>
      <c r="Z188" s="60">
        <v>175.9</v>
      </c>
      <c r="AB188" s="60">
        <v>186</v>
      </c>
      <c r="AC188" s="60">
        <v>155.5</v>
      </c>
      <c r="AD188" s="60">
        <v>163.30000000000001</v>
      </c>
      <c r="AE188" s="60">
        <v>171.1</v>
      </c>
      <c r="AF188" s="60">
        <v>178.9</v>
      </c>
      <c r="AG188" s="60">
        <v>186.8</v>
      </c>
    </row>
    <row r="189" spans="21:33">
      <c r="U189" s="60">
        <v>187</v>
      </c>
      <c r="V189" s="60">
        <v>148.6</v>
      </c>
      <c r="W189" s="60">
        <v>155.4</v>
      </c>
      <c r="X189" s="60">
        <v>162.30000000000001</v>
      </c>
      <c r="Y189" s="60">
        <v>169.1</v>
      </c>
      <c r="Z189" s="60">
        <v>175.9</v>
      </c>
      <c r="AB189" s="60">
        <v>187</v>
      </c>
      <c r="AC189" s="60">
        <v>155.9</v>
      </c>
      <c r="AD189" s="60">
        <v>163.69999999999999</v>
      </c>
      <c r="AE189" s="60">
        <v>171.5</v>
      </c>
      <c r="AF189" s="60">
        <v>179.3</v>
      </c>
      <c r="AG189" s="60">
        <v>187.1</v>
      </c>
    </row>
    <row r="190" spans="21:33">
      <c r="U190" s="60">
        <v>188</v>
      </c>
      <c r="V190" s="60">
        <v>148.69999999999999</v>
      </c>
      <c r="W190" s="60">
        <v>155.5</v>
      </c>
      <c r="X190" s="60">
        <v>162.30000000000001</v>
      </c>
      <c r="Y190" s="60">
        <v>169.1</v>
      </c>
      <c r="Z190" s="60">
        <v>176</v>
      </c>
      <c r="AB190" s="60">
        <v>188</v>
      </c>
      <c r="AC190" s="60">
        <v>156.19999999999999</v>
      </c>
      <c r="AD190" s="60">
        <v>164</v>
      </c>
      <c r="AE190" s="60">
        <v>171.8</v>
      </c>
      <c r="AF190" s="60">
        <v>179.6</v>
      </c>
      <c r="AG190" s="60">
        <v>187.4</v>
      </c>
    </row>
    <row r="191" spans="21:33">
      <c r="U191" s="60">
        <v>189</v>
      </c>
      <c r="V191" s="60">
        <v>148.69999999999999</v>
      </c>
      <c r="W191" s="60">
        <v>155.6</v>
      </c>
      <c r="X191" s="60">
        <v>162.4</v>
      </c>
      <c r="Y191" s="60">
        <v>169.2</v>
      </c>
      <c r="Z191" s="60">
        <v>176</v>
      </c>
      <c r="AB191" s="60">
        <v>189</v>
      </c>
      <c r="AC191" s="60">
        <v>156.5</v>
      </c>
      <c r="AD191" s="60">
        <v>164.3</v>
      </c>
      <c r="AE191" s="60">
        <v>172.1</v>
      </c>
      <c r="AF191" s="60">
        <v>179.9</v>
      </c>
      <c r="AG191" s="60">
        <v>187.7</v>
      </c>
    </row>
    <row r="192" spans="21:33">
      <c r="U192" s="60">
        <v>190</v>
      </c>
      <c r="V192" s="60">
        <v>148.80000000000001</v>
      </c>
      <c r="W192" s="60">
        <v>155.6</v>
      </c>
      <c r="X192" s="60">
        <v>162.4</v>
      </c>
      <c r="Y192" s="60">
        <v>169.2</v>
      </c>
      <c r="Z192" s="60">
        <v>176</v>
      </c>
      <c r="AB192" s="60">
        <v>190</v>
      </c>
      <c r="AC192" s="60">
        <v>156.80000000000001</v>
      </c>
      <c r="AD192" s="60">
        <v>164.6</v>
      </c>
      <c r="AE192" s="60">
        <v>172.4</v>
      </c>
      <c r="AF192" s="60">
        <v>180.1</v>
      </c>
      <c r="AG192" s="60">
        <v>187.9</v>
      </c>
    </row>
    <row r="193" spans="21:33">
      <c r="U193" s="60">
        <v>191</v>
      </c>
      <c r="V193" s="60">
        <v>148.9</v>
      </c>
      <c r="W193" s="60">
        <v>155.69999999999999</v>
      </c>
      <c r="X193" s="60">
        <v>162.5</v>
      </c>
      <c r="Y193" s="60">
        <v>169.3</v>
      </c>
      <c r="Z193" s="60">
        <v>176.1</v>
      </c>
      <c r="AB193" s="60">
        <v>191</v>
      </c>
      <c r="AC193" s="60">
        <v>157.1</v>
      </c>
      <c r="AD193" s="60">
        <v>164.9</v>
      </c>
      <c r="AE193" s="60">
        <v>172.6</v>
      </c>
      <c r="AF193" s="60">
        <v>180.4</v>
      </c>
      <c r="AG193" s="60">
        <v>188.2</v>
      </c>
    </row>
    <row r="194" spans="21:33">
      <c r="U194" s="60">
        <v>192</v>
      </c>
      <c r="V194" s="60">
        <v>148.9</v>
      </c>
      <c r="W194" s="60">
        <v>155.69999999999999</v>
      </c>
      <c r="X194" s="60">
        <v>162.5</v>
      </c>
      <c r="Y194" s="60">
        <v>169.3</v>
      </c>
      <c r="Z194" s="60">
        <v>176.1</v>
      </c>
      <c r="AB194" s="60">
        <v>192</v>
      </c>
      <c r="AC194" s="60">
        <v>157.4</v>
      </c>
      <c r="AD194" s="60">
        <v>165.1</v>
      </c>
      <c r="AE194" s="60">
        <v>172.9</v>
      </c>
      <c r="AF194" s="60">
        <v>180.7</v>
      </c>
      <c r="AG194" s="60">
        <v>188.4</v>
      </c>
    </row>
    <row r="195" spans="21:33">
      <c r="U195" s="60">
        <v>193</v>
      </c>
      <c r="V195" s="60">
        <v>149</v>
      </c>
      <c r="W195" s="60">
        <v>155.80000000000001</v>
      </c>
      <c r="X195" s="60">
        <v>162.6</v>
      </c>
      <c r="Y195" s="60">
        <v>169.3</v>
      </c>
      <c r="Z195" s="60">
        <v>176.1</v>
      </c>
      <c r="AB195" s="60">
        <v>193</v>
      </c>
      <c r="AC195" s="60">
        <v>157.6</v>
      </c>
      <c r="AD195" s="60">
        <v>165.4</v>
      </c>
      <c r="AE195" s="60">
        <v>173.1</v>
      </c>
      <c r="AF195" s="60">
        <v>180.9</v>
      </c>
      <c r="AG195" s="60">
        <v>188.7</v>
      </c>
    </row>
    <row r="196" spans="21:33">
      <c r="U196" s="60">
        <v>194</v>
      </c>
      <c r="V196" s="60">
        <v>149.1</v>
      </c>
      <c r="W196" s="60">
        <v>155.80000000000001</v>
      </c>
      <c r="X196" s="60">
        <v>162.6</v>
      </c>
      <c r="Y196" s="60">
        <v>169.4</v>
      </c>
      <c r="Z196" s="60">
        <v>176.1</v>
      </c>
      <c r="AB196" s="60">
        <v>194</v>
      </c>
      <c r="AC196" s="60">
        <v>157.9</v>
      </c>
      <c r="AD196" s="60">
        <v>165.6</v>
      </c>
      <c r="AE196" s="60">
        <v>173.4</v>
      </c>
      <c r="AF196" s="60">
        <v>181.1</v>
      </c>
      <c r="AG196" s="60">
        <v>188.9</v>
      </c>
    </row>
    <row r="197" spans="21:33">
      <c r="U197" s="60">
        <v>195</v>
      </c>
      <c r="V197" s="60">
        <v>149.1</v>
      </c>
      <c r="W197" s="60">
        <v>155.9</v>
      </c>
      <c r="X197" s="60">
        <v>162.6</v>
      </c>
      <c r="Y197" s="60">
        <v>169.4</v>
      </c>
      <c r="Z197" s="60">
        <v>176.2</v>
      </c>
      <c r="AB197" s="60">
        <v>195</v>
      </c>
      <c r="AC197" s="60">
        <v>158.1</v>
      </c>
      <c r="AD197" s="60">
        <v>165.9</v>
      </c>
      <c r="AE197" s="60">
        <v>173.6</v>
      </c>
      <c r="AF197" s="60">
        <v>181.4</v>
      </c>
      <c r="AG197" s="60">
        <v>189.1</v>
      </c>
    </row>
    <row r="198" spans="21:33">
      <c r="U198" s="60">
        <v>196</v>
      </c>
      <c r="V198" s="60">
        <v>149.19999999999999</v>
      </c>
      <c r="W198" s="60">
        <v>155.9</v>
      </c>
      <c r="X198" s="60">
        <v>162.69999999999999</v>
      </c>
      <c r="Y198" s="60">
        <v>169.4</v>
      </c>
      <c r="Z198" s="60">
        <v>176.2</v>
      </c>
      <c r="AB198" s="60">
        <v>196</v>
      </c>
      <c r="AC198" s="60">
        <v>158.4</v>
      </c>
      <c r="AD198" s="60">
        <v>166.1</v>
      </c>
      <c r="AE198" s="60">
        <v>173.8</v>
      </c>
      <c r="AF198" s="60">
        <v>181.6</v>
      </c>
      <c r="AG198" s="60">
        <v>189.3</v>
      </c>
    </row>
    <row r="199" spans="21:33">
      <c r="U199" s="60">
        <v>197</v>
      </c>
      <c r="V199" s="60">
        <v>149.19999999999999</v>
      </c>
      <c r="W199" s="60">
        <v>155.9</v>
      </c>
      <c r="X199" s="60">
        <v>162.69999999999999</v>
      </c>
      <c r="Y199" s="60">
        <v>169.4</v>
      </c>
      <c r="Z199" s="60">
        <v>176.2</v>
      </c>
      <c r="AB199" s="60">
        <v>197</v>
      </c>
      <c r="AC199" s="60">
        <v>158.6</v>
      </c>
      <c r="AD199" s="60">
        <v>166.3</v>
      </c>
      <c r="AE199" s="60">
        <v>174</v>
      </c>
      <c r="AF199" s="60">
        <v>181.8</v>
      </c>
      <c r="AG199" s="60">
        <v>189.5</v>
      </c>
    </row>
    <row r="200" spans="21:33">
      <c r="U200" s="60">
        <v>198</v>
      </c>
      <c r="V200" s="60">
        <v>149.19999999999999</v>
      </c>
      <c r="W200" s="60">
        <v>156</v>
      </c>
      <c r="X200" s="60">
        <v>162.69999999999999</v>
      </c>
      <c r="Y200" s="60">
        <v>169.5</v>
      </c>
      <c r="Z200" s="60">
        <v>176.2</v>
      </c>
      <c r="AB200" s="60">
        <v>198</v>
      </c>
      <c r="AC200" s="60">
        <v>158.80000000000001</v>
      </c>
      <c r="AD200" s="60">
        <v>166.5</v>
      </c>
      <c r="AE200" s="60">
        <v>174.2</v>
      </c>
      <c r="AF200" s="60">
        <v>181.9</v>
      </c>
      <c r="AG200" s="60">
        <v>189.7</v>
      </c>
    </row>
    <row r="201" spans="21:33">
      <c r="U201" s="60">
        <v>199</v>
      </c>
      <c r="V201" s="60">
        <v>149.30000000000001</v>
      </c>
      <c r="W201" s="60">
        <v>156</v>
      </c>
      <c r="X201" s="60">
        <v>162.69999999999999</v>
      </c>
      <c r="Y201" s="60">
        <v>169.5</v>
      </c>
      <c r="Z201" s="60">
        <v>176.2</v>
      </c>
      <c r="AB201" s="60">
        <v>199</v>
      </c>
      <c r="AC201" s="60">
        <v>159</v>
      </c>
      <c r="AD201" s="60">
        <v>166.7</v>
      </c>
      <c r="AE201" s="60">
        <v>174.4</v>
      </c>
      <c r="AF201" s="60">
        <v>182.1</v>
      </c>
      <c r="AG201" s="60">
        <v>189.8</v>
      </c>
    </row>
    <row r="202" spans="21:33">
      <c r="U202" s="60">
        <v>200</v>
      </c>
      <c r="V202" s="60">
        <v>149.30000000000001</v>
      </c>
      <c r="W202" s="60">
        <v>156</v>
      </c>
      <c r="X202" s="60">
        <v>162.80000000000001</v>
      </c>
      <c r="Y202" s="60">
        <v>169.5</v>
      </c>
      <c r="Z202" s="60">
        <v>176.2</v>
      </c>
      <c r="AB202" s="60">
        <v>200</v>
      </c>
      <c r="AC202" s="60">
        <v>159.19999999999999</v>
      </c>
      <c r="AD202" s="60">
        <v>166.9</v>
      </c>
      <c r="AE202" s="60">
        <v>174.6</v>
      </c>
      <c r="AF202" s="60">
        <v>182.3</v>
      </c>
      <c r="AG202" s="60">
        <v>190</v>
      </c>
    </row>
    <row r="203" spans="21:33">
      <c r="U203" s="60">
        <v>201</v>
      </c>
      <c r="V203" s="60">
        <v>149.4</v>
      </c>
      <c r="W203" s="60">
        <v>156.1</v>
      </c>
      <c r="X203" s="60">
        <v>162.80000000000001</v>
      </c>
      <c r="Y203" s="60">
        <v>169.5</v>
      </c>
      <c r="Z203" s="60">
        <v>176.2</v>
      </c>
      <c r="AB203" s="60">
        <v>201</v>
      </c>
      <c r="AC203" s="60">
        <v>159.4</v>
      </c>
      <c r="AD203" s="60">
        <v>167.1</v>
      </c>
      <c r="AE203" s="60">
        <v>174.7</v>
      </c>
      <c r="AF203" s="60">
        <v>182.4</v>
      </c>
      <c r="AG203" s="60">
        <v>190.1</v>
      </c>
    </row>
    <row r="204" spans="21:33">
      <c r="U204" s="60">
        <v>202</v>
      </c>
      <c r="V204" s="60">
        <v>149.4</v>
      </c>
      <c r="W204" s="60">
        <v>156.1</v>
      </c>
      <c r="X204" s="60">
        <v>162.80000000000001</v>
      </c>
      <c r="Y204" s="60">
        <v>169.5</v>
      </c>
      <c r="Z204" s="60">
        <v>176.2</v>
      </c>
      <c r="AB204" s="60">
        <v>202</v>
      </c>
      <c r="AC204" s="60">
        <v>159.6</v>
      </c>
      <c r="AD204" s="60">
        <v>167.2</v>
      </c>
      <c r="AE204" s="60">
        <v>174.9</v>
      </c>
      <c r="AF204" s="60">
        <v>182.6</v>
      </c>
      <c r="AG204" s="60">
        <v>190.2</v>
      </c>
    </row>
    <row r="205" spans="21:33">
      <c r="U205" s="60">
        <v>203</v>
      </c>
      <c r="V205" s="60">
        <v>149.4</v>
      </c>
      <c r="W205" s="60">
        <v>156.1</v>
      </c>
      <c r="X205" s="60">
        <v>162.80000000000001</v>
      </c>
      <c r="Y205" s="60">
        <v>169.5</v>
      </c>
      <c r="Z205" s="60">
        <v>176.2</v>
      </c>
      <c r="AB205" s="60">
        <v>203</v>
      </c>
      <c r="AC205" s="60">
        <v>159.69999999999999</v>
      </c>
      <c r="AD205" s="60">
        <v>167.4</v>
      </c>
      <c r="AE205" s="60">
        <v>175</v>
      </c>
      <c r="AF205" s="60">
        <v>182.7</v>
      </c>
      <c r="AG205" s="60">
        <v>190.3</v>
      </c>
    </row>
    <row r="206" spans="21:33">
      <c r="U206" s="60">
        <v>204</v>
      </c>
      <c r="V206" s="60">
        <v>149.5</v>
      </c>
      <c r="W206" s="60">
        <v>156.19999999999999</v>
      </c>
      <c r="X206" s="60">
        <v>162.9</v>
      </c>
      <c r="Y206" s="60">
        <v>169.5</v>
      </c>
      <c r="Z206" s="60">
        <v>176.2</v>
      </c>
      <c r="AB206" s="60">
        <v>204</v>
      </c>
      <c r="AC206" s="60">
        <v>159.9</v>
      </c>
      <c r="AD206" s="60">
        <v>167.5</v>
      </c>
      <c r="AE206" s="60">
        <v>175.2</v>
      </c>
      <c r="AF206" s="60">
        <v>182.8</v>
      </c>
      <c r="AG206" s="60">
        <v>190.4</v>
      </c>
    </row>
    <row r="207" spans="21:33">
      <c r="U207" s="60">
        <v>205</v>
      </c>
      <c r="V207" s="60">
        <v>149.5</v>
      </c>
      <c r="W207" s="60">
        <v>156.19999999999999</v>
      </c>
      <c r="X207" s="60">
        <v>162.9</v>
      </c>
      <c r="Y207" s="60">
        <v>169.6</v>
      </c>
      <c r="Z207" s="60">
        <v>176.2</v>
      </c>
      <c r="AB207" s="60">
        <v>205</v>
      </c>
      <c r="AC207" s="60">
        <v>160</v>
      </c>
      <c r="AD207" s="60">
        <v>167.7</v>
      </c>
      <c r="AE207" s="60">
        <v>175.3</v>
      </c>
      <c r="AF207" s="60">
        <v>182.9</v>
      </c>
      <c r="AG207" s="60">
        <v>190.5</v>
      </c>
    </row>
    <row r="208" spans="21:33">
      <c r="U208" s="60">
        <v>206</v>
      </c>
      <c r="V208" s="60">
        <v>149.5</v>
      </c>
      <c r="W208" s="60">
        <v>156.19999999999999</v>
      </c>
      <c r="X208" s="60">
        <v>162.9</v>
      </c>
      <c r="Y208" s="60">
        <v>169.6</v>
      </c>
      <c r="Z208" s="60">
        <v>176.2</v>
      </c>
      <c r="AB208" s="60">
        <v>206</v>
      </c>
      <c r="AC208" s="60">
        <v>160.19999999999999</v>
      </c>
      <c r="AD208" s="60">
        <v>167.8</v>
      </c>
      <c r="AE208" s="60">
        <v>175.4</v>
      </c>
      <c r="AF208" s="60">
        <v>183</v>
      </c>
      <c r="AG208" s="60">
        <v>190.6</v>
      </c>
    </row>
    <row r="209" spans="21:33">
      <c r="U209" s="60">
        <v>207</v>
      </c>
      <c r="V209" s="60">
        <v>149.6</v>
      </c>
      <c r="W209" s="60">
        <v>156.19999999999999</v>
      </c>
      <c r="X209" s="60">
        <v>162.9</v>
      </c>
      <c r="Y209" s="60">
        <v>169.6</v>
      </c>
      <c r="Z209" s="60">
        <v>176.3</v>
      </c>
      <c r="AB209" s="60">
        <v>207</v>
      </c>
      <c r="AC209" s="60">
        <v>160.30000000000001</v>
      </c>
      <c r="AD209" s="60">
        <v>167.9</v>
      </c>
      <c r="AE209" s="60">
        <v>175.5</v>
      </c>
      <c r="AF209" s="60">
        <v>183.1</v>
      </c>
      <c r="AG209" s="60">
        <v>190.7</v>
      </c>
    </row>
    <row r="210" spans="21:33">
      <c r="U210" s="60">
        <v>208</v>
      </c>
      <c r="V210" s="60">
        <v>149.6</v>
      </c>
      <c r="W210" s="60">
        <v>156.30000000000001</v>
      </c>
      <c r="X210" s="60">
        <v>162.9</v>
      </c>
      <c r="Y210" s="60">
        <v>169.6</v>
      </c>
      <c r="Z210" s="60">
        <v>176.3</v>
      </c>
      <c r="AB210" s="60">
        <v>208</v>
      </c>
      <c r="AC210" s="60">
        <v>160.4</v>
      </c>
      <c r="AD210" s="60">
        <v>168</v>
      </c>
      <c r="AE210" s="60">
        <v>175.6</v>
      </c>
      <c r="AF210" s="60">
        <v>183.2</v>
      </c>
      <c r="AG210" s="60">
        <v>190.8</v>
      </c>
    </row>
    <row r="211" spans="21:33">
      <c r="U211" s="60">
        <v>209</v>
      </c>
      <c r="V211" s="60">
        <v>149.6</v>
      </c>
      <c r="W211" s="60">
        <v>156.30000000000001</v>
      </c>
      <c r="X211" s="60">
        <v>162.9</v>
      </c>
      <c r="Y211" s="60">
        <v>169.6</v>
      </c>
      <c r="Z211" s="60">
        <v>176.3</v>
      </c>
      <c r="AB211" s="60">
        <v>209</v>
      </c>
      <c r="AC211" s="60">
        <v>160.5</v>
      </c>
      <c r="AD211" s="60">
        <v>168.1</v>
      </c>
      <c r="AE211" s="60">
        <v>175.7</v>
      </c>
      <c r="AF211" s="60">
        <v>183.3</v>
      </c>
      <c r="AG211" s="60">
        <v>190.8</v>
      </c>
    </row>
    <row r="212" spans="21:33">
      <c r="U212" s="60">
        <v>210</v>
      </c>
      <c r="V212" s="60">
        <v>149.69999999999999</v>
      </c>
      <c r="W212" s="60">
        <v>156.30000000000001</v>
      </c>
      <c r="X212" s="60">
        <v>163</v>
      </c>
      <c r="Y212" s="60">
        <v>169.6</v>
      </c>
      <c r="Z212" s="60">
        <v>176.3</v>
      </c>
      <c r="AB212" s="60">
        <v>210</v>
      </c>
      <c r="AC212" s="60">
        <v>160.6</v>
      </c>
      <c r="AD212" s="60">
        <v>168.2</v>
      </c>
      <c r="AE212" s="60">
        <v>175.8</v>
      </c>
      <c r="AF212" s="60">
        <v>183.3</v>
      </c>
      <c r="AG212" s="60">
        <v>190.9</v>
      </c>
    </row>
    <row r="213" spans="21:33">
      <c r="U213" s="60">
        <v>211</v>
      </c>
      <c r="V213" s="60">
        <v>149.69999999999999</v>
      </c>
      <c r="W213" s="60">
        <v>156.30000000000001</v>
      </c>
      <c r="X213" s="60">
        <v>163</v>
      </c>
      <c r="Y213" s="60">
        <v>169.6</v>
      </c>
      <c r="Z213" s="60">
        <v>176.3</v>
      </c>
      <c r="AB213" s="60">
        <v>211</v>
      </c>
      <c r="AC213" s="60">
        <v>160.80000000000001</v>
      </c>
      <c r="AD213" s="60">
        <v>168.3</v>
      </c>
      <c r="AE213" s="60">
        <v>175.8</v>
      </c>
      <c r="AF213" s="60">
        <v>183.4</v>
      </c>
      <c r="AG213" s="60">
        <v>190.9</v>
      </c>
    </row>
    <row r="214" spans="21:33">
      <c r="U214" s="60">
        <v>212</v>
      </c>
      <c r="V214" s="60">
        <v>149.69999999999999</v>
      </c>
      <c r="W214" s="60">
        <v>156.4</v>
      </c>
      <c r="X214" s="60">
        <v>163</v>
      </c>
      <c r="Y214" s="60">
        <v>169.6</v>
      </c>
      <c r="Z214" s="60">
        <v>176.3</v>
      </c>
      <c r="AB214" s="60">
        <v>212</v>
      </c>
      <c r="AC214" s="60">
        <v>160.9</v>
      </c>
      <c r="AD214" s="60">
        <v>168.4</v>
      </c>
      <c r="AE214" s="60">
        <v>175.9</v>
      </c>
      <c r="AF214" s="60">
        <v>183.4</v>
      </c>
      <c r="AG214" s="60">
        <v>191</v>
      </c>
    </row>
    <row r="215" spans="21:33">
      <c r="U215" s="60">
        <v>213</v>
      </c>
      <c r="V215" s="60">
        <v>149.80000000000001</v>
      </c>
      <c r="W215" s="60">
        <v>156.4</v>
      </c>
      <c r="X215" s="60">
        <v>163</v>
      </c>
      <c r="Y215" s="60">
        <v>169.6</v>
      </c>
      <c r="Z215" s="60">
        <v>176.3</v>
      </c>
      <c r="AB215" s="60">
        <v>213</v>
      </c>
      <c r="AC215" s="60">
        <v>160.9</v>
      </c>
      <c r="AD215" s="60">
        <v>168.5</v>
      </c>
      <c r="AE215" s="60">
        <v>176</v>
      </c>
      <c r="AF215" s="60">
        <v>183.5</v>
      </c>
      <c r="AG215" s="60">
        <v>191</v>
      </c>
    </row>
    <row r="216" spans="21:33">
      <c r="U216" s="60">
        <v>214</v>
      </c>
      <c r="V216" s="60">
        <v>149.80000000000001</v>
      </c>
      <c r="W216" s="60">
        <v>156.4</v>
      </c>
      <c r="X216" s="60">
        <v>163</v>
      </c>
      <c r="Y216" s="60">
        <v>169.7</v>
      </c>
      <c r="Z216" s="60">
        <v>176.3</v>
      </c>
      <c r="AB216" s="60">
        <v>214</v>
      </c>
      <c r="AC216" s="60">
        <v>161</v>
      </c>
      <c r="AD216" s="60">
        <v>168.5</v>
      </c>
      <c r="AE216" s="60">
        <v>176</v>
      </c>
      <c r="AF216" s="60">
        <v>183.5</v>
      </c>
      <c r="AG216" s="60">
        <v>191</v>
      </c>
    </row>
    <row r="217" spans="21:33">
      <c r="U217" s="60">
        <v>215</v>
      </c>
      <c r="V217" s="60">
        <v>149.80000000000001</v>
      </c>
      <c r="W217" s="60">
        <v>156.4</v>
      </c>
      <c r="X217" s="60">
        <v>163</v>
      </c>
      <c r="Y217" s="60">
        <v>169.7</v>
      </c>
      <c r="Z217" s="60">
        <v>176.3</v>
      </c>
      <c r="AB217" s="60">
        <v>215</v>
      </c>
      <c r="AC217" s="60">
        <v>161.1</v>
      </c>
      <c r="AD217" s="60">
        <v>168.6</v>
      </c>
      <c r="AE217" s="60">
        <v>176.1</v>
      </c>
      <c r="AF217" s="60">
        <v>183.6</v>
      </c>
      <c r="AG217" s="60">
        <v>191.1</v>
      </c>
    </row>
    <row r="218" spans="21:33">
      <c r="U218" s="60">
        <v>216</v>
      </c>
      <c r="V218" s="60">
        <v>149.80000000000001</v>
      </c>
      <c r="W218" s="60">
        <v>156.5</v>
      </c>
      <c r="X218" s="60">
        <v>163.1</v>
      </c>
      <c r="Y218" s="60">
        <v>169.7</v>
      </c>
      <c r="Z218" s="60">
        <v>176.3</v>
      </c>
      <c r="AB218" s="60">
        <v>216</v>
      </c>
      <c r="AC218" s="60">
        <v>161.19999999999999</v>
      </c>
      <c r="AD218" s="60">
        <v>168.7</v>
      </c>
      <c r="AE218" s="60">
        <v>176.1</v>
      </c>
      <c r="AF218" s="60">
        <v>183.6</v>
      </c>
      <c r="AG218" s="60">
        <v>191.1</v>
      </c>
    </row>
    <row r="219" spans="21:33">
      <c r="U219" s="60">
        <v>217</v>
      </c>
      <c r="V219" s="60">
        <v>149.9</v>
      </c>
      <c r="W219" s="60">
        <v>156.5</v>
      </c>
      <c r="X219" s="60">
        <v>163.1</v>
      </c>
      <c r="Y219" s="60">
        <v>169.7</v>
      </c>
      <c r="Z219" s="60">
        <v>176.3</v>
      </c>
      <c r="AB219" s="60">
        <v>217</v>
      </c>
      <c r="AC219" s="60">
        <v>161.30000000000001</v>
      </c>
      <c r="AD219" s="60">
        <v>168.7</v>
      </c>
      <c r="AE219" s="60">
        <v>176.2</v>
      </c>
      <c r="AF219" s="60">
        <v>183.6</v>
      </c>
      <c r="AG219" s="60">
        <v>191.1</v>
      </c>
    </row>
    <row r="220" spans="21:33">
      <c r="U220" s="60">
        <v>218</v>
      </c>
      <c r="V220" s="60">
        <v>149.9</v>
      </c>
      <c r="W220" s="60">
        <v>156.5</v>
      </c>
      <c r="X220" s="60">
        <v>163.1</v>
      </c>
      <c r="Y220" s="60">
        <v>169.7</v>
      </c>
      <c r="Z220" s="60">
        <v>176.3</v>
      </c>
      <c r="AB220" s="60">
        <v>218</v>
      </c>
      <c r="AC220" s="60">
        <v>161.4</v>
      </c>
      <c r="AD220" s="60">
        <v>168.8</v>
      </c>
      <c r="AE220" s="60">
        <v>176.2</v>
      </c>
      <c r="AF220" s="60">
        <v>183.7</v>
      </c>
      <c r="AG220" s="60">
        <v>191.1</v>
      </c>
    </row>
    <row r="221" spans="21:33">
      <c r="U221" s="60">
        <v>219</v>
      </c>
      <c r="V221" s="60">
        <v>149.9</v>
      </c>
      <c r="W221" s="60">
        <v>156.5</v>
      </c>
      <c r="X221" s="60">
        <v>163.1</v>
      </c>
      <c r="Y221" s="60">
        <v>169.7</v>
      </c>
      <c r="Z221" s="60">
        <v>176.3</v>
      </c>
      <c r="AB221" s="60">
        <v>219</v>
      </c>
      <c r="AC221" s="60">
        <v>161.4</v>
      </c>
      <c r="AD221" s="60">
        <v>168.9</v>
      </c>
      <c r="AE221" s="60">
        <v>176.3</v>
      </c>
      <c r="AF221" s="60">
        <v>183.7</v>
      </c>
      <c r="AG221" s="60">
        <v>191.1</v>
      </c>
    </row>
    <row r="222" spans="21:33">
      <c r="U222" s="60">
        <v>220</v>
      </c>
      <c r="V222" s="60">
        <v>149.9</v>
      </c>
      <c r="W222" s="60">
        <v>156.5</v>
      </c>
      <c r="X222" s="60">
        <v>163.1</v>
      </c>
      <c r="Y222" s="60">
        <v>169.7</v>
      </c>
      <c r="Z222" s="60">
        <v>176.3</v>
      </c>
      <c r="AB222" s="60">
        <v>220</v>
      </c>
      <c r="AC222" s="60">
        <v>161.5</v>
      </c>
      <c r="AD222" s="60">
        <v>168.9</v>
      </c>
      <c r="AE222" s="60">
        <v>176.3</v>
      </c>
      <c r="AF222" s="60">
        <v>183.7</v>
      </c>
      <c r="AG222" s="60">
        <v>191.1</v>
      </c>
    </row>
    <row r="223" spans="21:33">
      <c r="U223" s="60">
        <v>221</v>
      </c>
      <c r="V223" s="60">
        <v>150</v>
      </c>
      <c r="W223" s="60">
        <v>156.5</v>
      </c>
      <c r="X223" s="60">
        <v>163.1</v>
      </c>
      <c r="Y223" s="60">
        <v>169.7</v>
      </c>
      <c r="Z223" s="60">
        <v>176.3</v>
      </c>
      <c r="AB223" s="60">
        <v>221</v>
      </c>
      <c r="AC223" s="60">
        <v>161.6</v>
      </c>
      <c r="AD223" s="60">
        <v>169</v>
      </c>
      <c r="AE223" s="60">
        <v>176.4</v>
      </c>
      <c r="AF223" s="60">
        <v>183.8</v>
      </c>
      <c r="AG223" s="60">
        <v>191.1</v>
      </c>
    </row>
    <row r="224" spans="21:33">
      <c r="U224" s="60">
        <v>222</v>
      </c>
      <c r="V224" s="60">
        <v>150</v>
      </c>
      <c r="W224" s="60">
        <v>156.6</v>
      </c>
      <c r="X224" s="60">
        <v>163.1</v>
      </c>
      <c r="Y224" s="60">
        <v>169.7</v>
      </c>
      <c r="Z224" s="60">
        <v>176.3</v>
      </c>
      <c r="AB224" s="60">
        <v>222</v>
      </c>
      <c r="AC224" s="60">
        <v>161.6</v>
      </c>
      <c r="AD224" s="60">
        <v>169</v>
      </c>
      <c r="AE224" s="60">
        <v>176.4</v>
      </c>
      <c r="AF224" s="60">
        <v>183.8</v>
      </c>
      <c r="AG224" s="60">
        <v>191.1</v>
      </c>
    </row>
    <row r="225" spans="21:33">
      <c r="U225" s="60">
        <v>223</v>
      </c>
      <c r="V225" s="60">
        <v>150</v>
      </c>
      <c r="W225" s="60">
        <v>156.6</v>
      </c>
      <c r="X225" s="60">
        <v>163.1</v>
      </c>
      <c r="Y225" s="60">
        <v>169.7</v>
      </c>
      <c r="Z225" s="60">
        <v>176.3</v>
      </c>
      <c r="AB225" s="60">
        <v>223</v>
      </c>
      <c r="AC225" s="60">
        <v>161.69999999999999</v>
      </c>
      <c r="AD225" s="60">
        <v>169</v>
      </c>
      <c r="AE225" s="60">
        <v>176.4</v>
      </c>
      <c r="AF225" s="60">
        <v>183.8</v>
      </c>
      <c r="AG225" s="60">
        <v>191.2</v>
      </c>
    </row>
    <row r="226" spans="21:33">
      <c r="U226" s="60">
        <v>224</v>
      </c>
      <c r="V226" s="60">
        <v>150</v>
      </c>
      <c r="W226" s="60">
        <v>156.6</v>
      </c>
      <c r="X226" s="60">
        <v>163.1</v>
      </c>
      <c r="Y226" s="60">
        <v>169.7</v>
      </c>
      <c r="Z226" s="60">
        <v>176.3</v>
      </c>
      <c r="AB226" s="60">
        <v>224</v>
      </c>
      <c r="AC226" s="60">
        <v>161.69999999999999</v>
      </c>
      <c r="AD226" s="60">
        <v>169.1</v>
      </c>
      <c r="AE226" s="60">
        <v>176.4</v>
      </c>
      <c r="AF226" s="60">
        <v>183.8</v>
      </c>
      <c r="AG226" s="60">
        <v>191.2</v>
      </c>
    </row>
    <row r="227" spans="21:33">
      <c r="U227" s="60">
        <v>225</v>
      </c>
      <c r="V227" s="60">
        <v>150</v>
      </c>
      <c r="W227" s="60">
        <v>156.6</v>
      </c>
      <c r="X227" s="60">
        <v>163.1</v>
      </c>
      <c r="Y227" s="60">
        <v>169.7</v>
      </c>
      <c r="Z227" s="60">
        <v>176.3</v>
      </c>
      <c r="AB227" s="60">
        <v>225</v>
      </c>
      <c r="AC227" s="60">
        <v>161.80000000000001</v>
      </c>
      <c r="AD227" s="60">
        <v>169.1</v>
      </c>
      <c r="AE227" s="60">
        <v>176.5</v>
      </c>
      <c r="AF227" s="60">
        <v>183.8</v>
      </c>
      <c r="AG227" s="60">
        <v>191.2</v>
      </c>
    </row>
    <row r="228" spans="21:33">
      <c r="U228" s="60">
        <v>226</v>
      </c>
      <c r="V228" s="60">
        <v>150</v>
      </c>
      <c r="W228" s="60">
        <v>156.6</v>
      </c>
      <c r="X228" s="60">
        <v>163.19999999999999</v>
      </c>
      <c r="Y228" s="60">
        <v>169.7</v>
      </c>
      <c r="Z228" s="60">
        <v>176.3</v>
      </c>
      <c r="AB228" s="60">
        <v>226</v>
      </c>
      <c r="AC228" s="60">
        <v>161.80000000000001</v>
      </c>
      <c r="AD228" s="60">
        <v>169.2</v>
      </c>
      <c r="AE228" s="60">
        <v>176.5</v>
      </c>
      <c r="AF228" s="60">
        <v>183.8</v>
      </c>
      <c r="AG228" s="60">
        <v>191.1</v>
      </c>
    </row>
    <row r="229" spans="21:33">
      <c r="U229" s="60">
        <v>227</v>
      </c>
      <c r="V229" s="60">
        <v>150.1</v>
      </c>
      <c r="W229" s="60">
        <v>156.6</v>
      </c>
      <c r="X229" s="60">
        <v>163.19999999999999</v>
      </c>
      <c r="Y229" s="60">
        <v>169.7</v>
      </c>
      <c r="Z229" s="60">
        <v>176.2</v>
      </c>
      <c r="AB229" s="60">
        <v>227</v>
      </c>
      <c r="AC229" s="60">
        <v>161.9</v>
      </c>
      <c r="AD229" s="60">
        <v>169.2</v>
      </c>
      <c r="AE229" s="60">
        <v>176.5</v>
      </c>
      <c r="AF229" s="60">
        <v>183.8</v>
      </c>
      <c r="AG229" s="60">
        <v>191.1</v>
      </c>
    </row>
    <row r="230" spans="21:33">
      <c r="U230" s="60">
        <v>228</v>
      </c>
      <c r="V230" s="60">
        <v>150.1</v>
      </c>
      <c r="W230" s="60">
        <v>156.6</v>
      </c>
      <c r="X230" s="60">
        <v>163.19999999999999</v>
      </c>
      <c r="Y230" s="60">
        <v>169.7</v>
      </c>
      <c r="Z230" s="60">
        <v>176.2</v>
      </c>
      <c r="AB230" s="60">
        <v>228</v>
      </c>
      <c r="AC230" s="60">
        <v>161.9</v>
      </c>
      <c r="AD230" s="60">
        <v>169.2</v>
      </c>
      <c r="AE230" s="60">
        <v>176.5</v>
      </c>
      <c r="AF230" s="60">
        <v>183.8</v>
      </c>
      <c r="AG230" s="60">
        <v>191.1</v>
      </c>
    </row>
  </sheetData>
  <pageMargins left="0.7" right="0.7" top="0.75" bottom="0.75" header="0.511811023622047" footer="0.511811023622047"/>
  <pageSetup paperSize="9" orientation="portrait" horizontalDpi="300" verticalDpi="300"/>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sheetPr>
    <tabColor rgb="FF586A6C"/>
  </sheetPr>
  <dimension ref="A1:F31"/>
  <sheetViews>
    <sheetView showGridLines="0" zoomScale="85" zoomScaleNormal="85" workbookViewId="0">
      <selection activeCell="D16" sqref="D16"/>
    </sheetView>
  </sheetViews>
  <sheetFormatPr baseColWidth="10" defaultColWidth="9.140625" defaultRowHeight="15"/>
  <cols>
    <col min="1" max="1" width="18.85546875" style="1" customWidth="1"/>
    <col min="2" max="2" width="14" style="1" customWidth="1"/>
    <col min="3" max="3" width="76.7109375" style="1" customWidth="1"/>
    <col min="4" max="4" width="38" style="1" customWidth="1"/>
    <col min="5" max="5" width="18" style="1" customWidth="1"/>
  </cols>
  <sheetData>
    <row r="1" spans="1:6" ht="27.75" customHeight="1">
      <c r="A1" s="38" t="s">
        <v>434</v>
      </c>
      <c r="B1" s="39"/>
      <c r="C1" s="39"/>
      <c r="D1" s="39"/>
      <c r="E1" s="39"/>
    </row>
    <row r="2" spans="1:6" ht="15.75">
      <c r="A2" s="40"/>
    </row>
    <row r="3" spans="1:6">
      <c r="A3" s="41" t="s">
        <v>209</v>
      </c>
    </row>
    <row r="5" spans="1:6">
      <c r="A5" s="42" t="s">
        <v>4</v>
      </c>
      <c r="B5" s="42" t="s">
        <v>435</v>
      </c>
      <c r="C5" s="42" t="s">
        <v>436</v>
      </c>
      <c r="D5" s="42" t="s">
        <v>437</v>
      </c>
      <c r="E5" s="42" t="s">
        <v>438</v>
      </c>
    </row>
    <row r="6" spans="1:6" ht="51.75" customHeight="1">
      <c r="A6" s="62" t="s">
        <v>439</v>
      </c>
      <c r="B6" s="62" t="s">
        <v>254</v>
      </c>
      <c r="C6" s="54" t="s">
        <v>440</v>
      </c>
      <c r="D6" s="54" t="s">
        <v>441</v>
      </c>
      <c r="E6" s="46" t="s">
        <v>442</v>
      </c>
    </row>
    <row r="7" spans="1:6" ht="51.75" customHeight="1">
      <c r="A7" s="62" t="s">
        <v>439</v>
      </c>
      <c r="B7" s="62" t="s">
        <v>254</v>
      </c>
      <c r="C7" s="54" t="s">
        <v>443</v>
      </c>
      <c r="D7" s="54" t="s">
        <v>444</v>
      </c>
      <c r="E7" s="46" t="s">
        <v>442</v>
      </c>
    </row>
    <row r="8" spans="1:6" ht="51.75" customHeight="1">
      <c r="A8" s="62" t="s">
        <v>439</v>
      </c>
      <c r="B8" s="62" t="s">
        <v>254</v>
      </c>
      <c r="C8" s="54" t="s">
        <v>445</v>
      </c>
      <c r="D8" s="54" t="s">
        <v>446</v>
      </c>
      <c r="E8" s="46" t="s">
        <v>442</v>
      </c>
    </row>
    <row r="10" spans="1:6" s="126" customFormat="1" ht="42.75" customHeight="1">
      <c r="A10" s="125" t="s">
        <v>447</v>
      </c>
      <c r="B10" s="125" t="s">
        <v>448</v>
      </c>
      <c r="C10" s="127" t="s">
        <v>449</v>
      </c>
      <c r="D10" s="125" t="s">
        <v>450</v>
      </c>
      <c r="E10" s="125" t="s">
        <v>442</v>
      </c>
    </row>
    <row r="11" spans="1:6" s="126" customFormat="1" ht="42.75" customHeight="1">
      <c r="A11" s="125" t="s">
        <v>447</v>
      </c>
      <c r="B11" s="125" t="s">
        <v>448</v>
      </c>
      <c r="C11" s="127" t="s">
        <v>451</v>
      </c>
      <c r="D11" s="125" t="s">
        <v>452</v>
      </c>
      <c r="E11" s="125" t="s">
        <v>442</v>
      </c>
    </row>
    <row r="12" spans="1:6" s="126" customFormat="1" ht="42.75" customHeight="1">
      <c r="A12" s="125" t="s">
        <v>447</v>
      </c>
      <c r="B12" s="125" t="s">
        <v>448</v>
      </c>
      <c r="C12" s="127" t="s">
        <v>453</v>
      </c>
      <c r="D12" s="125" t="s">
        <v>454</v>
      </c>
      <c r="E12" s="125" t="s">
        <v>442</v>
      </c>
    </row>
    <row r="13" spans="1:6" s="126" customFormat="1" ht="42.75" customHeight="1">
      <c r="A13" s="125" t="s">
        <v>447</v>
      </c>
      <c r="B13" s="125" t="s">
        <v>448</v>
      </c>
      <c r="C13" s="127" t="s">
        <v>455</v>
      </c>
      <c r="D13" s="125" t="s">
        <v>456</v>
      </c>
      <c r="E13" s="125" t="s">
        <v>442</v>
      </c>
    </row>
    <row r="14" spans="1:6" s="126" customFormat="1" ht="42.75" customHeight="1">
      <c r="A14" s="125" t="s">
        <v>447</v>
      </c>
      <c r="B14" s="125" t="s">
        <v>448</v>
      </c>
      <c r="C14" s="127" t="s">
        <v>457</v>
      </c>
      <c r="D14" s="125" t="s">
        <v>458</v>
      </c>
      <c r="E14" s="125" t="s">
        <v>442</v>
      </c>
    </row>
    <row r="15" spans="1:6" s="126" customFormat="1" ht="42.75" customHeight="1">
      <c r="A15" s="125" t="s">
        <v>447</v>
      </c>
      <c r="B15" s="125" t="s">
        <v>448</v>
      </c>
      <c r="C15" s="127" t="s">
        <v>459</v>
      </c>
      <c r="D15" s="125" t="s">
        <v>460</v>
      </c>
      <c r="E15" s="125" t="s">
        <v>442</v>
      </c>
    </row>
    <row r="16" spans="1:6" s="126" customFormat="1" ht="42.75" customHeight="1">
      <c r="A16" s="125" t="s">
        <v>447</v>
      </c>
      <c r="B16" s="125" t="s">
        <v>448</v>
      </c>
      <c r="C16" s="127" t="s">
        <v>461</v>
      </c>
      <c r="D16" s="125" t="s">
        <v>462</v>
      </c>
      <c r="E16" s="125" t="s">
        <v>442</v>
      </c>
      <c r="F16" s="63"/>
    </row>
    <row r="17" spans="1:6" s="126" customFormat="1" ht="42.75" customHeight="1">
      <c r="A17" s="125" t="s">
        <v>447</v>
      </c>
      <c r="B17" s="125" t="s">
        <v>448</v>
      </c>
      <c r="C17" s="127" t="s">
        <v>463</v>
      </c>
      <c r="D17" s="125" t="s">
        <v>464</v>
      </c>
      <c r="E17" s="125" t="s">
        <v>442</v>
      </c>
      <c r="F17" s="63"/>
    </row>
    <row r="18" spans="1:6" s="126" customFormat="1" ht="42.75" customHeight="1">
      <c r="A18" s="125" t="s">
        <v>447</v>
      </c>
      <c r="B18" s="125" t="s">
        <v>448</v>
      </c>
      <c r="C18" s="127" t="s">
        <v>465</v>
      </c>
      <c r="D18" s="125" t="s">
        <v>466</v>
      </c>
      <c r="E18" s="125" t="s">
        <v>442</v>
      </c>
      <c r="F18" s="63"/>
    </row>
    <row r="19" spans="1:6" s="126" customFormat="1" ht="42.75" customHeight="1">
      <c r="A19" s="125" t="s">
        <v>467</v>
      </c>
      <c r="B19" s="125" t="s">
        <v>281</v>
      </c>
      <c r="C19" s="127" t="s">
        <v>468</v>
      </c>
      <c r="D19" s="125" t="s">
        <v>469</v>
      </c>
      <c r="E19" s="125" t="s">
        <v>442</v>
      </c>
    </row>
    <row r="20" spans="1:6" s="126" customFormat="1" ht="42.75" customHeight="1">
      <c r="A20" s="125" t="s">
        <v>467</v>
      </c>
      <c r="B20" s="125" t="s">
        <v>281</v>
      </c>
      <c r="C20" s="127" t="s">
        <v>470</v>
      </c>
      <c r="D20" s="125" t="s">
        <v>471</v>
      </c>
      <c r="E20" s="125" t="s">
        <v>442</v>
      </c>
    </row>
    <row r="21" spans="1:6" s="126" customFormat="1" ht="42.75" customHeight="1">
      <c r="A21" s="125" t="s">
        <v>467</v>
      </c>
      <c r="B21" s="125" t="s">
        <v>281</v>
      </c>
      <c r="C21" s="127" t="s">
        <v>472</v>
      </c>
      <c r="D21" s="125" t="s">
        <v>473</v>
      </c>
      <c r="E21" s="125" t="s">
        <v>442</v>
      </c>
    </row>
    <row r="22" spans="1:6" s="126" customFormat="1" ht="42.75" customHeight="1">
      <c r="A22" s="125" t="s">
        <v>467</v>
      </c>
      <c r="B22" s="125" t="s">
        <v>281</v>
      </c>
      <c r="C22" s="127" t="s">
        <v>474</v>
      </c>
      <c r="D22" s="125" t="s">
        <v>475</v>
      </c>
      <c r="E22" s="125" t="s">
        <v>442</v>
      </c>
    </row>
    <row r="23" spans="1:6" s="126" customFormat="1" ht="42.75" customHeight="1">
      <c r="A23" s="125" t="s">
        <v>467</v>
      </c>
      <c r="B23" s="125" t="s">
        <v>281</v>
      </c>
      <c r="C23" s="127" t="s">
        <v>476</v>
      </c>
      <c r="D23" s="125" t="s">
        <v>477</v>
      </c>
      <c r="E23" s="125" t="s">
        <v>442</v>
      </c>
    </row>
    <row r="24" spans="1:6" s="126" customFormat="1" ht="42.75" customHeight="1">
      <c r="A24" s="125" t="s">
        <v>478</v>
      </c>
      <c r="B24" s="125" t="s">
        <v>281</v>
      </c>
      <c r="C24" s="127" t="s">
        <v>479</v>
      </c>
      <c r="D24" s="125" t="s">
        <v>480</v>
      </c>
      <c r="E24" s="125" t="s">
        <v>442</v>
      </c>
    </row>
    <row r="25" spans="1:6" s="126" customFormat="1" ht="42.75" customHeight="1">
      <c r="A25" s="125" t="s">
        <v>478</v>
      </c>
      <c r="B25" s="125" t="s">
        <v>281</v>
      </c>
      <c r="C25" s="127" t="s">
        <v>481</v>
      </c>
      <c r="D25" s="125" t="s">
        <v>482</v>
      </c>
      <c r="E25" s="125" t="s">
        <v>442</v>
      </c>
    </row>
    <row r="26" spans="1:6" s="126" customFormat="1" ht="42.75" customHeight="1">
      <c r="A26" s="125" t="s">
        <v>478</v>
      </c>
      <c r="B26" s="125" t="s">
        <v>281</v>
      </c>
      <c r="C26" s="127" t="s">
        <v>483</v>
      </c>
      <c r="D26" s="125" t="s">
        <v>484</v>
      </c>
      <c r="E26" s="125" t="s">
        <v>442</v>
      </c>
    </row>
    <row r="27" spans="1:6" s="126" customFormat="1" ht="42.75" customHeight="1">
      <c r="A27" s="125" t="s">
        <v>478</v>
      </c>
      <c r="B27" s="125" t="s">
        <v>281</v>
      </c>
      <c r="C27" s="127" t="s">
        <v>485</v>
      </c>
      <c r="D27" s="125" t="s">
        <v>486</v>
      </c>
      <c r="E27" s="125" t="s">
        <v>442</v>
      </c>
    </row>
    <row r="28" spans="1:6" s="126" customFormat="1" ht="42.75" customHeight="1">
      <c r="A28" s="125" t="s">
        <v>478</v>
      </c>
      <c r="B28" s="125" t="s">
        <v>281</v>
      </c>
      <c r="C28" s="127" t="s">
        <v>487</v>
      </c>
      <c r="D28" s="125" t="s">
        <v>488</v>
      </c>
      <c r="E28" s="125" t="s">
        <v>442</v>
      </c>
    </row>
    <row r="29" spans="1:6" s="126" customFormat="1" ht="42.75" customHeight="1">
      <c r="A29" s="125" t="s">
        <v>478</v>
      </c>
      <c r="B29" s="125" t="s">
        <v>281</v>
      </c>
      <c r="C29" s="127" t="s">
        <v>489</v>
      </c>
      <c r="D29" s="125" t="s">
        <v>490</v>
      </c>
      <c r="E29" s="125" t="s">
        <v>442</v>
      </c>
    </row>
    <row r="30" spans="1:6" s="126" customFormat="1" ht="42.75" customHeight="1">
      <c r="A30" s="125" t="s">
        <v>478</v>
      </c>
      <c r="B30" s="125" t="s">
        <v>281</v>
      </c>
      <c r="C30" s="127" t="s">
        <v>491</v>
      </c>
      <c r="D30" s="125" t="s">
        <v>492</v>
      </c>
      <c r="E30" s="125" t="s">
        <v>442</v>
      </c>
    </row>
    <row r="31" spans="1:6" s="126" customFormat="1" ht="42.75" customHeight="1">
      <c r="A31" s="125" t="s">
        <v>478</v>
      </c>
      <c r="B31" s="125" t="s">
        <v>281</v>
      </c>
      <c r="C31" s="127" t="s">
        <v>493</v>
      </c>
      <c r="D31" s="125" t="s">
        <v>494</v>
      </c>
      <c r="E31" s="125" t="s">
        <v>442</v>
      </c>
    </row>
  </sheetData>
  <sheetProtection algorithmName="SHA-512" hashValue="x/xrnF2amAs0NwEow0uVEDkfOzaJ8rAq8gQfM3b871+NfsIdA5W/XbyHc3lCaHN/U3lVFfYQrSrUlY9oJek1/g==" saltValue="Arv3jKD1tsO+TOVN9W2s5Q==" spinCount="100000" sheet="1" objects="1" scenarios="1"/>
  <pageMargins left="0.7" right="0.7" top="0.75" bottom="0.75" header="0.511811023622047" footer="0.511811023622047"/>
  <pageSetup paperSize="9" orientation="portrait" horizontalDpi="300" verticalDpi="300"/>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900-000000000000}">
  <dimension ref="A1:K16"/>
  <sheetViews>
    <sheetView showGridLines="0" zoomScaleNormal="100" workbookViewId="0"/>
  </sheetViews>
  <sheetFormatPr baseColWidth="10" defaultColWidth="8.7109375" defaultRowHeight="15"/>
  <cols>
    <col min="1" max="1" width="5" style="1" customWidth="1"/>
    <col min="2" max="3" width="34" style="1" customWidth="1"/>
    <col min="4" max="5" width="12" style="1" customWidth="1"/>
    <col min="6" max="7" width="20" style="1" customWidth="1"/>
    <col min="8" max="8" width="16" style="1" customWidth="1"/>
    <col min="10" max="10" width="18" style="1" customWidth="1"/>
    <col min="11" max="11" width="12" style="1" customWidth="1"/>
  </cols>
  <sheetData>
    <row r="1" spans="1:11" ht="24" customHeight="1">
      <c r="A1" s="179" t="s">
        <v>495</v>
      </c>
      <c r="B1" s="179"/>
      <c r="C1" s="179"/>
      <c r="D1" s="179"/>
      <c r="E1" s="179"/>
      <c r="F1" s="179"/>
      <c r="G1" s="179"/>
      <c r="H1" s="179"/>
    </row>
    <row r="2" spans="1:11" ht="42" customHeight="1">
      <c r="A2" s="180" t="s">
        <v>496</v>
      </c>
      <c r="B2" s="180"/>
      <c r="C2" s="180"/>
      <c r="D2" s="180"/>
      <c r="E2" s="180"/>
      <c r="F2" s="180"/>
      <c r="G2" s="180"/>
      <c r="H2" s="180"/>
    </row>
    <row r="3" spans="1:11" ht="30" customHeight="1">
      <c r="A3" s="64" t="s">
        <v>497</v>
      </c>
      <c r="B3" s="64" t="s">
        <v>498</v>
      </c>
      <c r="C3" s="64" t="s">
        <v>499</v>
      </c>
      <c r="D3" s="64" t="s">
        <v>500</v>
      </c>
      <c r="E3" s="64" t="s">
        <v>501</v>
      </c>
      <c r="F3" s="64" t="s">
        <v>502</v>
      </c>
      <c r="G3" s="64" t="s">
        <v>503</v>
      </c>
      <c r="H3" s="64" t="s">
        <v>504</v>
      </c>
    </row>
    <row r="4" spans="1:11">
      <c r="A4" s="65">
        <v>1</v>
      </c>
      <c r="B4" s="66" t="s">
        <v>505</v>
      </c>
      <c r="C4" s="66" t="s">
        <v>506</v>
      </c>
      <c r="D4" s="65" t="s">
        <v>507</v>
      </c>
      <c r="E4" s="65">
        <v>61</v>
      </c>
      <c r="F4" s="65">
        <f>IF(D4="Femenino",IFERROR(INDEX(Tablas_OMS!$C$2:$C$169,MATCH(E4,Tablas_OMS!$A$2:$A$169,0)),""),IF(D4="Masculino",IFERROR(INDEX(Tablas_OMS!$H$2:$H$169,MATCH(E4,Tablas_OMS!$F$2:$F$169,0)),""),""))</f>
        <v>15.2441</v>
      </c>
      <c r="G4" s="65">
        <v>15.2441</v>
      </c>
      <c r="H4" s="65" t="str">
        <f t="shared" ref="H4:H14" si="0">IF(IFERROR(ABS(F4-G4)&lt;0.0000001,FALSE()),"PASS",IF(AND(F4="",G4=""),"PASS","FALLA"))</f>
        <v>PASS</v>
      </c>
      <c r="J4" s="66" t="s">
        <v>508</v>
      </c>
      <c r="K4" s="65">
        <f>INDEX(Tablas_OMS!$B$2:$B$169,MATCH(61,Tablas_OMS!$A$2:$A$169,0))</f>
        <v>-0.88859999999999995</v>
      </c>
    </row>
    <row r="5" spans="1:11">
      <c r="A5" s="65">
        <v>2</v>
      </c>
      <c r="B5" s="66" t="s">
        <v>509</v>
      </c>
      <c r="C5" s="66" t="s">
        <v>506</v>
      </c>
      <c r="D5" s="65" t="s">
        <v>33</v>
      </c>
      <c r="E5" s="65">
        <v>61</v>
      </c>
      <c r="F5" s="65">
        <f>IF(D5="Femenino",IFERROR(INDEX(Tablas_OMS!$C$2:$C$169,MATCH(E5,Tablas_OMS!$A$2:$A$169,0)),""),IF(D5="Masculino",IFERROR(INDEX(Tablas_OMS!$H$2:$H$169,MATCH(E5,Tablas_OMS!$F$2:$F$169,0)),""),""))</f>
        <v>15.264099999999999</v>
      </c>
      <c r="G5" s="65">
        <v>15.264099999999999</v>
      </c>
      <c r="H5" s="65" t="str">
        <f t="shared" si="0"/>
        <v>PASS</v>
      </c>
      <c r="J5" s="66" t="s">
        <v>510</v>
      </c>
      <c r="K5" s="65">
        <f>INDEX(Tablas_OMS!$C$2:$C$169,MATCH(61,Tablas_OMS!$A$2:$A$169,0))</f>
        <v>15.2441</v>
      </c>
    </row>
    <row r="6" spans="1:11">
      <c r="A6" s="65">
        <v>3</v>
      </c>
      <c r="B6" s="66" t="s">
        <v>511</v>
      </c>
      <c r="C6" s="66" t="s">
        <v>512</v>
      </c>
      <c r="D6" s="65" t="s">
        <v>507</v>
      </c>
      <c r="E6" s="65">
        <v>0</v>
      </c>
      <c r="F6" s="65">
        <f>IF(D6="Femenino",IFERROR(INDEX(Tablas_OMS!$M$2:$M$14,MATCH(E6,Tablas_OMS!$K$2:$K$14,0)),""),IF(D6="Masculino",IFERROR(INDEX(Tablas_OMS!$R$2:$R$14,MATCH(E6,Tablas_OMS!$P$2:$P$14,0)),""),""))</f>
        <v>3.2322000000000002</v>
      </c>
      <c r="G6" s="65">
        <v>3.2322000000000002</v>
      </c>
      <c r="H6" s="65" t="str">
        <f t="shared" si="0"/>
        <v>PASS</v>
      </c>
      <c r="J6" s="66" t="s">
        <v>513</v>
      </c>
      <c r="K6" s="65">
        <f>INDEX(Tablas_OMS!$D$2:$D$169,MATCH(61,Tablas_OMS!$A$2:$A$169,0))</f>
        <v>9.6920000000000006E-2</v>
      </c>
    </row>
    <row r="7" spans="1:11">
      <c r="A7" s="65">
        <v>4</v>
      </c>
      <c r="B7" s="66" t="s">
        <v>514</v>
      </c>
      <c r="C7" s="66" t="s">
        <v>515</v>
      </c>
      <c r="D7" s="65" t="s">
        <v>507</v>
      </c>
      <c r="E7" s="65">
        <v>228</v>
      </c>
      <c r="F7" s="65">
        <f>IF(D7="Femenino",IFERROR(INDEX(Tablas_OMS!$X$2:$X$230,MATCH(E7,Tablas_OMS!$U$2:$U$230,0)),""),IF(D7="Masculino",IFERROR(INDEX(Tablas_OMS!$AE$2:$AE$230,MATCH(E7,Tablas_OMS!$AB$2:$AB$230,0)),""),""))</f>
        <v>163.19999999999999</v>
      </c>
      <c r="G7" s="65">
        <v>163.19999999999999</v>
      </c>
      <c r="H7" s="65" t="str">
        <f t="shared" si="0"/>
        <v>PASS</v>
      </c>
    </row>
    <row r="8" spans="1:11" ht="30">
      <c r="A8" s="65">
        <v>5</v>
      </c>
      <c r="B8" s="66" t="s">
        <v>516</v>
      </c>
      <c r="C8" s="66" t="s">
        <v>517</v>
      </c>
      <c r="D8" s="65" t="s">
        <v>507</v>
      </c>
      <c r="E8" s="65">
        <v>61</v>
      </c>
      <c r="F8" s="65">
        <f>IF(D8="Femenino",IFERROR(INDEX(Tablas_OMS!$X$2:$X$230,MATCH(E8,Tablas_OMS!$U$2:$U$230,0)),""),IF(D8="Masculino",IFERROR(INDEX(Tablas_OMS!$AE$2:$AE$230,MATCH(E8,Tablas_OMS!$AB$2:$AB$230,0)),""),""))</f>
        <v>109.6</v>
      </c>
      <c r="G8" s="65">
        <v>109.6</v>
      </c>
      <c r="H8" s="65" t="str">
        <f t="shared" si="0"/>
        <v>PASS</v>
      </c>
      <c r="J8" s="66" t="s">
        <v>518</v>
      </c>
      <c r="K8" s="65" t="s">
        <v>519</v>
      </c>
    </row>
    <row r="9" spans="1:11">
      <c r="A9" s="65">
        <v>6</v>
      </c>
      <c r="B9" s="66" t="s">
        <v>520</v>
      </c>
      <c r="C9" s="66" t="s">
        <v>521</v>
      </c>
      <c r="D9" s="65" t="s">
        <v>507</v>
      </c>
      <c r="E9" s="65">
        <v>61.5</v>
      </c>
      <c r="F9" s="65" t="str">
        <f>IF(D9="Femenino",IFERROR(INDEX(Tablas_OMS!$C$2:$C$169,MATCH(E9,Tablas_OMS!$A$2:$A$169,0)),""),IF(D9="Masculino",IFERROR(INDEX(Tablas_OMS!$H$2:$H$169,MATCH(E9,Tablas_OMS!$F$2:$F$169,0)),""),""))</f>
        <v/>
      </c>
      <c r="G9" s="65"/>
      <c r="H9" s="65" t="str">
        <f t="shared" si="0"/>
        <v>PASS</v>
      </c>
      <c r="J9" s="65">
        <v>1</v>
      </c>
      <c r="K9" s="65">
        <v>0</v>
      </c>
    </row>
    <row r="10" spans="1:11">
      <c r="A10" s="65">
        <v>7</v>
      </c>
      <c r="B10" s="66" t="s">
        <v>522</v>
      </c>
      <c r="C10" s="66" t="s">
        <v>523</v>
      </c>
      <c r="D10" s="65" t="s">
        <v>524</v>
      </c>
      <c r="E10" s="65"/>
      <c r="F10" s="65">
        <f>IFERROR((((K5/K5)^K4)-1)/(K4*K6),"")</f>
        <v>0</v>
      </c>
      <c r="G10" s="65">
        <v>0</v>
      </c>
      <c r="H10" s="65" t="str">
        <f t="shared" si="0"/>
        <v>PASS</v>
      </c>
      <c r="J10" s="65">
        <v>2</v>
      </c>
      <c r="K10" s="65">
        <v>5</v>
      </c>
    </row>
    <row r="11" spans="1:11">
      <c r="A11" s="65">
        <v>8</v>
      </c>
      <c r="B11" s="66" t="s">
        <v>525</v>
      </c>
      <c r="C11" s="66" t="s">
        <v>526</v>
      </c>
      <c r="D11" s="65" t="s">
        <v>524</v>
      </c>
      <c r="E11" s="65"/>
      <c r="F11" s="65">
        <f>IFERROR(INDEX($K$9:$K$10,MATCH(1,$J$9:$J$10,0)),"")</f>
        <v>0</v>
      </c>
      <c r="G11" s="65">
        <v>0</v>
      </c>
      <c r="H11" s="65" t="str">
        <f t="shared" si="0"/>
        <v>PASS</v>
      </c>
    </row>
    <row r="12" spans="1:11">
      <c r="A12" s="65">
        <v>9</v>
      </c>
      <c r="B12" s="66" t="s">
        <v>527</v>
      </c>
      <c r="C12" s="66" t="s">
        <v>528</v>
      </c>
      <c r="D12" s="65" t="s">
        <v>524</v>
      </c>
      <c r="E12" s="65"/>
      <c r="F12" s="65">
        <f>IFERROR(K12/((K13/100)^2),"")</f>
        <v>0</v>
      </c>
      <c r="G12" s="65">
        <v>0</v>
      </c>
      <c r="H12" s="65" t="str">
        <f t="shared" si="0"/>
        <v>PASS</v>
      </c>
      <c r="J12" s="66" t="s">
        <v>529</v>
      </c>
      <c r="K12" s="65"/>
    </row>
    <row r="13" spans="1:11">
      <c r="A13" s="65">
        <v>10</v>
      </c>
      <c r="B13" s="66" t="s">
        <v>530</v>
      </c>
      <c r="C13" s="66" t="s">
        <v>531</v>
      </c>
      <c r="D13" s="65" t="s">
        <v>524</v>
      </c>
      <c r="E13" s="65"/>
      <c r="F13" s="65" t="str">
        <f>IFERROR(K15/((K16/100)^2),"")</f>
        <v/>
      </c>
      <c r="G13" s="65"/>
      <c r="H13" s="65" t="str">
        <f t="shared" si="0"/>
        <v>PASS</v>
      </c>
      <c r="J13" s="66" t="s">
        <v>532</v>
      </c>
      <c r="K13" s="65">
        <v>100</v>
      </c>
    </row>
    <row r="14" spans="1:11">
      <c r="A14" s="65">
        <v>11</v>
      </c>
      <c r="B14" s="66" t="s">
        <v>533</v>
      </c>
      <c r="C14" s="66" t="s">
        <v>534</v>
      </c>
      <c r="D14" s="65" t="s">
        <v>535</v>
      </c>
      <c r="E14" s="65">
        <v>61</v>
      </c>
      <c r="F14" s="65" t="str">
        <f>IF(D14="Femenino",IFERROR(INDEX(Tablas_OMS!$C$2:$C$169,MATCH(E14,Tablas_OMS!$A$2:$A$169,0)),""),IF(D14="Masculino",IFERROR(INDEX(Tablas_OMS!$H$2:$H$169,MATCH(E14,Tablas_OMS!$F$2:$F$169,0)),""),""))</f>
        <v/>
      </c>
      <c r="G14" s="65"/>
      <c r="H14" s="65" t="str">
        <f t="shared" si="0"/>
        <v>PASS</v>
      </c>
    </row>
    <row r="15" spans="1:11">
      <c r="J15" s="66" t="s">
        <v>536</v>
      </c>
      <c r="K15" s="65">
        <v>62</v>
      </c>
    </row>
    <row r="16" spans="1:11" ht="21.75" customHeight="1">
      <c r="A16" s="179" t="s">
        <v>537</v>
      </c>
      <c r="B16" s="179"/>
      <c r="C16" s="179"/>
      <c r="D16" s="179"/>
      <c r="E16" s="65" t="s">
        <v>538</v>
      </c>
      <c r="F16" s="65" t="str">
        <f>COUNTIF(H4:H14,"PASS")&amp;" / 11"</f>
        <v>11 / 11</v>
      </c>
      <c r="H16" s="65" t="str">
        <f>IF(COUNTIF(H4:H14,"FALLA")=0,"COMPATIBILIDAD OK","REVISAR")</f>
        <v>COMPATIBILIDAD OK</v>
      </c>
      <c r="J16" s="66" t="s">
        <v>539</v>
      </c>
      <c r="K16" s="65">
        <v>0</v>
      </c>
    </row>
  </sheetData>
  <mergeCells count="3">
    <mergeCell ref="A1:H1"/>
    <mergeCell ref="A2:H2"/>
    <mergeCell ref="A16:D16"/>
  </mergeCells>
  <pageMargins left="0.7" right="0.7" top="0.75" bottom="0.75" header="0.511811023622047" footer="0.511811023622047"/>
  <pageSetup paperSize="9" orientation="portrait" horizontalDpi="300" verticalDpi="300"/>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A00-000000000000}">
  <dimension ref="A1:BE233"/>
  <sheetViews>
    <sheetView zoomScaleNormal="100" workbookViewId="0">
      <selection sqref="A1:AC1"/>
    </sheetView>
  </sheetViews>
  <sheetFormatPr baseColWidth="10" defaultColWidth="9.140625" defaultRowHeight="15"/>
  <cols>
    <col min="1" max="2" width="13" style="1" customWidth="1"/>
    <col min="3" max="4" width="12" style="1" customWidth="1"/>
    <col min="5" max="5" width="20" style="1" customWidth="1"/>
    <col min="6" max="7" width="13" style="1" customWidth="1"/>
    <col min="8" max="9" width="12" style="1" customWidth="1"/>
    <col min="11" max="12" width="13" style="1" customWidth="1"/>
    <col min="13" max="14" width="12" style="1" customWidth="1"/>
    <col min="16" max="17" width="13" style="1" customWidth="1"/>
    <col min="18" max="19" width="12" style="1" customWidth="1"/>
    <col min="21" max="22" width="13" style="1" customWidth="1"/>
    <col min="23" max="24" width="12" style="1" customWidth="1"/>
    <col min="26" max="27" width="13" style="1" customWidth="1"/>
    <col min="28" max="29" width="12" style="1" customWidth="1"/>
    <col min="31" max="36" width="13" style="1" customWidth="1"/>
    <col min="38" max="43" width="13" style="1" customWidth="1"/>
    <col min="45" max="50" width="13" style="1" customWidth="1"/>
    <col min="52" max="57" width="13" style="1" customWidth="1"/>
  </cols>
  <sheetData>
    <row r="1" spans="1:57" ht="30" customHeight="1">
      <c r="A1" s="182" t="s">
        <v>540</v>
      </c>
      <c r="B1" s="182"/>
      <c r="C1" s="182"/>
      <c r="D1" s="182"/>
      <c r="E1" s="182"/>
      <c r="F1" s="182"/>
      <c r="G1" s="182"/>
      <c r="H1" s="182"/>
      <c r="I1" s="182"/>
      <c r="J1" s="182"/>
      <c r="K1" s="182"/>
      <c r="L1" s="182"/>
      <c r="M1" s="182"/>
      <c r="N1" s="182"/>
      <c r="O1" s="182"/>
      <c r="P1" s="182"/>
      <c r="Q1" s="182"/>
      <c r="R1" s="182"/>
      <c r="S1" s="182"/>
      <c r="T1" s="182"/>
      <c r="U1" s="182"/>
      <c r="V1" s="182"/>
      <c r="W1" s="182"/>
      <c r="X1" s="182"/>
      <c r="Y1" s="182"/>
      <c r="Z1" s="182"/>
      <c r="AA1" s="182"/>
      <c r="AB1" s="182"/>
      <c r="AC1" s="182"/>
    </row>
    <row r="2" spans="1:57" ht="31.5" customHeight="1">
      <c r="A2" s="183" t="s">
        <v>541</v>
      </c>
      <c r="B2" s="183"/>
      <c r="C2" s="183"/>
      <c r="D2" s="183"/>
      <c r="E2" s="183"/>
      <c r="F2" s="183"/>
      <c r="G2" s="183"/>
      <c r="H2" s="183"/>
      <c r="I2" s="183"/>
      <c r="J2" s="183"/>
      <c r="K2" s="183"/>
      <c r="L2" s="183"/>
      <c r="M2" s="183"/>
      <c r="N2" s="183"/>
      <c r="O2" s="183"/>
      <c r="P2" s="183"/>
      <c r="Q2" s="183"/>
      <c r="R2" s="183"/>
      <c r="S2" s="183"/>
      <c r="T2" s="183"/>
      <c r="U2" s="183"/>
      <c r="V2" s="183"/>
      <c r="W2" s="183"/>
      <c r="X2" s="183"/>
      <c r="Y2" s="183"/>
      <c r="Z2" s="183"/>
      <c r="AA2" s="183"/>
      <c r="AB2" s="183"/>
      <c r="AC2" s="183"/>
    </row>
    <row r="3" spans="1:57" ht="21.75" customHeight="1">
      <c r="A3" s="184" t="s">
        <v>542</v>
      </c>
      <c r="B3" s="184"/>
      <c r="C3" s="184"/>
      <c r="D3" s="184"/>
      <c r="E3" s="184"/>
      <c r="F3" s="184"/>
      <c r="G3" s="184"/>
      <c r="H3" s="184"/>
      <c r="I3" s="184"/>
      <c r="K3" s="184" t="s">
        <v>543</v>
      </c>
      <c r="L3" s="184"/>
      <c r="M3" s="184"/>
      <c r="N3" s="184"/>
      <c r="O3" s="184"/>
      <c r="P3" s="184"/>
      <c r="Q3" s="184"/>
      <c r="R3" s="184"/>
      <c r="S3" s="184"/>
      <c r="U3" s="184" t="s">
        <v>544</v>
      </c>
      <c r="V3" s="184"/>
      <c r="W3" s="184"/>
      <c r="X3" s="184"/>
      <c r="Y3" s="184"/>
      <c r="Z3" s="184"/>
      <c r="AA3" s="184"/>
      <c r="AB3" s="184"/>
      <c r="AC3" s="184"/>
      <c r="AE3" s="181" t="s">
        <v>545</v>
      </c>
      <c r="AF3" s="181"/>
      <c r="AG3" s="181"/>
      <c r="AH3" s="181"/>
      <c r="AI3" s="181"/>
      <c r="AJ3" s="181"/>
      <c r="AL3" s="181" t="s">
        <v>546</v>
      </c>
      <c r="AM3" s="181"/>
      <c r="AN3" s="181"/>
      <c r="AO3" s="181"/>
      <c r="AP3" s="181"/>
      <c r="AQ3" s="181"/>
      <c r="AS3" s="181" t="s">
        <v>547</v>
      </c>
      <c r="AT3" s="181"/>
      <c r="AU3" s="181"/>
      <c r="AV3" s="181"/>
      <c r="AW3" s="181"/>
      <c r="AX3" s="181"/>
      <c r="AZ3" s="181" t="s">
        <v>548</v>
      </c>
      <c r="BA3" s="181"/>
      <c r="BB3" s="181"/>
      <c r="BC3" s="181"/>
      <c r="BD3" s="181"/>
      <c r="BE3" s="181"/>
    </row>
    <row r="4" spans="1:57" ht="30" customHeight="1">
      <c r="A4" s="67" t="s">
        <v>549</v>
      </c>
      <c r="B4" s="67" t="s">
        <v>550</v>
      </c>
      <c r="C4" s="67" t="s">
        <v>551</v>
      </c>
      <c r="D4" s="67" t="s">
        <v>552</v>
      </c>
      <c r="F4" s="67" t="s">
        <v>549</v>
      </c>
      <c r="G4" s="67" t="s">
        <v>553</v>
      </c>
      <c r="H4" s="67" t="s">
        <v>554</v>
      </c>
      <c r="I4" s="67" t="s">
        <v>555</v>
      </c>
      <c r="K4" s="67" t="s">
        <v>556</v>
      </c>
      <c r="L4" s="67" t="s">
        <v>550</v>
      </c>
      <c r="M4" s="67" t="s">
        <v>551</v>
      </c>
      <c r="N4" s="67" t="s">
        <v>552</v>
      </c>
      <c r="P4" s="67" t="s">
        <v>556</v>
      </c>
      <c r="Q4" s="67" t="s">
        <v>553</v>
      </c>
      <c r="R4" s="67" t="s">
        <v>554</v>
      </c>
      <c r="S4" s="67" t="s">
        <v>555</v>
      </c>
      <c r="U4" s="67" t="s">
        <v>557</v>
      </c>
      <c r="V4" s="67" t="s">
        <v>550</v>
      </c>
      <c r="W4" s="67" t="s">
        <v>551</v>
      </c>
      <c r="X4" s="67" t="s">
        <v>552</v>
      </c>
      <c r="Z4" s="67" t="s">
        <v>557</v>
      </c>
      <c r="AA4" s="67" t="s">
        <v>553</v>
      </c>
      <c r="AB4" s="67" t="s">
        <v>554</v>
      </c>
      <c r="AC4" s="67" t="s">
        <v>555</v>
      </c>
      <c r="AE4" s="58" t="s">
        <v>549</v>
      </c>
      <c r="AF4" s="58" t="s">
        <v>558</v>
      </c>
      <c r="AG4" s="58" t="s">
        <v>559</v>
      </c>
      <c r="AH4" s="58" t="s">
        <v>560</v>
      </c>
      <c r="AI4" s="58" t="s">
        <v>561</v>
      </c>
      <c r="AJ4" s="58" t="s">
        <v>562</v>
      </c>
      <c r="AL4" s="58" t="s">
        <v>549</v>
      </c>
      <c r="AM4" s="58" t="s">
        <v>563</v>
      </c>
      <c r="AN4" s="58" t="s">
        <v>564</v>
      </c>
      <c r="AO4" s="58" t="s">
        <v>565</v>
      </c>
      <c r="AP4" s="58" t="s">
        <v>566</v>
      </c>
      <c r="AQ4" s="58" t="s">
        <v>567</v>
      </c>
      <c r="AS4" s="58" t="s">
        <v>549</v>
      </c>
      <c r="AT4" s="58" t="s">
        <v>568</v>
      </c>
      <c r="AU4" s="58" t="s">
        <v>569</v>
      </c>
      <c r="AV4" s="58" t="s">
        <v>570</v>
      </c>
      <c r="AW4" s="58" t="s">
        <v>571</v>
      </c>
      <c r="AX4" s="58" t="s">
        <v>572</v>
      </c>
      <c r="AZ4" s="58" t="s">
        <v>549</v>
      </c>
      <c r="BA4" s="58" t="s">
        <v>568</v>
      </c>
      <c r="BB4" s="58" t="s">
        <v>569</v>
      </c>
      <c r="BC4" s="58" t="s">
        <v>570</v>
      </c>
      <c r="BD4" s="58" t="s">
        <v>571</v>
      </c>
      <c r="BE4" s="58" t="s">
        <v>572</v>
      </c>
    </row>
    <row r="5" spans="1:57">
      <c r="A5" s="68">
        <v>0</v>
      </c>
      <c r="B5" s="69">
        <v>0.38090000000000002</v>
      </c>
      <c r="C5" s="69">
        <v>3.2322000000000002</v>
      </c>
      <c r="D5" s="69">
        <v>0.14171</v>
      </c>
      <c r="E5" s="70"/>
      <c r="F5" s="68">
        <v>0</v>
      </c>
      <c r="G5" s="69">
        <v>0.34870000000000001</v>
      </c>
      <c r="H5" s="69">
        <v>3.3464</v>
      </c>
      <c r="I5" s="69">
        <v>0.14602000000000001</v>
      </c>
      <c r="K5" s="71">
        <v>45</v>
      </c>
      <c r="L5" s="69">
        <v>-0.38329999999999997</v>
      </c>
      <c r="M5" s="69">
        <v>2.4607000000000001</v>
      </c>
      <c r="N5" s="69">
        <v>9.0289999999999995E-2</v>
      </c>
      <c r="O5" s="70"/>
      <c r="P5" s="71">
        <v>45</v>
      </c>
      <c r="Q5" s="69">
        <v>-0.35210000000000002</v>
      </c>
      <c r="R5" s="69">
        <v>2.4409999999999998</v>
      </c>
      <c r="S5" s="69">
        <v>9.1819999999999999E-2</v>
      </c>
      <c r="T5" s="70"/>
      <c r="U5" s="71">
        <v>65</v>
      </c>
      <c r="V5" s="69">
        <v>-0.38329999999999997</v>
      </c>
      <c r="W5" s="69">
        <v>7.2401999999999997</v>
      </c>
      <c r="X5" s="69">
        <v>9.1130000000000003E-2</v>
      </c>
      <c r="Y5" s="70"/>
      <c r="Z5" s="71">
        <v>65</v>
      </c>
      <c r="AA5" s="69">
        <v>-0.35210000000000002</v>
      </c>
      <c r="AB5" s="69">
        <v>7.4326999999999996</v>
      </c>
      <c r="AC5" s="69">
        <v>8.2170000000000007E-2</v>
      </c>
      <c r="AE5" s="72">
        <v>0</v>
      </c>
      <c r="AF5" s="73">
        <v>45.4</v>
      </c>
      <c r="AG5" s="73">
        <v>47.3</v>
      </c>
      <c r="AH5" s="73">
        <v>49.1</v>
      </c>
      <c r="AI5" s="73">
        <v>51</v>
      </c>
      <c r="AJ5" s="74">
        <v>52.9</v>
      </c>
      <c r="AL5" s="72">
        <v>0</v>
      </c>
      <c r="AM5" s="73">
        <v>46.1</v>
      </c>
      <c r="AN5" s="73">
        <v>48</v>
      </c>
      <c r="AO5" s="73">
        <v>49.9</v>
      </c>
      <c r="AP5" s="73">
        <v>51.8</v>
      </c>
      <c r="AQ5" s="74">
        <v>53.7</v>
      </c>
      <c r="AS5" s="72">
        <v>0</v>
      </c>
      <c r="AT5" s="73">
        <v>31.5</v>
      </c>
      <c r="AU5" s="73">
        <v>32.700000000000003</v>
      </c>
      <c r="AV5" s="73">
        <v>33.9</v>
      </c>
      <c r="AW5" s="73">
        <v>35.1</v>
      </c>
      <c r="AX5" s="74">
        <v>36.200000000000003</v>
      </c>
      <c r="AZ5" s="72">
        <v>0</v>
      </c>
      <c r="BA5" s="73">
        <v>31.9</v>
      </c>
      <c r="BB5" s="73">
        <v>33.200000000000003</v>
      </c>
      <c r="BC5" s="73">
        <v>34.5</v>
      </c>
      <c r="BD5" s="73">
        <v>35.700000000000003</v>
      </c>
      <c r="BE5" s="74">
        <v>37</v>
      </c>
    </row>
    <row r="6" spans="1:57">
      <c r="A6" s="68">
        <v>1</v>
      </c>
      <c r="B6" s="69">
        <v>0.1714</v>
      </c>
      <c r="C6" s="69">
        <v>4.1872999999999996</v>
      </c>
      <c r="D6" s="69">
        <v>0.13724</v>
      </c>
      <c r="E6" s="70"/>
      <c r="F6" s="68">
        <v>1</v>
      </c>
      <c r="G6" s="69">
        <v>0.22969999999999999</v>
      </c>
      <c r="H6" s="69">
        <v>4.4709000000000003</v>
      </c>
      <c r="I6" s="69">
        <v>0.13395000000000001</v>
      </c>
      <c r="K6" s="71">
        <v>45.5</v>
      </c>
      <c r="L6" s="69">
        <v>-0.38329999999999997</v>
      </c>
      <c r="M6" s="69">
        <v>2.5457000000000001</v>
      </c>
      <c r="N6" s="69">
        <v>9.0329999999999994E-2</v>
      </c>
      <c r="O6" s="70"/>
      <c r="P6" s="71">
        <v>45.5</v>
      </c>
      <c r="Q6" s="69">
        <v>-0.35210000000000002</v>
      </c>
      <c r="R6" s="69">
        <v>2.5244</v>
      </c>
      <c r="S6" s="69">
        <v>9.153E-2</v>
      </c>
      <c r="T6" s="70"/>
      <c r="U6" s="71">
        <v>65.5</v>
      </c>
      <c r="V6" s="69">
        <v>-0.38329999999999997</v>
      </c>
      <c r="W6" s="69">
        <v>7.3522999999999996</v>
      </c>
      <c r="X6" s="69">
        <v>9.1090000000000004E-2</v>
      </c>
      <c r="Y6" s="70"/>
      <c r="Z6" s="71">
        <v>65.5</v>
      </c>
      <c r="AA6" s="69">
        <v>-0.35210000000000002</v>
      </c>
      <c r="AB6" s="69">
        <v>7.5503999999999998</v>
      </c>
      <c r="AC6" s="69">
        <v>8.2140000000000005E-2</v>
      </c>
      <c r="AE6" s="75">
        <v>1</v>
      </c>
      <c r="AF6" s="76">
        <v>49.8</v>
      </c>
      <c r="AG6" s="76">
        <v>51.7</v>
      </c>
      <c r="AH6" s="76">
        <v>53.7</v>
      </c>
      <c r="AI6" s="76">
        <v>55.6</v>
      </c>
      <c r="AJ6" s="77">
        <v>57.6</v>
      </c>
      <c r="AL6" s="75">
        <v>1</v>
      </c>
      <c r="AM6" s="76">
        <v>50.8</v>
      </c>
      <c r="AN6" s="76">
        <v>52.8</v>
      </c>
      <c r="AO6" s="76">
        <v>54.7</v>
      </c>
      <c r="AP6" s="76">
        <v>56.7</v>
      </c>
      <c r="AQ6" s="77">
        <v>58.6</v>
      </c>
      <c r="AS6" s="75">
        <v>1</v>
      </c>
      <c r="AT6" s="76">
        <v>34.200000000000003</v>
      </c>
      <c r="AU6" s="76">
        <v>35.4</v>
      </c>
      <c r="AV6" s="76">
        <v>36.5</v>
      </c>
      <c r="AW6" s="76">
        <v>37.700000000000003</v>
      </c>
      <c r="AX6" s="77">
        <v>38.9</v>
      </c>
      <c r="AZ6" s="75">
        <v>1</v>
      </c>
      <c r="BA6" s="76">
        <v>34.9</v>
      </c>
      <c r="BB6" s="76">
        <v>36.1</v>
      </c>
      <c r="BC6" s="76">
        <v>37.299999999999997</v>
      </c>
      <c r="BD6" s="76">
        <v>38.4</v>
      </c>
      <c r="BE6" s="77">
        <v>39.6</v>
      </c>
    </row>
    <row r="7" spans="1:57">
      <c r="A7" s="68">
        <v>2</v>
      </c>
      <c r="B7" s="69">
        <v>9.6199999999999994E-2</v>
      </c>
      <c r="C7" s="69">
        <v>5.1281999999999996</v>
      </c>
      <c r="D7" s="69">
        <v>0.13</v>
      </c>
      <c r="E7" s="70"/>
      <c r="F7" s="68">
        <v>2</v>
      </c>
      <c r="G7" s="69">
        <v>0.19700000000000001</v>
      </c>
      <c r="H7" s="69">
        <v>5.5674999999999999</v>
      </c>
      <c r="I7" s="69">
        <v>0.12385</v>
      </c>
      <c r="K7" s="71">
        <v>46</v>
      </c>
      <c r="L7" s="69">
        <v>-0.38329999999999997</v>
      </c>
      <c r="M7" s="69">
        <v>2.6305999999999998</v>
      </c>
      <c r="N7" s="69">
        <v>9.0370000000000006E-2</v>
      </c>
      <c r="O7" s="70"/>
      <c r="P7" s="71">
        <v>46</v>
      </c>
      <c r="Q7" s="69">
        <v>-0.35210000000000002</v>
      </c>
      <c r="R7" s="69">
        <v>2.6076999999999999</v>
      </c>
      <c r="S7" s="69">
        <v>9.1240000000000002E-2</v>
      </c>
      <c r="T7" s="70"/>
      <c r="U7" s="71">
        <v>66</v>
      </c>
      <c r="V7" s="69">
        <v>-0.38329999999999997</v>
      </c>
      <c r="W7" s="69">
        <v>7.4630000000000001</v>
      </c>
      <c r="X7" s="69">
        <v>9.1039999999999996E-2</v>
      </c>
      <c r="Y7" s="70"/>
      <c r="Z7" s="71">
        <v>66</v>
      </c>
      <c r="AA7" s="69">
        <v>-0.35210000000000002</v>
      </c>
      <c r="AB7" s="69">
        <v>7.6673</v>
      </c>
      <c r="AC7" s="69">
        <v>8.2119999999999999E-2</v>
      </c>
      <c r="AE7" s="75">
        <v>2</v>
      </c>
      <c r="AF7" s="76">
        <v>53</v>
      </c>
      <c r="AG7" s="76">
        <v>55</v>
      </c>
      <c r="AH7" s="76">
        <v>57.1</v>
      </c>
      <c r="AI7" s="76">
        <v>59.1</v>
      </c>
      <c r="AJ7" s="77">
        <v>61.1</v>
      </c>
      <c r="AL7" s="75">
        <v>2</v>
      </c>
      <c r="AM7" s="76">
        <v>54.4</v>
      </c>
      <c r="AN7" s="76">
        <v>56.4</v>
      </c>
      <c r="AO7" s="76">
        <v>58.4</v>
      </c>
      <c r="AP7" s="76">
        <v>60.4</v>
      </c>
      <c r="AQ7" s="77">
        <v>62.4</v>
      </c>
      <c r="AS7" s="75">
        <v>2</v>
      </c>
      <c r="AT7" s="76">
        <v>35.799999999999997</v>
      </c>
      <c r="AU7" s="76">
        <v>37</v>
      </c>
      <c r="AV7" s="76">
        <v>38.299999999999997</v>
      </c>
      <c r="AW7" s="76">
        <v>39.5</v>
      </c>
      <c r="AX7" s="77">
        <v>40.700000000000003</v>
      </c>
      <c r="AZ7" s="75">
        <v>2</v>
      </c>
      <c r="BA7" s="76">
        <v>36.799999999999997</v>
      </c>
      <c r="BB7" s="76">
        <v>38</v>
      </c>
      <c r="BC7" s="76">
        <v>39.1</v>
      </c>
      <c r="BD7" s="76">
        <v>40.299999999999997</v>
      </c>
      <c r="BE7" s="77">
        <v>41.5</v>
      </c>
    </row>
    <row r="8" spans="1:57">
      <c r="A8" s="68">
        <v>3</v>
      </c>
      <c r="B8" s="69">
        <v>4.02E-2</v>
      </c>
      <c r="C8" s="69">
        <v>5.8457999999999997</v>
      </c>
      <c r="D8" s="69">
        <v>0.12619</v>
      </c>
      <c r="E8" s="70"/>
      <c r="F8" s="68">
        <v>3</v>
      </c>
      <c r="G8" s="69">
        <v>0.17380000000000001</v>
      </c>
      <c r="H8" s="69">
        <v>6.3761999999999999</v>
      </c>
      <c r="I8" s="69">
        <v>0.11727</v>
      </c>
      <c r="K8" s="71">
        <v>46.5</v>
      </c>
      <c r="L8" s="69">
        <v>-0.38329999999999997</v>
      </c>
      <c r="M8" s="69">
        <v>2.7155</v>
      </c>
      <c r="N8" s="69">
        <v>9.0399999999999994E-2</v>
      </c>
      <c r="O8" s="70"/>
      <c r="P8" s="71">
        <v>46.5</v>
      </c>
      <c r="Q8" s="69">
        <v>-0.35210000000000002</v>
      </c>
      <c r="R8" s="69">
        <v>2.6913</v>
      </c>
      <c r="S8" s="69">
        <v>9.0939999999999993E-2</v>
      </c>
      <c r="T8" s="70"/>
      <c r="U8" s="71">
        <v>66.5</v>
      </c>
      <c r="V8" s="69">
        <v>-0.38329999999999997</v>
      </c>
      <c r="W8" s="69">
        <v>7.5724</v>
      </c>
      <c r="X8" s="69">
        <v>9.0990000000000001E-2</v>
      </c>
      <c r="Y8" s="70"/>
      <c r="Z8" s="71">
        <v>66.5</v>
      </c>
      <c r="AA8" s="69">
        <v>-0.35210000000000002</v>
      </c>
      <c r="AB8" s="69">
        <v>7.7834000000000003</v>
      </c>
      <c r="AC8" s="69">
        <v>8.2119999999999999E-2</v>
      </c>
      <c r="AE8" s="75">
        <v>3</v>
      </c>
      <c r="AF8" s="76">
        <v>55.6</v>
      </c>
      <c r="AG8" s="76">
        <v>57.7</v>
      </c>
      <c r="AH8" s="76">
        <v>59.8</v>
      </c>
      <c r="AI8" s="76">
        <v>61.9</v>
      </c>
      <c r="AJ8" s="77">
        <v>64</v>
      </c>
      <c r="AL8" s="75">
        <v>3</v>
      </c>
      <c r="AM8" s="76">
        <v>57.3</v>
      </c>
      <c r="AN8" s="76">
        <v>59.4</v>
      </c>
      <c r="AO8" s="76">
        <v>61.4</v>
      </c>
      <c r="AP8" s="76">
        <v>63.5</v>
      </c>
      <c r="AQ8" s="77">
        <v>65.5</v>
      </c>
      <c r="AS8" s="75">
        <v>3</v>
      </c>
      <c r="AT8" s="76">
        <v>37.1</v>
      </c>
      <c r="AU8" s="76">
        <v>38.299999999999997</v>
      </c>
      <c r="AV8" s="76">
        <v>39.5</v>
      </c>
      <c r="AW8" s="76">
        <v>40.799999999999997</v>
      </c>
      <c r="AX8" s="77">
        <v>42</v>
      </c>
      <c r="AZ8" s="75">
        <v>3</v>
      </c>
      <c r="BA8" s="76">
        <v>38.1</v>
      </c>
      <c r="BB8" s="76">
        <v>39.299999999999997</v>
      </c>
      <c r="BC8" s="76">
        <v>40.5</v>
      </c>
      <c r="BD8" s="76">
        <v>41.7</v>
      </c>
      <c r="BE8" s="77">
        <v>42.9</v>
      </c>
    </row>
    <row r="9" spans="1:57">
      <c r="A9" s="68">
        <v>4</v>
      </c>
      <c r="B9" s="69">
        <v>-5.0000000000000001E-3</v>
      </c>
      <c r="C9" s="69">
        <v>6.4237000000000002</v>
      </c>
      <c r="D9" s="69">
        <v>0.12402000000000001</v>
      </c>
      <c r="E9" s="70"/>
      <c r="F9" s="68">
        <v>4</v>
      </c>
      <c r="G9" s="69">
        <v>0.15529999999999999</v>
      </c>
      <c r="H9" s="69">
        <v>7.0023</v>
      </c>
      <c r="I9" s="69">
        <v>0.11316</v>
      </c>
      <c r="K9" s="71">
        <v>47</v>
      </c>
      <c r="L9" s="69">
        <v>-0.38329999999999997</v>
      </c>
      <c r="M9" s="69">
        <v>2.8007</v>
      </c>
      <c r="N9" s="69">
        <v>9.0440000000000006E-2</v>
      </c>
      <c r="O9" s="70"/>
      <c r="P9" s="71">
        <v>47</v>
      </c>
      <c r="Q9" s="69">
        <v>-0.35210000000000002</v>
      </c>
      <c r="R9" s="69">
        <v>2.7755000000000001</v>
      </c>
      <c r="S9" s="69">
        <v>9.0649999999999994E-2</v>
      </c>
      <c r="T9" s="70"/>
      <c r="U9" s="71">
        <v>67</v>
      </c>
      <c r="V9" s="69">
        <v>-0.38329999999999997</v>
      </c>
      <c r="W9" s="69">
        <v>7.6806000000000001</v>
      </c>
      <c r="X9" s="69">
        <v>9.0939999999999993E-2</v>
      </c>
      <c r="Y9" s="70"/>
      <c r="Z9" s="71">
        <v>67</v>
      </c>
      <c r="AA9" s="69">
        <v>-0.35210000000000002</v>
      </c>
      <c r="AB9" s="69">
        <v>7.8986000000000001</v>
      </c>
      <c r="AC9" s="69">
        <v>8.2129999999999995E-2</v>
      </c>
      <c r="AE9" s="75">
        <v>4</v>
      </c>
      <c r="AF9" s="76">
        <v>57.8</v>
      </c>
      <c r="AG9" s="76">
        <v>59.9</v>
      </c>
      <c r="AH9" s="76">
        <v>62.1</v>
      </c>
      <c r="AI9" s="76">
        <v>64.3</v>
      </c>
      <c r="AJ9" s="77">
        <v>66.400000000000006</v>
      </c>
      <c r="AL9" s="75">
        <v>4</v>
      </c>
      <c r="AM9" s="76">
        <v>59.7</v>
      </c>
      <c r="AN9" s="76">
        <v>61.8</v>
      </c>
      <c r="AO9" s="76">
        <v>63.9</v>
      </c>
      <c r="AP9" s="76">
        <v>66</v>
      </c>
      <c r="AQ9" s="77">
        <v>68</v>
      </c>
      <c r="AS9" s="75">
        <v>4</v>
      </c>
      <c r="AT9" s="76">
        <v>38.1</v>
      </c>
      <c r="AU9" s="76">
        <v>39.299999999999997</v>
      </c>
      <c r="AV9" s="76">
        <v>40.6</v>
      </c>
      <c r="AW9" s="76">
        <v>41.8</v>
      </c>
      <c r="AX9" s="77">
        <v>43.1</v>
      </c>
      <c r="AZ9" s="75">
        <v>4</v>
      </c>
      <c r="BA9" s="76">
        <v>39.200000000000003</v>
      </c>
      <c r="BB9" s="76">
        <v>40.4</v>
      </c>
      <c r="BC9" s="76">
        <v>41.6</v>
      </c>
      <c r="BD9" s="76">
        <v>42.8</v>
      </c>
      <c r="BE9" s="77">
        <v>44</v>
      </c>
    </row>
    <row r="10" spans="1:57">
      <c r="A10" s="68">
        <v>5</v>
      </c>
      <c r="B10" s="69">
        <v>-4.2999999999999997E-2</v>
      </c>
      <c r="C10" s="69">
        <v>6.8985000000000003</v>
      </c>
      <c r="D10" s="69">
        <v>0.12274</v>
      </c>
      <c r="E10" s="70"/>
      <c r="F10" s="68">
        <v>5</v>
      </c>
      <c r="G10" s="69">
        <v>0.13950000000000001</v>
      </c>
      <c r="H10" s="69">
        <v>7.5105000000000004</v>
      </c>
      <c r="I10" s="69">
        <v>0.1108</v>
      </c>
      <c r="K10" s="71">
        <v>47.5</v>
      </c>
      <c r="L10" s="69">
        <v>-0.38329999999999997</v>
      </c>
      <c r="M10" s="69">
        <v>2.8866999999999998</v>
      </c>
      <c r="N10" s="69">
        <v>9.0480000000000005E-2</v>
      </c>
      <c r="O10" s="70"/>
      <c r="P10" s="71">
        <v>47.5</v>
      </c>
      <c r="Q10" s="69">
        <v>-0.35210000000000002</v>
      </c>
      <c r="R10" s="69">
        <v>2.8609</v>
      </c>
      <c r="S10" s="69">
        <v>9.0359999999999996E-2</v>
      </c>
      <c r="T10" s="70"/>
      <c r="U10" s="71">
        <v>67.5</v>
      </c>
      <c r="V10" s="69">
        <v>-0.38329999999999997</v>
      </c>
      <c r="W10" s="69">
        <v>7.7873999999999999</v>
      </c>
      <c r="X10" s="69">
        <v>9.0880000000000002E-2</v>
      </c>
      <c r="Y10" s="70"/>
      <c r="Z10" s="71">
        <v>67.5</v>
      </c>
      <c r="AA10" s="69">
        <v>-0.35210000000000002</v>
      </c>
      <c r="AB10" s="69">
        <v>8.0131999999999994</v>
      </c>
      <c r="AC10" s="69">
        <v>8.2140000000000005E-2</v>
      </c>
      <c r="AE10" s="75">
        <v>5</v>
      </c>
      <c r="AF10" s="76">
        <v>59.6</v>
      </c>
      <c r="AG10" s="76">
        <v>61.8</v>
      </c>
      <c r="AH10" s="76">
        <v>64</v>
      </c>
      <c r="AI10" s="76">
        <v>66.2</v>
      </c>
      <c r="AJ10" s="77">
        <v>68.5</v>
      </c>
      <c r="AL10" s="75">
        <v>5</v>
      </c>
      <c r="AM10" s="76">
        <v>61.7</v>
      </c>
      <c r="AN10" s="76">
        <v>63.8</v>
      </c>
      <c r="AO10" s="76">
        <v>65.900000000000006</v>
      </c>
      <c r="AP10" s="76">
        <v>68</v>
      </c>
      <c r="AQ10" s="77">
        <v>70.099999999999994</v>
      </c>
      <c r="AS10" s="75">
        <v>5</v>
      </c>
      <c r="AT10" s="76">
        <v>38.9</v>
      </c>
      <c r="AU10" s="76">
        <v>40.200000000000003</v>
      </c>
      <c r="AV10" s="76">
        <v>41.5</v>
      </c>
      <c r="AW10" s="76">
        <v>42.7</v>
      </c>
      <c r="AX10" s="77">
        <v>44</v>
      </c>
      <c r="AZ10" s="75">
        <v>5</v>
      </c>
      <c r="BA10" s="76">
        <v>40.1</v>
      </c>
      <c r="BB10" s="76">
        <v>41.4</v>
      </c>
      <c r="BC10" s="76">
        <v>42.6</v>
      </c>
      <c r="BD10" s="76">
        <v>43.8</v>
      </c>
      <c r="BE10" s="77">
        <v>45</v>
      </c>
    </row>
    <row r="11" spans="1:57">
      <c r="A11" s="68">
        <v>6</v>
      </c>
      <c r="B11" s="69">
        <v>-7.5600000000000001E-2</v>
      </c>
      <c r="C11" s="69">
        <v>7.2969999999999997</v>
      </c>
      <c r="D11" s="69">
        <v>0.12204</v>
      </c>
      <c r="E11" s="70"/>
      <c r="F11" s="68">
        <v>6</v>
      </c>
      <c r="G11" s="69">
        <v>0.12570000000000001</v>
      </c>
      <c r="H11" s="69">
        <v>7.9340000000000002</v>
      </c>
      <c r="I11" s="69">
        <v>0.10958</v>
      </c>
      <c r="K11" s="71">
        <v>48</v>
      </c>
      <c r="L11" s="69">
        <v>-0.38329999999999997</v>
      </c>
      <c r="M11" s="69">
        <v>2.9741</v>
      </c>
      <c r="N11" s="69">
        <v>9.0520000000000003E-2</v>
      </c>
      <c r="O11" s="70"/>
      <c r="P11" s="71">
        <v>48</v>
      </c>
      <c r="Q11" s="69">
        <v>-0.35210000000000002</v>
      </c>
      <c r="R11" s="69">
        <v>2.948</v>
      </c>
      <c r="S11" s="69">
        <v>9.0069999999999997E-2</v>
      </c>
      <c r="T11" s="70"/>
      <c r="U11" s="71">
        <v>68</v>
      </c>
      <c r="V11" s="69">
        <v>-0.38329999999999997</v>
      </c>
      <c r="W11" s="69">
        <v>7.8929999999999998</v>
      </c>
      <c r="X11" s="69">
        <v>9.0829999999999994E-2</v>
      </c>
      <c r="Y11" s="70"/>
      <c r="Z11" s="71">
        <v>68</v>
      </c>
      <c r="AA11" s="69">
        <v>-0.35210000000000002</v>
      </c>
      <c r="AB11" s="69">
        <v>8.1272000000000002</v>
      </c>
      <c r="AC11" s="69">
        <v>8.2170000000000007E-2</v>
      </c>
      <c r="AE11" s="75">
        <v>6</v>
      </c>
      <c r="AF11" s="76">
        <v>61.2</v>
      </c>
      <c r="AG11" s="76">
        <v>63.5</v>
      </c>
      <c r="AH11" s="76">
        <v>65.7</v>
      </c>
      <c r="AI11" s="76">
        <v>68</v>
      </c>
      <c r="AJ11" s="77">
        <v>70.3</v>
      </c>
      <c r="AL11" s="75">
        <v>6</v>
      </c>
      <c r="AM11" s="76">
        <v>63.3</v>
      </c>
      <c r="AN11" s="76">
        <v>65.5</v>
      </c>
      <c r="AO11" s="76">
        <v>67.599999999999994</v>
      </c>
      <c r="AP11" s="76">
        <v>69.8</v>
      </c>
      <c r="AQ11" s="77">
        <v>71.900000000000006</v>
      </c>
      <c r="AS11" s="75">
        <v>6</v>
      </c>
      <c r="AT11" s="76">
        <v>39.6</v>
      </c>
      <c r="AU11" s="76">
        <v>40.9</v>
      </c>
      <c r="AV11" s="76">
        <v>42.2</v>
      </c>
      <c r="AW11" s="76">
        <v>43.5</v>
      </c>
      <c r="AX11" s="77">
        <v>44.8</v>
      </c>
      <c r="AZ11" s="75">
        <v>6</v>
      </c>
      <c r="BA11" s="76">
        <v>40.9</v>
      </c>
      <c r="BB11" s="76">
        <v>42.1</v>
      </c>
      <c r="BC11" s="76">
        <v>43.3</v>
      </c>
      <c r="BD11" s="76">
        <v>44.6</v>
      </c>
      <c r="BE11" s="77">
        <v>45.8</v>
      </c>
    </row>
    <row r="12" spans="1:57">
      <c r="A12" s="68">
        <v>7</v>
      </c>
      <c r="B12" s="69">
        <v>-0.10390000000000001</v>
      </c>
      <c r="C12" s="69">
        <v>7.6421999999999999</v>
      </c>
      <c r="D12" s="69">
        <v>0.12178</v>
      </c>
      <c r="E12" s="70"/>
      <c r="F12" s="68">
        <v>7</v>
      </c>
      <c r="G12" s="69">
        <v>0.1134</v>
      </c>
      <c r="H12" s="69">
        <v>8.2970000000000006</v>
      </c>
      <c r="I12" s="69">
        <v>0.10902000000000001</v>
      </c>
      <c r="K12" s="71">
        <v>48.5</v>
      </c>
      <c r="L12" s="69">
        <v>-0.38329999999999997</v>
      </c>
      <c r="M12" s="69">
        <v>3.0636000000000001</v>
      </c>
      <c r="N12" s="69">
        <v>9.0560000000000002E-2</v>
      </c>
      <c r="O12" s="70"/>
      <c r="P12" s="71">
        <v>48.5</v>
      </c>
      <c r="Q12" s="69">
        <v>-0.35210000000000002</v>
      </c>
      <c r="R12" s="69">
        <v>3.0377000000000001</v>
      </c>
      <c r="S12" s="69">
        <v>8.9770000000000003E-2</v>
      </c>
      <c r="T12" s="70"/>
      <c r="U12" s="71">
        <v>68.5</v>
      </c>
      <c r="V12" s="69">
        <v>-0.38329999999999997</v>
      </c>
      <c r="W12" s="69">
        <v>7.9976000000000003</v>
      </c>
      <c r="X12" s="69">
        <v>9.0770000000000003E-2</v>
      </c>
      <c r="Y12" s="70"/>
      <c r="Z12" s="71">
        <v>68.5</v>
      </c>
      <c r="AA12" s="69">
        <v>-0.35210000000000002</v>
      </c>
      <c r="AB12" s="69">
        <v>8.2409999999999997</v>
      </c>
      <c r="AC12" s="69">
        <v>8.2210000000000005E-2</v>
      </c>
      <c r="AE12" s="75">
        <v>7</v>
      </c>
      <c r="AF12" s="76">
        <v>62.7</v>
      </c>
      <c r="AG12" s="76">
        <v>65</v>
      </c>
      <c r="AH12" s="76">
        <v>67.3</v>
      </c>
      <c r="AI12" s="76">
        <v>69.599999999999994</v>
      </c>
      <c r="AJ12" s="77">
        <v>71.900000000000006</v>
      </c>
      <c r="AL12" s="75">
        <v>7</v>
      </c>
      <c r="AM12" s="76">
        <v>64.8</v>
      </c>
      <c r="AN12" s="76">
        <v>67</v>
      </c>
      <c r="AO12" s="76">
        <v>69.2</v>
      </c>
      <c r="AP12" s="76">
        <v>71.3</v>
      </c>
      <c r="AQ12" s="77">
        <v>73.5</v>
      </c>
      <c r="AS12" s="75">
        <v>7</v>
      </c>
      <c r="AT12" s="76">
        <v>40.200000000000003</v>
      </c>
      <c r="AU12" s="76">
        <v>41.5</v>
      </c>
      <c r="AV12" s="76">
        <v>42.8</v>
      </c>
      <c r="AW12" s="76">
        <v>44.1</v>
      </c>
      <c r="AX12" s="77">
        <v>45.5</v>
      </c>
      <c r="AZ12" s="75">
        <v>7</v>
      </c>
      <c r="BA12" s="76">
        <v>41.5</v>
      </c>
      <c r="BB12" s="76">
        <v>42.7</v>
      </c>
      <c r="BC12" s="76">
        <v>44</v>
      </c>
      <c r="BD12" s="76">
        <v>45.2</v>
      </c>
      <c r="BE12" s="77">
        <v>46.4</v>
      </c>
    </row>
    <row r="13" spans="1:57">
      <c r="A13" s="68">
        <v>8</v>
      </c>
      <c r="B13" s="69">
        <v>-0.1288</v>
      </c>
      <c r="C13" s="69">
        <v>7.9486999999999997</v>
      </c>
      <c r="D13" s="69">
        <v>0.12181</v>
      </c>
      <c r="E13" s="70"/>
      <c r="F13" s="68">
        <v>8</v>
      </c>
      <c r="G13" s="69">
        <v>0.1021</v>
      </c>
      <c r="H13" s="69">
        <v>8.6151</v>
      </c>
      <c r="I13" s="69">
        <v>0.10882</v>
      </c>
      <c r="K13" s="71">
        <v>49</v>
      </c>
      <c r="L13" s="69">
        <v>-0.38329999999999997</v>
      </c>
      <c r="M13" s="69">
        <v>3.1560000000000001</v>
      </c>
      <c r="N13" s="69">
        <v>9.06E-2</v>
      </c>
      <c r="O13" s="70"/>
      <c r="P13" s="71">
        <v>49</v>
      </c>
      <c r="Q13" s="69">
        <v>-0.35210000000000002</v>
      </c>
      <c r="R13" s="69">
        <v>3.1307999999999998</v>
      </c>
      <c r="S13" s="69">
        <v>8.9480000000000004E-2</v>
      </c>
      <c r="T13" s="70"/>
      <c r="U13" s="71">
        <v>69</v>
      </c>
      <c r="V13" s="69">
        <v>-0.38329999999999997</v>
      </c>
      <c r="W13" s="69">
        <v>8.1012000000000004</v>
      </c>
      <c r="X13" s="69">
        <v>9.0709999999999999E-2</v>
      </c>
      <c r="Y13" s="70"/>
      <c r="Z13" s="71">
        <v>69</v>
      </c>
      <c r="AA13" s="69">
        <v>-0.35210000000000002</v>
      </c>
      <c r="AB13" s="69">
        <v>8.3546999999999993</v>
      </c>
      <c r="AC13" s="69">
        <v>8.226E-2</v>
      </c>
      <c r="AE13" s="75">
        <v>8</v>
      </c>
      <c r="AF13" s="76">
        <v>64</v>
      </c>
      <c r="AG13" s="76">
        <v>66.400000000000006</v>
      </c>
      <c r="AH13" s="76">
        <v>68.7</v>
      </c>
      <c r="AI13" s="76">
        <v>71.099999999999994</v>
      </c>
      <c r="AJ13" s="77">
        <v>73.5</v>
      </c>
      <c r="AL13" s="75">
        <v>8</v>
      </c>
      <c r="AM13" s="76">
        <v>66.2</v>
      </c>
      <c r="AN13" s="76">
        <v>68.400000000000006</v>
      </c>
      <c r="AO13" s="76">
        <v>70.599999999999994</v>
      </c>
      <c r="AP13" s="76">
        <v>72.8</v>
      </c>
      <c r="AQ13" s="77">
        <v>75</v>
      </c>
      <c r="AS13" s="75">
        <v>8</v>
      </c>
      <c r="AT13" s="76">
        <v>40.700000000000003</v>
      </c>
      <c r="AU13" s="76">
        <v>42</v>
      </c>
      <c r="AV13" s="76">
        <v>43.4</v>
      </c>
      <c r="AW13" s="76">
        <v>44.7</v>
      </c>
      <c r="AX13" s="77">
        <v>46</v>
      </c>
      <c r="AZ13" s="75">
        <v>8</v>
      </c>
      <c r="BA13" s="76">
        <v>42</v>
      </c>
      <c r="BB13" s="76">
        <v>43.3</v>
      </c>
      <c r="BC13" s="76">
        <v>44.5</v>
      </c>
      <c r="BD13" s="76">
        <v>45.8</v>
      </c>
      <c r="BE13" s="77">
        <v>47</v>
      </c>
    </row>
    <row r="14" spans="1:57">
      <c r="A14" s="68">
        <v>9</v>
      </c>
      <c r="B14" s="69">
        <v>-0.1507</v>
      </c>
      <c r="C14" s="69">
        <v>8.2254000000000005</v>
      </c>
      <c r="D14" s="69">
        <v>0.12199</v>
      </c>
      <c r="E14" s="70"/>
      <c r="F14" s="68">
        <v>9</v>
      </c>
      <c r="G14" s="69">
        <v>9.1700000000000004E-2</v>
      </c>
      <c r="H14" s="69">
        <v>8.9014000000000006</v>
      </c>
      <c r="I14" s="69">
        <v>0.10881</v>
      </c>
      <c r="K14" s="71">
        <v>49.5</v>
      </c>
      <c r="L14" s="69">
        <v>-0.38329999999999997</v>
      </c>
      <c r="M14" s="69">
        <v>3.2519999999999998</v>
      </c>
      <c r="N14" s="69">
        <v>9.0639999999999998E-2</v>
      </c>
      <c r="O14" s="70"/>
      <c r="P14" s="71">
        <v>49.5</v>
      </c>
      <c r="Q14" s="69">
        <v>-0.35210000000000002</v>
      </c>
      <c r="R14" s="69">
        <v>3.2275999999999998</v>
      </c>
      <c r="S14" s="69">
        <v>8.9190000000000005E-2</v>
      </c>
      <c r="T14" s="70"/>
      <c r="U14" s="71">
        <v>69.5</v>
      </c>
      <c r="V14" s="69">
        <v>-0.38329999999999997</v>
      </c>
      <c r="W14" s="69">
        <v>8.2039000000000009</v>
      </c>
      <c r="X14" s="69">
        <v>9.0649999999999994E-2</v>
      </c>
      <c r="Y14" s="70"/>
      <c r="Z14" s="71">
        <v>69.5</v>
      </c>
      <c r="AA14" s="69">
        <v>-0.35210000000000002</v>
      </c>
      <c r="AB14" s="69">
        <v>8.468</v>
      </c>
      <c r="AC14" s="69">
        <v>8.2309999999999994E-2</v>
      </c>
      <c r="AE14" s="75">
        <v>9</v>
      </c>
      <c r="AF14" s="76">
        <v>65.3</v>
      </c>
      <c r="AG14" s="76">
        <v>67.7</v>
      </c>
      <c r="AH14" s="76">
        <v>70.099999999999994</v>
      </c>
      <c r="AI14" s="76">
        <v>72.599999999999994</v>
      </c>
      <c r="AJ14" s="77">
        <v>75</v>
      </c>
      <c r="AL14" s="75">
        <v>9</v>
      </c>
      <c r="AM14" s="76">
        <v>67.5</v>
      </c>
      <c r="AN14" s="76">
        <v>69.7</v>
      </c>
      <c r="AO14" s="76">
        <v>72</v>
      </c>
      <c r="AP14" s="76">
        <v>74.2</v>
      </c>
      <c r="AQ14" s="77">
        <v>76.5</v>
      </c>
      <c r="AS14" s="75">
        <v>9</v>
      </c>
      <c r="AT14" s="76">
        <v>41.2</v>
      </c>
      <c r="AU14" s="76">
        <v>42.5</v>
      </c>
      <c r="AV14" s="76">
        <v>43.8</v>
      </c>
      <c r="AW14" s="76">
        <v>45.2</v>
      </c>
      <c r="AX14" s="77">
        <v>46.5</v>
      </c>
      <c r="AZ14" s="75">
        <v>9</v>
      </c>
      <c r="BA14" s="76">
        <v>42.5</v>
      </c>
      <c r="BB14" s="76">
        <v>43.7</v>
      </c>
      <c r="BC14" s="76">
        <v>45</v>
      </c>
      <c r="BD14" s="76">
        <v>46.3</v>
      </c>
      <c r="BE14" s="77">
        <v>47.5</v>
      </c>
    </row>
    <row r="15" spans="1:57">
      <c r="A15" s="68">
        <v>10</v>
      </c>
      <c r="B15" s="69">
        <v>-0.17</v>
      </c>
      <c r="C15" s="69">
        <v>8.48</v>
      </c>
      <c r="D15" s="69">
        <v>0.12223000000000001</v>
      </c>
      <c r="E15" s="70"/>
      <c r="F15" s="68">
        <v>10</v>
      </c>
      <c r="G15" s="69">
        <v>8.2000000000000003E-2</v>
      </c>
      <c r="H15" s="69">
        <v>9.1648999999999994</v>
      </c>
      <c r="I15" s="69">
        <v>0.10891000000000001</v>
      </c>
      <c r="K15" s="71">
        <v>50</v>
      </c>
      <c r="L15" s="69">
        <v>-0.38329999999999997</v>
      </c>
      <c r="M15" s="69">
        <v>3.3517999999999999</v>
      </c>
      <c r="N15" s="69">
        <v>9.0679999999999997E-2</v>
      </c>
      <c r="O15" s="70"/>
      <c r="P15" s="71">
        <v>50</v>
      </c>
      <c r="Q15" s="69">
        <v>-0.35210000000000002</v>
      </c>
      <c r="R15" s="69">
        <v>3.3277999999999999</v>
      </c>
      <c r="S15" s="69">
        <v>8.8900000000000007E-2</v>
      </c>
      <c r="T15" s="70"/>
      <c r="U15" s="71">
        <v>70</v>
      </c>
      <c r="V15" s="69">
        <v>-0.38329999999999997</v>
      </c>
      <c r="W15" s="69">
        <v>8.3057999999999996</v>
      </c>
      <c r="X15" s="69">
        <v>9.0590000000000004E-2</v>
      </c>
      <c r="Y15" s="70"/>
      <c r="Z15" s="71">
        <v>70</v>
      </c>
      <c r="AA15" s="69">
        <v>-0.35210000000000002</v>
      </c>
      <c r="AB15" s="69">
        <v>8.5808</v>
      </c>
      <c r="AC15" s="69">
        <v>8.2369999999999999E-2</v>
      </c>
      <c r="AE15" s="75">
        <v>10</v>
      </c>
      <c r="AF15" s="76">
        <v>66.5</v>
      </c>
      <c r="AG15" s="76">
        <v>69</v>
      </c>
      <c r="AH15" s="76">
        <v>71.5</v>
      </c>
      <c r="AI15" s="76">
        <v>73.900000000000006</v>
      </c>
      <c r="AJ15" s="77">
        <v>76.400000000000006</v>
      </c>
      <c r="AL15" s="75">
        <v>10</v>
      </c>
      <c r="AM15" s="76">
        <v>68.7</v>
      </c>
      <c r="AN15" s="76">
        <v>71</v>
      </c>
      <c r="AO15" s="76">
        <v>73.3</v>
      </c>
      <c r="AP15" s="76">
        <v>75.599999999999994</v>
      </c>
      <c r="AQ15" s="77">
        <v>77.900000000000006</v>
      </c>
      <c r="AS15" s="75">
        <v>10</v>
      </c>
      <c r="AT15" s="76">
        <v>41.5</v>
      </c>
      <c r="AU15" s="76">
        <v>42.9</v>
      </c>
      <c r="AV15" s="76">
        <v>44.2</v>
      </c>
      <c r="AW15" s="76">
        <v>45.6</v>
      </c>
      <c r="AX15" s="77">
        <v>46.9</v>
      </c>
      <c r="AZ15" s="75">
        <v>10</v>
      </c>
      <c r="BA15" s="76">
        <v>42.9</v>
      </c>
      <c r="BB15" s="76">
        <v>44.1</v>
      </c>
      <c r="BC15" s="76">
        <v>45.4</v>
      </c>
      <c r="BD15" s="76">
        <v>46.7</v>
      </c>
      <c r="BE15" s="77">
        <v>47.9</v>
      </c>
    </row>
    <row r="16" spans="1:57">
      <c r="A16" s="68">
        <v>11</v>
      </c>
      <c r="B16" s="69">
        <v>-0.18720000000000001</v>
      </c>
      <c r="C16" s="69">
        <v>8.7192000000000007</v>
      </c>
      <c r="D16" s="69">
        <v>0.12247</v>
      </c>
      <c r="E16" s="70"/>
      <c r="F16" s="68">
        <v>11</v>
      </c>
      <c r="G16" s="69">
        <v>7.2999999999999995E-2</v>
      </c>
      <c r="H16" s="69">
        <v>9.4122000000000003</v>
      </c>
      <c r="I16" s="69">
        <v>0.10906</v>
      </c>
      <c r="K16" s="71">
        <v>50.5</v>
      </c>
      <c r="L16" s="69">
        <v>-0.38329999999999997</v>
      </c>
      <c r="M16" s="69">
        <v>3.4557000000000002</v>
      </c>
      <c r="N16" s="69">
        <v>9.0719999999999995E-2</v>
      </c>
      <c r="O16" s="70"/>
      <c r="P16" s="71">
        <v>50.5</v>
      </c>
      <c r="Q16" s="69">
        <v>-0.35210000000000002</v>
      </c>
      <c r="R16" s="69">
        <v>3.4310999999999998</v>
      </c>
      <c r="S16" s="69">
        <v>8.8609999999999994E-2</v>
      </c>
      <c r="T16" s="70"/>
      <c r="U16" s="71">
        <v>70.5</v>
      </c>
      <c r="V16" s="69">
        <v>-0.38329999999999997</v>
      </c>
      <c r="W16" s="69">
        <v>8.4070999999999998</v>
      </c>
      <c r="X16" s="69">
        <v>9.0529999999999999E-2</v>
      </c>
      <c r="Y16" s="70"/>
      <c r="Z16" s="71">
        <v>70.5</v>
      </c>
      <c r="AA16" s="69">
        <v>-0.35210000000000002</v>
      </c>
      <c r="AB16" s="69">
        <v>8.6927000000000003</v>
      </c>
      <c r="AC16" s="69">
        <v>8.2430000000000003E-2</v>
      </c>
      <c r="AE16" s="75">
        <v>11</v>
      </c>
      <c r="AF16" s="76">
        <v>67.7</v>
      </c>
      <c r="AG16" s="76">
        <v>70.3</v>
      </c>
      <c r="AH16" s="76">
        <v>72.8</v>
      </c>
      <c r="AI16" s="76">
        <v>75.3</v>
      </c>
      <c r="AJ16" s="77">
        <v>77.8</v>
      </c>
      <c r="AL16" s="75">
        <v>11</v>
      </c>
      <c r="AM16" s="76">
        <v>69.900000000000006</v>
      </c>
      <c r="AN16" s="76">
        <v>72.2</v>
      </c>
      <c r="AO16" s="76">
        <v>74.5</v>
      </c>
      <c r="AP16" s="76">
        <v>76.900000000000006</v>
      </c>
      <c r="AQ16" s="77">
        <v>79.2</v>
      </c>
      <c r="AS16" s="75">
        <v>11</v>
      </c>
      <c r="AT16" s="76">
        <v>41.9</v>
      </c>
      <c r="AU16" s="76">
        <v>43.2</v>
      </c>
      <c r="AV16" s="76">
        <v>44.6</v>
      </c>
      <c r="AW16" s="76">
        <v>45.9</v>
      </c>
      <c r="AX16" s="77">
        <v>47.3</v>
      </c>
      <c r="AZ16" s="75">
        <v>11</v>
      </c>
      <c r="BA16" s="76">
        <v>43.2</v>
      </c>
      <c r="BB16" s="76">
        <v>44.5</v>
      </c>
      <c r="BC16" s="76">
        <v>45.8</v>
      </c>
      <c r="BD16" s="76">
        <v>47</v>
      </c>
      <c r="BE16" s="77">
        <v>48.3</v>
      </c>
    </row>
    <row r="17" spans="1:57">
      <c r="A17" s="68">
        <v>12</v>
      </c>
      <c r="B17" s="69">
        <v>-0.2024</v>
      </c>
      <c r="C17" s="69">
        <v>8.9481000000000002</v>
      </c>
      <c r="D17" s="69">
        <v>0.12268</v>
      </c>
      <c r="E17" s="70"/>
      <c r="F17" s="68">
        <v>12</v>
      </c>
      <c r="G17" s="69">
        <v>6.4399999999999999E-2</v>
      </c>
      <c r="H17" s="69">
        <v>9.6478999999999999</v>
      </c>
      <c r="I17" s="69">
        <v>0.10925</v>
      </c>
      <c r="K17" s="71">
        <v>51</v>
      </c>
      <c r="L17" s="69">
        <v>-0.38329999999999997</v>
      </c>
      <c r="M17" s="69">
        <v>3.5636000000000001</v>
      </c>
      <c r="N17" s="69">
        <v>9.0759999999999993E-2</v>
      </c>
      <c r="O17" s="70"/>
      <c r="P17" s="71">
        <v>51</v>
      </c>
      <c r="Q17" s="69">
        <v>-0.35210000000000002</v>
      </c>
      <c r="R17" s="69">
        <v>3.5375999999999999</v>
      </c>
      <c r="S17" s="69">
        <v>8.831E-2</v>
      </c>
      <c r="T17" s="70"/>
      <c r="U17" s="71">
        <v>71</v>
      </c>
      <c r="V17" s="69">
        <v>-0.38329999999999997</v>
      </c>
      <c r="W17" s="69">
        <v>8.5077999999999996</v>
      </c>
      <c r="X17" s="69">
        <v>9.0469999999999995E-2</v>
      </c>
      <c r="Y17" s="70"/>
      <c r="Z17" s="71">
        <v>71</v>
      </c>
      <c r="AA17" s="69">
        <v>-0.35210000000000002</v>
      </c>
      <c r="AB17" s="69">
        <v>8.8035999999999994</v>
      </c>
      <c r="AC17" s="69">
        <v>8.2500000000000004E-2</v>
      </c>
      <c r="AE17" s="75">
        <v>12</v>
      </c>
      <c r="AF17" s="76">
        <v>68.900000000000006</v>
      </c>
      <c r="AG17" s="76">
        <v>71.400000000000006</v>
      </c>
      <c r="AH17" s="76">
        <v>74</v>
      </c>
      <c r="AI17" s="76">
        <v>76.599999999999994</v>
      </c>
      <c r="AJ17" s="77">
        <v>79.2</v>
      </c>
      <c r="AL17" s="75">
        <v>12</v>
      </c>
      <c r="AM17" s="76">
        <v>71</v>
      </c>
      <c r="AN17" s="76">
        <v>73.400000000000006</v>
      </c>
      <c r="AO17" s="76">
        <v>75.7</v>
      </c>
      <c r="AP17" s="76">
        <v>78.099999999999994</v>
      </c>
      <c r="AQ17" s="77">
        <v>80.5</v>
      </c>
      <c r="AS17" s="75">
        <v>12</v>
      </c>
      <c r="AT17" s="76">
        <v>42.2</v>
      </c>
      <c r="AU17" s="76">
        <v>43.5</v>
      </c>
      <c r="AV17" s="76">
        <v>44.9</v>
      </c>
      <c r="AW17" s="76">
        <v>46.3</v>
      </c>
      <c r="AX17" s="77">
        <v>47.6</v>
      </c>
      <c r="AZ17" s="75">
        <v>12</v>
      </c>
      <c r="BA17" s="76">
        <v>43.5</v>
      </c>
      <c r="BB17" s="76">
        <v>44.8</v>
      </c>
      <c r="BC17" s="76">
        <v>46.1</v>
      </c>
      <c r="BD17" s="76">
        <v>47.4</v>
      </c>
      <c r="BE17" s="77">
        <v>48.6</v>
      </c>
    </row>
    <row r="18" spans="1:57">
      <c r="A18" s="68">
        <v>13</v>
      </c>
      <c r="B18" s="69">
        <v>-0.21579999999999999</v>
      </c>
      <c r="C18" s="69">
        <v>9.1699000000000002</v>
      </c>
      <c r="D18" s="69">
        <v>0.12282999999999999</v>
      </c>
      <c r="E18" s="70"/>
      <c r="F18" s="68">
        <v>13</v>
      </c>
      <c r="G18" s="69">
        <v>5.6300000000000003E-2</v>
      </c>
      <c r="H18" s="69">
        <v>9.8749000000000002</v>
      </c>
      <c r="I18" s="69">
        <v>0.10949</v>
      </c>
      <c r="K18" s="71">
        <v>51.5</v>
      </c>
      <c r="L18" s="69">
        <v>-0.38329999999999997</v>
      </c>
      <c r="M18" s="69">
        <v>3.6753999999999998</v>
      </c>
      <c r="N18" s="69">
        <v>9.0800000000000006E-2</v>
      </c>
      <c r="O18" s="70"/>
      <c r="P18" s="71">
        <v>51.5</v>
      </c>
      <c r="Q18" s="69">
        <v>-0.35210000000000002</v>
      </c>
      <c r="R18" s="69">
        <v>3.6476999999999999</v>
      </c>
      <c r="S18" s="69">
        <v>8.8010000000000005E-2</v>
      </c>
      <c r="T18" s="70"/>
      <c r="U18" s="71">
        <v>71.5</v>
      </c>
      <c r="V18" s="69">
        <v>-0.38329999999999997</v>
      </c>
      <c r="W18" s="69">
        <v>8.6077999999999992</v>
      </c>
      <c r="X18" s="69">
        <v>9.0410000000000004E-2</v>
      </c>
      <c r="Y18" s="70"/>
      <c r="Z18" s="71">
        <v>71.5</v>
      </c>
      <c r="AA18" s="69">
        <v>-0.35210000000000002</v>
      </c>
      <c r="AB18" s="69">
        <v>8.9135000000000009</v>
      </c>
      <c r="AC18" s="69">
        <v>8.2570000000000005E-2</v>
      </c>
      <c r="AE18" s="75">
        <v>13</v>
      </c>
      <c r="AF18" s="76">
        <v>70</v>
      </c>
      <c r="AG18" s="76">
        <v>72.599999999999994</v>
      </c>
      <c r="AH18" s="76">
        <v>75.2</v>
      </c>
      <c r="AI18" s="76">
        <v>77.8</v>
      </c>
      <c r="AJ18" s="77">
        <v>80.5</v>
      </c>
      <c r="AL18" s="75">
        <v>13</v>
      </c>
      <c r="AM18" s="76">
        <v>72.099999999999994</v>
      </c>
      <c r="AN18" s="76">
        <v>74.5</v>
      </c>
      <c r="AO18" s="76">
        <v>76.900000000000006</v>
      </c>
      <c r="AP18" s="76">
        <v>79.3</v>
      </c>
      <c r="AQ18" s="77">
        <v>81.8</v>
      </c>
      <c r="AS18" s="75">
        <v>13</v>
      </c>
      <c r="AT18" s="76">
        <v>42.4</v>
      </c>
      <c r="AU18" s="76">
        <v>43.8</v>
      </c>
      <c r="AV18" s="76">
        <v>45.2</v>
      </c>
      <c r="AW18" s="76">
        <v>46.5</v>
      </c>
      <c r="AX18" s="77">
        <v>47.9</v>
      </c>
      <c r="AZ18" s="75">
        <v>13</v>
      </c>
      <c r="BA18" s="76">
        <v>43.8</v>
      </c>
      <c r="BB18" s="76">
        <v>45</v>
      </c>
      <c r="BC18" s="76">
        <v>46.3</v>
      </c>
      <c r="BD18" s="76">
        <v>47.6</v>
      </c>
      <c r="BE18" s="77">
        <v>48.9</v>
      </c>
    </row>
    <row r="19" spans="1:57">
      <c r="A19" s="68">
        <v>14</v>
      </c>
      <c r="B19" s="69">
        <v>-0.2278</v>
      </c>
      <c r="C19" s="69">
        <v>9.3870000000000005</v>
      </c>
      <c r="D19" s="69">
        <v>0.12293999999999999</v>
      </c>
      <c r="E19" s="70"/>
      <c r="F19" s="68">
        <v>14</v>
      </c>
      <c r="G19" s="69">
        <v>4.87E-2</v>
      </c>
      <c r="H19" s="69">
        <v>10.0953</v>
      </c>
      <c r="I19" s="69">
        <v>0.10976</v>
      </c>
      <c r="K19" s="71">
        <v>52</v>
      </c>
      <c r="L19" s="69">
        <v>-0.38329999999999997</v>
      </c>
      <c r="M19" s="69">
        <v>3.7911000000000001</v>
      </c>
      <c r="N19" s="69">
        <v>9.085E-2</v>
      </c>
      <c r="O19" s="70"/>
      <c r="P19" s="71">
        <v>52</v>
      </c>
      <c r="Q19" s="69">
        <v>-0.35210000000000002</v>
      </c>
      <c r="R19" s="69">
        <v>3.762</v>
      </c>
      <c r="S19" s="69">
        <v>8.7709999999999996E-2</v>
      </c>
      <c r="T19" s="70"/>
      <c r="U19" s="71">
        <v>72</v>
      </c>
      <c r="V19" s="69">
        <v>-0.38329999999999997</v>
      </c>
      <c r="W19" s="69">
        <v>8.7070000000000007</v>
      </c>
      <c r="X19" s="69">
        <v>9.035E-2</v>
      </c>
      <c r="Y19" s="70"/>
      <c r="Z19" s="71">
        <v>72</v>
      </c>
      <c r="AA19" s="69">
        <v>-0.35210000000000002</v>
      </c>
      <c r="AB19" s="69">
        <v>9.0221</v>
      </c>
      <c r="AC19" s="69">
        <v>8.2640000000000005E-2</v>
      </c>
      <c r="AE19" s="75">
        <v>14</v>
      </c>
      <c r="AF19" s="76">
        <v>71</v>
      </c>
      <c r="AG19" s="76">
        <v>73.7</v>
      </c>
      <c r="AH19" s="76">
        <v>76.400000000000006</v>
      </c>
      <c r="AI19" s="76">
        <v>79.099999999999994</v>
      </c>
      <c r="AJ19" s="77">
        <v>81.7</v>
      </c>
      <c r="AL19" s="75">
        <v>14</v>
      </c>
      <c r="AM19" s="76">
        <v>73.099999999999994</v>
      </c>
      <c r="AN19" s="76">
        <v>75.599999999999994</v>
      </c>
      <c r="AO19" s="76">
        <v>78</v>
      </c>
      <c r="AP19" s="76">
        <v>80.5</v>
      </c>
      <c r="AQ19" s="77">
        <v>83</v>
      </c>
      <c r="AS19" s="75">
        <v>14</v>
      </c>
      <c r="AT19" s="76">
        <v>42.7</v>
      </c>
      <c r="AU19" s="76">
        <v>44.1</v>
      </c>
      <c r="AV19" s="76">
        <v>45.4</v>
      </c>
      <c r="AW19" s="76">
        <v>46.8</v>
      </c>
      <c r="AX19" s="77">
        <v>48.2</v>
      </c>
      <c r="AZ19" s="75">
        <v>14</v>
      </c>
      <c r="BA19" s="76">
        <v>44</v>
      </c>
      <c r="BB19" s="76">
        <v>45.3</v>
      </c>
      <c r="BC19" s="76">
        <v>46.6</v>
      </c>
      <c r="BD19" s="76">
        <v>47.9</v>
      </c>
      <c r="BE19" s="77">
        <v>49.2</v>
      </c>
    </row>
    <row r="20" spans="1:57">
      <c r="A20" s="68">
        <v>15</v>
      </c>
      <c r="B20" s="69">
        <v>-0.2384</v>
      </c>
      <c r="C20" s="69">
        <v>9.6007999999999996</v>
      </c>
      <c r="D20" s="69">
        <v>0.12299</v>
      </c>
      <c r="E20" s="70"/>
      <c r="F20" s="68">
        <v>15</v>
      </c>
      <c r="G20" s="69">
        <v>4.1300000000000003E-2</v>
      </c>
      <c r="H20" s="69">
        <v>10.3108</v>
      </c>
      <c r="I20" s="69">
        <v>0.11007</v>
      </c>
      <c r="K20" s="71">
        <v>52.5</v>
      </c>
      <c r="L20" s="69">
        <v>-0.38329999999999997</v>
      </c>
      <c r="M20" s="69">
        <v>3.9104999999999999</v>
      </c>
      <c r="N20" s="69">
        <v>9.0889999999999999E-2</v>
      </c>
      <c r="O20" s="70"/>
      <c r="P20" s="71">
        <v>52.5</v>
      </c>
      <c r="Q20" s="69">
        <v>-0.35210000000000002</v>
      </c>
      <c r="R20" s="69">
        <v>3.8814000000000002</v>
      </c>
      <c r="S20" s="69">
        <v>8.7410000000000002E-2</v>
      </c>
      <c r="T20" s="70"/>
      <c r="U20" s="71">
        <v>72.5</v>
      </c>
      <c r="V20" s="69">
        <v>-0.38329999999999997</v>
      </c>
      <c r="W20" s="69">
        <v>8.8053000000000008</v>
      </c>
      <c r="X20" s="69">
        <v>9.0279999999999999E-2</v>
      </c>
      <c r="Y20" s="70"/>
      <c r="Z20" s="71">
        <v>72.5</v>
      </c>
      <c r="AA20" s="69">
        <v>-0.35210000000000002</v>
      </c>
      <c r="AB20" s="69">
        <v>9.1292000000000009</v>
      </c>
      <c r="AC20" s="69">
        <v>8.2720000000000002E-2</v>
      </c>
      <c r="AE20" s="75">
        <v>15</v>
      </c>
      <c r="AF20" s="76">
        <v>72</v>
      </c>
      <c r="AG20" s="76">
        <v>74.8</v>
      </c>
      <c r="AH20" s="76">
        <v>77.5</v>
      </c>
      <c r="AI20" s="76">
        <v>80.2</v>
      </c>
      <c r="AJ20" s="77">
        <v>83</v>
      </c>
      <c r="AL20" s="75">
        <v>15</v>
      </c>
      <c r="AM20" s="76">
        <v>74.099999999999994</v>
      </c>
      <c r="AN20" s="76">
        <v>76.599999999999994</v>
      </c>
      <c r="AO20" s="76">
        <v>79.099999999999994</v>
      </c>
      <c r="AP20" s="76">
        <v>81.7</v>
      </c>
      <c r="AQ20" s="77">
        <v>84.2</v>
      </c>
      <c r="AS20" s="75">
        <v>15</v>
      </c>
      <c r="AT20" s="76">
        <v>42.9</v>
      </c>
      <c r="AU20" s="76">
        <v>44.3</v>
      </c>
      <c r="AV20" s="76">
        <v>45.7</v>
      </c>
      <c r="AW20" s="76">
        <v>47</v>
      </c>
      <c r="AX20" s="77">
        <v>48.4</v>
      </c>
      <c r="AZ20" s="75">
        <v>15</v>
      </c>
      <c r="BA20" s="76">
        <v>44.2</v>
      </c>
      <c r="BB20" s="76">
        <v>45.5</v>
      </c>
      <c r="BC20" s="76">
        <v>46.8</v>
      </c>
      <c r="BD20" s="76">
        <v>48.1</v>
      </c>
      <c r="BE20" s="77">
        <v>49.4</v>
      </c>
    </row>
    <row r="21" spans="1:57">
      <c r="A21" s="68">
        <v>16</v>
      </c>
      <c r="B21" s="69">
        <v>-0.24779999999999999</v>
      </c>
      <c r="C21" s="69">
        <v>9.8124000000000002</v>
      </c>
      <c r="D21" s="69">
        <v>0.12303</v>
      </c>
      <c r="E21" s="70"/>
      <c r="F21" s="68">
        <v>16</v>
      </c>
      <c r="G21" s="69">
        <v>3.4299999999999997E-2</v>
      </c>
      <c r="H21" s="69">
        <v>10.5228</v>
      </c>
      <c r="I21" s="69">
        <v>0.11040999999999999</v>
      </c>
      <c r="K21" s="71">
        <v>53</v>
      </c>
      <c r="L21" s="69">
        <v>-0.38329999999999997</v>
      </c>
      <c r="M21" s="69">
        <v>4.0331999999999999</v>
      </c>
      <c r="N21" s="69">
        <v>9.0929999999999997E-2</v>
      </c>
      <c r="O21" s="70"/>
      <c r="P21" s="71">
        <v>53</v>
      </c>
      <c r="Q21" s="69">
        <v>-0.35210000000000002</v>
      </c>
      <c r="R21" s="69">
        <v>4.0060000000000002</v>
      </c>
      <c r="S21" s="69">
        <v>8.7110000000000007E-2</v>
      </c>
      <c r="T21" s="70"/>
      <c r="U21" s="71">
        <v>73</v>
      </c>
      <c r="V21" s="69">
        <v>-0.38329999999999997</v>
      </c>
      <c r="W21" s="69">
        <v>8.9024999999999999</v>
      </c>
      <c r="X21" s="69">
        <v>9.0219999999999995E-2</v>
      </c>
      <c r="Y21" s="70"/>
      <c r="Z21" s="71">
        <v>73</v>
      </c>
      <c r="AA21" s="69">
        <v>-0.35210000000000002</v>
      </c>
      <c r="AB21" s="69">
        <v>9.2347000000000001</v>
      </c>
      <c r="AC21" s="69">
        <v>8.2780000000000006E-2</v>
      </c>
      <c r="AE21" s="75">
        <v>16</v>
      </c>
      <c r="AF21" s="76">
        <v>73</v>
      </c>
      <c r="AG21" s="76">
        <v>75.8</v>
      </c>
      <c r="AH21" s="76">
        <v>78.599999999999994</v>
      </c>
      <c r="AI21" s="76">
        <v>81.400000000000006</v>
      </c>
      <c r="AJ21" s="77">
        <v>84.2</v>
      </c>
      <c r="AL21" s="75">
        <v>16</v>
      </c>
      <c r="AM21" s="76">
        <v>75</v>
      </c>
      <c r="AN21" s="76">
        <v>77.599999999999994</v>
      </c>
      <c r="AO21" s="76">
        <v>80.2</v>
      </c>
      <c r="AP21" s="76">
        <v>82.8</v>
      </c>
      <c r="AQ21" s="77">
        <v>85.4</v>
      </c>
      <c r="AS21" s="75">
        <v>16</v>
      </c>
      <c r="AT21" s="76">
        <v>43.1</v>
      </c>
      <c r="AU21" s="76">
        <v>44.5</v>
      </c>
      <c r="AV21" s="76">
        <v>45.9</v>
      </c>
      <c r="AW21" s="76">
        <v>47.2</v>
      </c>
      <c r="AX21" s="77">
        <v>48.6</v>
      </c>
      <c r="AZ21" s="75">
        <v>16</v>
      </c>
      <c r="BA21" s="76">
        <v>44.4</v>
      </c>
      <c r="BB21" s="76">
        <v>45.7</v>
      </c>
      <c r="BC21" s="76">
        <v>47</v>
      </c>
      <c r="BD21" s="76">
        <v>48.3</v>
      </c>
      <c r="BE21" s="77">
        <v>49.6</v>
      </c>
    </row>
    <row r="22" spans="1:57">
      <c r="A22" s="68">
        <v>17</v>
      </c>
      <c r="B22" s="69">
        <v>-0.25619999999999998</v>
      </c>
      <c r="C22" s="69">
        <v>10.022600000000001</v>
      </c>
      <c r="D22" s="69">
        <v>0.12306</v>
      </c>
      <c r="E22" s="70"/>
      <c r="F22" s="68">
        <v>17</v>
      </c>
      <c r="G22" s="69">
        <v>2.75E-2</v>
      </c>
      <c r="H22" s="69">
        <v>10.7319</v>
      </c>
      <c r="I22" s="69">
        <v>0.11079</v>
      </c>
      <c r="K22" s="71">
        <v>53.5</v>
      </c>
      <c r="L22" s="69">
        <v>-0.38329999999999997</v>
      </c>
      <c r="M22" s="69">
        <v>4.1590999999999996</v>
      </c>
      <c r="N22" s="69">
        <v>9.0980000000000005E-2</v>
      </c>
      <c r="O22" s="70"/>
      <c r="P22" s="71">
        <v>53.5</v>
      </c>
      <c r="Q22" s="69">
        <v>-0.35210000000000002</v>
      </c>
      <c r="R22" s="69">
        <v>4.1353999999999997</v>
      </c>
      <c r="S22" s="69">
        <v>8.6809999999999998E-2</v>
      </c>
      <c r="T22" s="70"/>
      <c r="U22" s="71">
        <v>73.5</v>
      </c>
      <c r="V22" s="69">
        <v>-0.38329999999999997</v>
      </c>
      <c r="W22" s="69">
        <v>8.9983000000000004</v>
      </c>
      <c r="X22" s="69">
        <v>9.0160000000000004E-2</v>
      </c>
      <c r="Y22" s="70"/>
      <c r="Z22" s="71">
        <v>73.5</v>
      </c>
      <c r="AA22" s="69">
        <v>-0.35210000000000002</v>
      </c>
      <c r="AB22" s="69">
        <v>9.3390000000000004</v>
      </c>
      <c r="AC22" s="69">
        <v>8.2849999999999993E-2</v>
      </c>
      <c r="AE22" s="75">
        <v>17</v>
      </c>
      <c r="AF22" s="76">
        <v>74</v>
      </c>
      <c r="AG22" s="76">
        <v>76.8</v>
      </c>
      <c r="AH22" s="76">
        <v>79.7</v>
      </c>
      <c r="AI22" s="76">
        <v>82.5</v>
      </c>
      <c r="AJ22" s="77">
        <v>85.4</v>
      </c>
      <c r="AL22" s="75">
        <v>17</v>
      </c>
      <c r="AM22" s="76">
        <v>76</v>
      </c>
      <c r="AN22" s="76">
        <v>78.599999999999994</v>
      </c>
      <c r="AO22" s="76">
        <v>81.2</v>
      </c>
      <c r="AP22" s="76">
        <v>83.9</v>
      </c>
      <c r="AQ22" s="77">
        <v>86.5</v>
      </c>
      <c r="AS22" s="75">
        <v>17</v>
      </c>
      <c r="AT22" s="76">
        <v>43.3</v>
      </c>
      <c r="AU22" s="76">
        <v>44.7</v>
      </c>
      <c r="AV22" s="76">
        <v>46.1</v>
      </c>
      <c r="AW22" s="76">
        <v>47.4</v>
      </c>
      <c r="AX22" s="77">
        <v>48.8</v>
      </c>
      <c r="AZ22" s="75">
        <v>17</v>
      </c>
      <c r="BA22" s="76">
        <v>44.6</v>
      </c>
      <c r="BB22" s="76">
        <v>45.9</v>
      </c>
      <c r="BC22" s="76">
        <v>47.2</v>
      </c>
      <c r="BD22" s="76">
        <v>48.5</v>
      </c>
      <c r="BE22" s="77">
        <v>49.8</v>
      </c>
    </row>
    <row r="23" spans="1:57">
      <c r="A23" s="68">
        <v>18</v>
      </c>
      <c r="B23" s="69">
        <v>-0.26369999999999999</v>
      </c>
      <c r="C23" s="69">
        <v>10.2315</v>
      </c>
      <c r="D23" s="69">
        <v>0.12309</v>
      </c>
      <c r="E23" s="70"/>
      <c r="F23" s="68">
        <v>18</v>
      </c>
      <c r="G23" s="69">
        <v>2.1100000000000001E-2</v>
      </c>
      <c r="H23" s="69">
        <v>10.938499999999999</v>
      </c>
      <c r="I23" s="69">
        <v>0.11119</v>
      </c>
      <c r="K23" s="71">
        <v>54</v>
      </c>
      <c r="L23" s="69">
        <v>-0.38329999999999997</v>
      </c>
      <c r="M23" s="69">
        <v>4.2874999999999996</v>
      </c>
      <c r="N23" s="69">
        <v>9.1020000000000004E-2</v>
      </c>
      <c r="O23" s="70"/>
      <c r="P23" s="71">
        <v>54</v>
      </c>
      <c r="Q23" s="69">
        <v>-0.35210000000000002</v>
      </c>
      <c r="R23" s="69">
        <v>4.2693000000000003</v>
      </c>
      <c r="S23" s="69">
        <v>8.6510000000000004E-2</v>
      </c>
      <c r="T23" s="70"/>
      <c r="U23" s="71">
        <v>74</v>
      </c>
      <c r="V23" s="69">
        <v>-0.38329999999999997</v>
      </c>
      <c r="W23" s="69">
        <v>9.0928000000000004</v>
      </c>
      <c r="X23" s="69">
        <v>9.0090000000000003E-2</v>
      </c>
      <c r="Y23" s="70"/>
      <c r="Z23" s="71">
        <v>74</v>
      </c>
      <c r="AA23" s="69">
        <v>-0.35210000000000002</v>
      </c>
      <c r="AB23" s="69">
        <v>9.4420000000000002</v>
      </c>
      <c r="AC23" s="69">
        <v>8.2919999999999994E-2</v>
      </c>
      <c r="AE23" s="75">
        <v>18</v>
      </c>
      <c r="AF23" s="76">
        <v>74.900000000000006</v>
      </c>
      <c r="AG23" s="76">
        <v>77.8</v>
      </c>
      <c r="AH23" s="76">
        <v>80.7</v>
      </c>
      <c r="AI23" s="76">
        <v>83.6</v>
      </c>
      <c r="AJ23" s="77">
        <v>86.5</v>
      </c>
      <c r="AL23" s="75">
        <v>18</v>
      </c>
      <c r="AM23" s="76">
        <v>76.900000000000006</v>
      </c>
      <c r="AN23" s="76">
        <v>79.599999999999994</v>
      </c>
      <c r="AO23" s="76">
        <v>82.3</v>
      </c>
      <c r="AP23" s="76">
        <v>85</v>
      </c>
      <c r="AQ23" s="77">
        <v>87.7</v>
      </c>
      <c r="AS23" s="75">
        <v>18</v>
      </c>
      <c r="AT23" s="76">
        <v>43.5</v>
      </c>
      <c r="AU23" s="76">
        <v>44.9</v>
      </c>
      <c r="AV23" s="76">
        <v>46.2</v>
      </c>
      <c r="AW23" s="76">
        <v>47.6</v>
      </c>
      <c r="AX23" s="77">
        <v>49</v>
      </c>
      <c r="AZ23" s="75">
        <v>18</v>
      </c>
      <c r="BA23" s="76">
        <v>44.7</v>
      </c>
      <c r="BB23" s="76">
        <v>46</v>
      </c>
      <c r="BC23" s="76">
        <v>47.4</v>
      </c>
      <c r="BD23" s="76">
        <v>48.7</v>
      </c>
      <c r="BE23" s="77">
        <v>50</v>
      </c>
    </row>
    <row r="24" spans="1:57">
      <c r="A24" s="68">
        <v>19</v>
      </c>
      <c r="B24" s="69">
        <v>-0.27029999999999998</v>
      </c>
      <c r="C24" s="69">
        <v>10.439299999999999</v>
      </c>
      <c r="D24" s="69">
        <v>0.12315</v>
      </c>
      <c r="E24" s="70"/>
      <c r="F24" s="68">
        <v>19</v>
      </c>
      <c r="G24" s="69">
        <v>1.4800000000000001E-2</v>
      </c>
      <c r="H24" s="69">
        <v>11.143000000000001</v>
      </c>
      <c r="I24" s="69">
        <v>0.11164</v>
      </c>
      <c r="K24" s="71">
        <v>54.5</v>
      </c>
      <c r="L24" s="69">
        <v>-0.38329999999999997</v>
      </c>
      <c r="M24" s="69">
        <v>4.4179000000000004</v>
      </c>
      <c r="N24" s="69">
        <v>9.1060000000000002E-2</v>
      </c>
      <c r="O24" s="70"/>
      <c r="P24" s="71">
        <v>54.5</v>
      </c>
      <c r="Q24" s="69">
        <v>-0.35210000000000002</v>
      </c>
      <c r="R24" s="69">
        <v>4.4066000000000001</v>
      </c>
      <c r="S24" s="69">
        <v>8.6209999999999995E-2</v>
      </c>
      <c r="T24" s="70"/>
      <c r="U24" s="71">
        <v>74.5</v>
      </c>
      <c r="V24" s="69">
        <v>-0.38329999999999997</v>
      </c>
      <c r="W24" s="69">
        <v>9.1861999999999995</v>
      </c>
      <c r="X24" s="69">
        <v>9.0029999999999999E-2</v>
      </c>
      <c r="Y24" s="70"/>
      <c r="Z24" s="71">
        <v>74.5</v>
      </c>
      <c r="AA24" s="69">
        <v>-0.35210000000000002</v>
      </c>
      <c r="AB24" s="69">
        <v>9.5437999999999992</v>
      </c>
      <c r="AC24" s="69">
        <v>8.2979999999999998E-2</v>
      </c>
      <c r="AE24" s="75">
        <v>19</v>
      </c>
      <c r="AF24" s="76">
        <v>75.8</v>
      </c>
      <c r="AG24" s="76">
        <v>78.8</v>
      </c>
      <c r="AH24" s="76">
        <v>81.7</v>
      </c>
      <c r="AI24" s="76">
        <v>84.7</v>
      </c>
      <c r="AJ24" s="77">
        <v>87.6</v>
      </c>
      <c r="AL24" s="75">
        <v>19</v>
      </c>
      <c r="AM24" s="76">
        <v>77.7</v>
      </c>
      <c r="AN24" s="76">
        <v>80.5</v>
      </c>
      <c r="AO24" s="76">
        <v>83.2</v>
      </c>
      <c r="AP24" s="76">
        <v>86</v>
      </c>
      <c r="AQ24" s="77">
        <v>88.8</v>
      </c>
      <c r="AS24" s="75">
        <v>19</v>
      </c>
      <c r="AT24" s="76">
        <v>43.6</v>
      </c>
      <c r="AU24" s="76">
        <v>45</v>
      </c>
      <c r="AV24" s="76">
        <v>46.4</v>
      </c>
      <c r="AW24" s="76">
        <v>47.8</v>
      </c>
      <c r="AX24" s="77">
        <v>49.2</v>
      </c>
      <c r="AZ24" s="75">
        <v>19</v>
      </c>
      <c r="BA24" s="76">
        <v>44.9</v>
      </c>
      <c r="BB24" s="76">
        <v>46.2</v>
      </c>
      <c r="BC24" s="76">
        <v>47.5</v>
      </c>
      <c r="BD24" s="76">
        <v>48.9</v>
      </c>
      <c r="BE24" s="77">
        <v>50.2</v>
      </c>
    </row>
    <row r="25" spans="1:57">
      <c r="A25" s="68">
        <v>20</v>
      </c>
      <c r="B25" s="69">
        <v>-0.2762</v>
      </c>
      <c r="C25" s="69">
        <v>10.6464</v>
      </c>
      <c r="D25" s="69">
        <v>0.12323000000000001</v>
      </c>
      <c r="E25" s="70"/>
      <c r="F25" s="68">
        <v>20</v>
      </c>
      <c r="G25" s="69">
        <v>8.6999999999999994E-3</v>
      </c>
      <c r="H25" s="69">
        <v>11.3462</v>
      </c>
      <c r="I25" s="69">
        <v>0.11211</v>
      </c>
      <c r="K25" s="71">
        <v>55</v>
      </c>
      <c r="L25" s="69">
        <v>-0.38329999999999997</v>
      </c>
      <c r="M25" s="69">
        <v>4.5498000000000003</v>
      </c>
      <c r="N25" s="69">
        <v>9.11E-2</v>
      </c>
      <c r="O25" s="70"/>
      <c r="P25" s="71">
        <v>55</v>
      </c>
      <c r="Q25" s="69">
        <v>-0.35210000000000002</v>
      </c>
      <c r="R25" s="69">
        <v>4.5467000000000004</v>
      </c>
      <c r="S25" s="69">
        <v>8.5919999999999996E-2</v>
      </c>
      <c r="T25" s="70"/>
      <c r="U25" s="71">
        <v>75</v>
      </c>
      <c r="V25" s="69">
        <v>-0.38329999999999997</v>
      </c>
      <c r="W25" s="69">
        <v>9.2786000000000008</v>
      </c>
      <c r="X25" s="69">
        <v>8.9959999999999998E-2</v>
      </c>
      <c r="Y25" s="70"/>
      <c r="Z25" s="71">
        <v>75</v>
      </c>
      <c r="AA25" s="69">
        <v>-0.35210000000000002</v>
      </c>
      <c r="AB25" s="69">
        <v>9.6440000000000001</v>
      </c>
      <c r="AC25" s="69">
        <v>8.3030000000000007E-2</v>
      </c>
      <c r="AE25" s="75">
        <v>20</v>
      </c>
      <c r="AF25" s="76">
        <v>76.7</v>
      </c>
      <c r="AG25" s="76">
        <v>79.7</v>
      </c>
      <c r="AH25" s="76">
        <v>82.7</v>
      </c>
      <c r="AI25" s="76">
        <v>85.7</v>
      </c>
      <c r="AJ25" s="77">
        <v>88.7</v>
      </c>
      <c r="AL25" s="75">
        <v>20</v>
      </c>
      <c r="AM25" s="76">
        <v>78.599999999999994</v>
      </c>
      <c r="AN25" s="76">
        <v>81.400000000000006</v>
      </c>
      <c r="AO25" s="76">
        <v>84.2</v>
      </c>
      <c r="AP25" s="76">
        <v>87</v>
      </c>
      <c r="AQ25" s="77">
        <v>89.8</v>
      </c>
      <c r="AS25" s="75">
        <v>20</v>
      </c>
      <c r="AT25" s="76">
        <v>43.8</v>
      </c>
      <c r="AU25" s="76">
        <v>45.2</v>
      </c>
      <c r="AV25" s="76">
        <v>46.6</v>
      </c>
      <c r="AW25" s="76">
        <v>48</v>
      </c>
      <c r="AX25" s="77">
        <v>49.4</v>
      </c>
      <c r="AZ25" s="75">
        <v>20</v>
      </c>
      <c r="BA25" s="76">
        <v>45</v>
      </c>
      <c r="BB25" s="76">
        <v>46.4</v>
      </c>
      <c r="BC25" s="76">
        <v>47.7</v>
      </c>
      <c r="BD25" s="76">
        <v>49</v>
      </c>
      <c r="BE25" s="77">
        <v>50.4</v>
      </c>
    </row>
    <row r="26" spans="1:57">
      <c r="A26" s="68">
        <v>21</v>
      </c>
      <c r="B26" s="69">
        <v>-0.28149999999999997</v>
      </c>
      <c r="C26" s="69">
        <v>10.853400000000001</v>
      </c>
      <c r="D26" s="69">
        <v>0.12335</v>
      </c>
      <c r="E26" s="70"/>
      <c r="F26" s="68">
        <v>21</v>
      </c>
      <c r="G26" s="69">
        <v>2.8999999999999998E-3</v>
      </c>
      <c r="H26" s="69">
        <v>11.5486</v>
      </c>
      <c r="I26" s="69">
        <v>0.11261</v>
      </c>
      <c r="K26" s="71">
        <v>55.5</v>
      </c>
      <c r="L26" s="69">
        <v>-0.38329999999999997</v>
      </c>
      <c r="M26" s="69">
        <v>4.6826999999999996</v>
      </c>
      <c r="N26" s="69">
        <v>9.1139999999999999E-2</v>
      </c>
      <c r="O26" s="70"/>
      <c r="P26" s="71">
        <v>55.5</v>
      </c>
      <c r="Q26" s="69">
        <v>-0.35210000000000002</v>
      </c>
      <c r="R26" s="69">
        <v>4.6891999999999996</v>
      </c>
      <c r="S26" s="69">
        <v>8.5629999999999998E-2</v>
      </c>
      <c r="T26" s="70"/>
      <c r="U26" s="71">
        <v>75.5</v>
      </c>
      <c r="V26" s="69">
        <v>-0.38329999999999997</v>
      </c>
      <c r="W26" s="69">
        <v>9.3703000000000003</v>
      </c>
      <c r="X26" s="69">
        <v>8.9889999999999998E-2</v>
      </c>
      <c r="Y26" s="70"/>
      <c r="Z26" s="71">
        <v>75.5</v>
      </c>
      <c r="AA26" s="69">
        <v>-0.35210000000000002</v>
      </c>
      <c r="AB26" s="69">
        <v>9.7424999999999997</v>
      </c>
      <c r="AC26" s="69">
        <v>8.3080000000000001E-2</v>
      </c>
      <c r="AE26" s="75">
        <v>21</v>
      </c>
      <c r="AF26" s="76">
        <v>77.5</v>
      </c>
      <c r="AG26" s="76">
        <v>80.599999999999994</v>
      </c>
      <c r="AH26" s="76">
        <v>83.7</v>
      </c>
      <c r="AI26" s="76">
        <v>86.7</v>
      </c>
      <c r="AJ26" s="77">
        <v>89.8</v>
      </c>
      <c r="AL26" s="75">
        <v>21</v>
      </c>
      <c r="AM26" s="76">
        <v>79.400000000000006</v>
      </c>
      <c r="AN26" s="76">
        <v>82.3</v>
      </c>
      <c r="AO26" s="76">
        <v>85.1</v>
      </c>
      <c r="AP26" s="76">
        <v>88</v>
      </c>
      <c r="AQ26" s="77">
        <v>90.9</v>
      </c>
      <c r="AS26" s="75">
        <v>21</v>
      </c>
      <c r="AT26" s="76">
        <v>44</v>
      </c>
      <c r="AU26" s="76">
        <v>45.3</v>
      </c>
      <c r="AV26" s="76">
        <v>46.7</v>
      </c>
      <c r="AW26" s="76">
        <v>48.1</v>
      </c>
      <c r="AX26" s="77">
        <v>49.5</v>
      </c>
      <c r="AZ26" s="75">
        <v>21</v>
      </c>
      <c r="BA26" s="76">
        <v>45.2</v>
      </c>
      <c r="BB26" s="76">
        <v>46.5</v>
      </c>
      <c r="BC26" s="76">
        <v>47.8</v>
      </c>
      <c r="BD26" s="76">
        <v>49.2</v>
      </c>
      <c r="BE26" s="77">
        <v>50.5</v>
      </c>
    </row>
    <row r="27" spans="1:57">
      <c r="A27" s="68">
        <v>22</v>
      </c>
      <c r="B27" s="69">
        <v>-0.28620000000000001</v>
      </c>
      <c r="C27" s="69">
        <v>11.0608</v>
      </c>
      <c r="D27" s="69">
        <v>0.1235</v>
      </c>
      <c r="E27" s="70"/>
      <c r="F27" s="68">
        <v>22</v>
      </c>
      <c r="G27" s="69">
        <v>-2.8E-3</v>
      </c>
      <c r="H27" s="69">
        <v>11.750400000000001</v>
      </c>
      <c r="I27" s="69">
        <v>0.11314</v>
      </c>
      <c r="K27" s="71">
        <v>56</v>
      </c>
      <c r="L27" s="69">
        <v>-0.38329999999999997</v>
      </c>
      <c r="M27" s="69">
        <v>4.8162000000000003</v>
      </c>
      <c r="N27" s="69">
        <v>9.1179999999999997E-2</v>
      </c>
      <c r="O27" s="70"/>
      <c r="P27" s="71">
        <v>56</v>
      </c>
      <c r="Q27" s="69">
        <v>-0.35210000000000002</v>
      </c>
      <c r="R27" s="69">
        <v>4.8338000000000001</v>
      </c>
      <c r="S27" s="69">
        <v>8.5349999999999995E-2</v>
      </c>
      <c r="T27" s="70"/>
      <c r="U27" s="71">
        <v>76</v>
      </c>
      <c r="V27" s="69">
        <v>-0.38329999999999997</v>
      </c>
      <c r="W27" s="69">
        <v>9.4617000000000004</v>
      </c>
      <c r="X27" s="69">
        <v>8.9829999999999993E-2</v>
      </c>
      <c r="Y27" s="70"/>
      <c r="Z27" s="71">
        <v>76</v>
      </c>
      <c r="AA27" s="69">
        <v>-0.35210000000000002</v>
      </c>
      <c r="AB27" s="69">
        <v>9.8391999999999999</v>
      </c>
      <c r="AC27" s="69">
        <v>8.3119999999999999E-2</v>
      </c>
      <c r="AE27" s="75">
        <v>22</v>
      </c>
      <c r="AF27" s="76">
        <v>78.400000000000006</v>
      </c>
      <c r="AG27" s="76">
        <v>81.5</v>
      </c>
      <c r="AH27" s="76">
        <v>84.6</v>
      </c>
      <c r="AI27" s="76">
        <v>87.7</v>
      </c>
      <c r="AJ27" s="77">
        <v>90.8</v>
      </c>
      <c r="AL27" s="75">
        <v>22</v>
      </c>
      <c r="AM27" s="76">
        <v>80.2</v>
      </c>
      <c r="AN27" s="76">
        <v>83.1</v>
      </c>
      <c r="AO27" s="76">
        <v>86</v>
      </c>
      <c r="AP27" s="76">
        <v>89</v>
      </c>
      <c r="AQ27" s="77">
        <v>91.9</v>
      </c>
      <c r="AS27" s="75">
        <v>22</v>
      </c>
      <c r="AT27" s="76">
        <v>44.1</v>
      </c>
      <c r="AU27" s="76">
        <v>45.5</v>
      </c>
      <c r="AV27" s="76">
        <v>46.9</v>
      </c>
      <c r="AW27" s="76">
        <v>48.3</v>
      </c>
      <c r="AX27" s="77">
        <v>49.7</v>
      </c>
      <c r="AZ27" s="75">
        <v>22</v>
      </c>
      <c r="BA27" s="76">
        <v>45.3</v>
      </c>
      <c r="BB27" s="76">
        <v>46.6</v>
      </c>
      <c r="BC27" s="76">
        <v>48</v>
      </c>
      <c r="BD27" s="76">
        <v>49.3</v>
      </c>
      <c r="BE27" s="77">
        <v>50.7</v>
      </c>
    </row>
    <row r="28" spans="1:57">
      <c r="A28" s="68">
        <v>23</v>
      </c>
      <c r="B28" s="69">
        <v>-0.2903</v>
      </c>
      <c r="C28" s="69">
        <v>11.268800000000001</v>
      </c>
      <c r="D28" s="69">
        <v>0.12368999999999999</v>
      </c>
      <c r="E28" s="70"/>
      <c r="F28" s="68">
        <v>23</v>
      </c>
      <c r="G28" s="69">
        <v>-8.3000000000000001E-3</v>
      </c>
      <c r="H28" s="69">
        <v>11.9514</v>
      </c>
      <c r="I28" s="69">
        <v>0.11369</v>
      </c>
      <c r="K28" s="71">
        <v>56.5</v>
      </c>
      <c r="L28" s="69">
        <v>-0.38329999999999997</v>
      </c>
      <c r="M28" s="69">
        <v>4.95</v>
      </c>
      <c r="N28" s="69">
        <v>9.1209999999999999E-2</v>
      </c>
      <c r="O28" s="70"/>
      <c r="P28" s="71">
        <v>56.5</v>
      </c>
      <c r="Q28" s="69">
        <v>-0.35210000000000002</v>
      </c>
      <c r="R28" s="69">
        <v>4.9795999999999996</v>
      </c>
      <c r="S28" s="69">
        <v>8.5070000000000007E-2</v>
      </c>
      <c r="T28" s="70"/>
      <c r="U28" s="71">
        <v>76.5</v>
      </c>
      <c r="V28" s="69">
        <v>-0.38329999999999997</v>
      </c>
      <c r="W28" s="69">
        <v>9.5533000000000001</v>
      </c>
      <c r="X28" s="69">
        <v>8.9760000000000006E-2</v>
      </c>
      <c r="Y28" s="70"/>
      <c r="Z28" s="71">
        <v>76.5</v>
      </c>
      <c r="AA28" s="69">
        <v>-0.35210000000000002</v>
      </c>
      <c r="AB28" s="69">
        <v>9.9341000000000008</v>
      </c>
      <c r="AC28" s="69">
        <v>8.3150000000000002E-2</v>
      </c>
      <c r="AE28" s="75">
        <v>23</v>
      </c>
      <c r="AF28" s="76">
        <v>79.2</v>
      </c>
      <c r="AG28" s="76">
        <v>82.3</v>
      </c>
      <c r="AH28" s="76">
        <v>85.5</v>
      </c>
      <c r="AI28" s="76">
        <v>88.7</v>
      </c>
      <c r="AJ28" s="77">
        <v>91.9</v>
      </c>
      <c r="AL28" s="75">
        <v>23</v>
      </c>
      <c r="AM28" s="76">
        <v>81</v>
      </c>
      <c r="AN28" s="76">
        <v>83.9</v>
      </c>
      <c r="AO28" s="76">
        <v>86.9</v>
      </c>
      <c r="AP28" s="76">
        <v>89.9</v>
      </c>
      <c r="AQ28" s="77">
        <v>92.9</v>
      </c>
      <c r="AS28" s="75">
        <v>23</v>
      </c>
      <c r="AT28" s="76">
        <v>44.3</v>
      </c>
      <c r="AU28" s="76">
        <v>45.6</v>
      </c>
      <c r="AV28" s="76">
        <v>47</v>
      </c>
      <c r="AW28" s="76">
        <v>48.4</v>
      </c>
      <c r="AX28" s="77">
        <v>49.8</v>
      </c>
      <c r="AZ28" s="75">
        <v>23</v>
      </c>
      <c r="BA28" s="76">
        <v>45.4</v>
      </c>
      <c r="BB28" s="76">
        <v>46.8</v>
      </c>
      <c r="BC28" s="76">
        <v>48.1</v>
      </c>
      <c r="BD28" s="76">
        <v>49.5</v>
      </c>
      <c r="BE28" s="77">
        <v>50.8</v>
      </c>
    </row>
    <row r="29" spans="1:57">
      <c r="A29" s="68">
        <v>24</v>
      </c>
      <c r="B29" s="69">
        <v>-0.29409999999999997</v>
      </c>
      <c r="C29" s="69">
        <v>11.477499999999999</v>
      </c>
      <c r="D29" s="69">
        <v>0.1239</v>
      </c>
      <c r="E29" s="70"/>
      <c r="F29" s="68">
        <v>24</v>
      </c>
      <c r="G29" s="69">
        <v>-1.37E-2</v>
      </c>
      <c r="H29" s="69">
        <v>12.1515</v>
      </c>
      <c r="I29" s="69">
        <v>0.11426</v>
      </c>
      <c r="K29" s="71">
        <v>57</v>
      </c>
      <c r="L29" s="69">
        <v>-0.38329999999999997</v>
      </c>
      <c r="M29" s="69">
        <v>5.0837000000000003</v>
      </c>
      <c r="N29" s="69">
        <v>9.1249999999999998E-2</v>
      </c>
      <c r="O29" s="70"/>
      <c r="P29" s="71">
        <v>57</v>
      </c>
      <c r="Q29" s="69">
        <v>-0.35210000000000002</v>
      </c>
      <c r="R29" s="69">
        <v>5.1258999999999997</v>
      </c>
      <c r="S29" s="69">
        <v>8.4809999999999997E-2</v>
      </c>
      <c r="T29" s="70"/>
      <c r="U29" s="71">
        <v>77</v>
      </c>
      <c r="V29" s="69">
        <v>-0.38329999999999997</v>
      </c>
      <c r="W29" s="69">
        <v>9.6456</v>
      </c>
      <c r="X29" s="69">
        <v>8.9690000000000006E-2</v>
      </c>
      <c r="Y29" s="70"/>
      <c r="Z29" s="71">
        <v>77</v>
      </c>
      <c r="AA29" s="69">
        <v>-0.35210000000000002</v>
      </c>
      <c r="AB29" s="69">
        <v>10.0274</v>
      </c>
      <c r="AC29" s="69">
        <v>8.3169999999999994E-2</v>
      </c>
      <c r="AE29" s="75">
        <v>24</v>
      </c>
      <c r="AF29" s="76">
        <v>79.3</v>
      </c>
      <c r="AG29" s="76">
        <v>82.5</v>
      </c>
      <c r="AH29" s="76">
        <v>85.7</v>
      </c>
      <c r="AI29" s="76">
        <v>88.9</v>
      </c>
      <c r="AJ29" s="77">
        <v>92.2</v>
      </c>
      <c r="AL29" s="75">
        <v>24</v>
      </c>
      <c r="AM29" s="76">
        <v>81</v>
      </c>
      <c r="AN29" s="76">
        <v>84.1</v>
      </c>
      <c r="AO29" s="76">
        <v>87.1</v>
      </c>
      <c r="AP29" s="76">
        <v>90.2</v>
      </c>
      <c r="AQ29" s="77">
        <v>93.2</v>
      </c>
      <c r="AS29" s="75">
        <v>24</v>
      </c>
      <c r="AT29" s="76">
        <v>44.4</v>
      </c>
      <c r="AU29" s="76">
        <v>45.8</v>
      </c>
      <c r="AV29" s="76">
        <v>47.2</v>
      </c>
      <c r="AW29" s="76">
        <v>48.6</v>
      </c>
      <c r="AX29" s="77">
        <v>50</v>
      </c>
      <c r="AZ29" s="75">
        <v>24</v>
      </c>
      <c r="BA29" s="76">
        <v>45.5</v>
      </c>
      <c r="BB29" s="76">
        <v>46.9</v>
      </c>
      <c r="BC29" s="76">
        <v>48.3</v>
      </c>
      <c r="BD29" s="76">
        <v>49.6</v>
      </c>
      <c r="BE29" s="77">
        <v>51</v>
      </c>
    </row>
    <row r="30" spans="1:57">
      <c r="A30" s="68">
        <v>25</v>
      </c>
      <c r="B30" s="69">
        <v>-0.29749999999999999</v>
      </c>
      <c r="C30" s="69">
        <v>11.686400000000001</v>
      </c>
      <c r="D30" s="69">
        <v>0.12414</v>
      </c>
      <c r="E30" s="70"/>
      <c r="F30" s="68">
        <v>25</v>
      </c>
      <c r="G30" s="69">
        <v>-1.89E-2</v>
      </c>
      <c r="H30" s="69">
        <v>12.350199999999999</v>
      </c>
      <c r="I30" s="69">
        <v>0.11484999999999999</v>
      </c>
      <c r="K30" s="71">
        <v>57.5</v>
      </c>
      <c r="L30" s="69">
        <v>-0.38329999999999997</v>
      </c>
      <c r="M30" s="69">
        <v>5.2172999999999998</v>
      </c>
      <c r="N30" s="69">
        <v>9.128E-2</v>
      </c>
      <c r="O30" s="70"/>
      <c r="P30" s="71">
        <v>57.5</v>
      </c>
      <c r="Q30" s="69">
        <v>-0.35210000000000002</v>
      </c>
      <c r="R30" s="69">
        <v>5.2721</v>
      </c>
      <c r="S30" s="69">
        <v>8.455E-2</v>
      </c>
      <c r="T30" s="70"/>
      <c r="U30" s="71">
        <v>77.5</v>
      </c>
      <c r="V30" s="69">
        <v>-0.38329999999999997</v>
      </c>
      <c r="W30" s="69">
        <v>9.7390000000000008</v>
      </c>
      <c r="X30" s="69">
        <v>8.9630000000000001E-2</v>
      </c>
      <c r="Y30" s="70"/>
      <c r="Z30" s="71">
        <v>77.5</v>
      </c>
      <c r="AA30" s="69">
        <v>-0.35210000000000002</v>
      </c>
      <c r="AB30" s="69">
        <v>10.119400000000001</v>
      </c>
      <c r="AC30" s="69">
        <v>8.3180000000000004E-2</v>
      </c>
      <c r="AE30" s="75">
        <v>25</v>
      </c>
      <c r="AF30" s="76">
        <v>80</v>
      </c>
      <c r="AG30" s="76">
        <v>83.3</v>
      </c>
      <c r="AH30" s="76">
        <v>86.6</v>
      </c>
      <c r="AI30" s="76">
        <v>89.9</v>
      </c>
      <c r="AJ30" s="77">
        <v>93.1</v>
      </c>
      <c r="AL30" s="75">
        <v>25</v>
      </c>
      <c r="AM30" s="76">
        <v>81.7</v>
      </c>
      <c r="AN30" s="76">
        <v>84.9</v>
      </c>
      <c r="AO30" s="76">
        <v>88</v>
      </c>
      <c r="AP30" s="76">
        <v>91.1</v>
      </c>
      <c r="AQ30" s="77">
        <v>94.2</v>
      </c>
      <c r="AS30" s="75">
        <v>25</v>
      </c>
      <c r="AT30" s="76">
        <v>44.5</v>
      </c>
      <c r="AU30" s="76">
        <v>45.9</v>
      </c>
      <c r="AV30" s="76">
        <v>47.3</v>
      </c>
      <c r="AW30" s="76">
        <v>48.7</v>
      </c>
      <c r="AX30" s="77">
        <v>50.1</v>
      </c>
      <c r="AZ30" s="75">
        <v>25</v>
      </c>
      <c r="BA30" s="76">
        <v>45.6</v>
      </c>
      <c r="BB30" s="76">
        <v>47</v>
      </c>
      <c r="BC30" s="76">
        <v>48.4</v>
      </c>
      <c r="BD30" s="76">
        <v>49.7</v>
      </c>
      <c r="BE30" s="77">
        <v>51.1</v>
      </c>
    </row>
    <row r="31" spans="1:57">
      <c r="A31" s="68">
        <v>26</v>
      </c>
      <c r="B31" s="69">
        <v>-0.30049999999999999</v>
      </c>
      <c r="C31" s="69">
        <v>11.8947</v>
      </c>
      <c r="D31" s="69">
        <v>0.12441000000000001</v>
      </c>
      <c r="E31" s="70"/>
      <c r="F31" s="68">
        <v>26</v>
      </c>
      <c r="G31" s="69">
        <v>-2.4E-2</v>
      </c>
      <c r="H31" s="69">
        <v>12.5466</v>
      </c>
      <c r="I31" s="69">
        <v>0.11544</v>
      </c>
      <c r="K31" s="71">
        <v>58</v>
      </c>
      <c r="L31" s="69">
        <v>-0.38329999999999997</v>
      </c>
      <c r="M31" s="69">
        <v>5.3506999999999998</v>
      </c>
      <c r="N31" s="69">
        <v>9.1300000000000006E-2</v>
      </c>
      <c r="O31" s="70"/>
      <c r="P31" s="71">
        <v>58</v>
      </c>
      <c r="Q31" s="69">
        <v>-0.35210000000000002</v>
      </c>
      <c r="R31" s="69">
        <v>5.4180000000000001</v>
      </c>
      <c r="S31" s="69">
        <v>8.43E-2</v>
      </c>
      <c r="T31" s="70"/>
      <c r="U31" s="71">
        <v>78</v>
      </c>
      <c r="V31" s="69">
        <v>-0.38329999999999997</v>
      </c>
      <c r="W31" s="69">
        <v>9.8338000000000001</v>
      </c>
      <c r="X31" s="69">
        <v>8.9560000000000001E-2</v>
      </c>
      <c r="Y31" s="70"/>
      <c r="Z31" s="71">
        <v>78</v>
      </c>
      <c r="AA31" s="69">
        <v>-0.35210000000000002</v>
      </c>
      <c r="AB31" s="69">
        <v>10.2105</v>
      </c>
      <c r="AC31" s="69">
        <v>8.3169999999999994E-2</v>
      </c>
      <c r="AE31" s="75">
        <v>26</v>
      </c>
      <c r="AF31" s="76">
        <v>80.8</v>
      </c>
      <c r="AG31" s="76">
        <v>84.1</v>
      </c>
      <c r="AH31" s="76">
        <v>87.4</v>
      </c>
      <c r="AI31" s="76">
        <v>90.8</v>
      </c>
      <c r="AJ31" s="77">
        <v>94.1</v>
      </c>
      <c r="AL31" s="75">
        <v>26</v>
      </c>
      <c r="AM31" s="76">
        <v>82.5</v>
      </c>
      <c r="AN31" s="76">
        <v>85.6</v>
      </c>
      <c r="AO31" s="76">
        <v>88.8</v>
      </c>
      <c r="AP31" s="76">
        <v>92</v>
      </c>
      <c r="AQ31" s="77">
        <v>95.2</v>
      </c>
      <c r="AS31" s="75">
        <v>26</v>
      </c>
      <c r="AT31" s="76">
        <v>44.7</v>
      </c>
      <c r="AU31" s="76">
        <v>46.1</v>
      </c>
      <c r="AV31" s="76">
        <v>47.5</v>
      </c>
      <c r="AW31" s="76">
        <v>48.9</v>
      </c>
      <c r="AX31" s="77">
        <v>50.3</v>
      </c>
      <c r="AZ31" s="75">
        <v>26</v>
      </c>
      <c r="BA31" s="76">
        <v>45.8</v>
      </c>
      <c r="BB31" s="76">
        <v>47.1</v>
      </c>
      <c r="BC31" s="76">
        <v>48.5</v>
      </c>
      <c r="BD31" s="76">
        <v>49.9</v>
      </c>
      <c r="BE31" s="77">
        <v>51.2</v>
      </c>
    </row>
    <row r="32" spans="1:57">
      <c r="A32" s="68">
        <v>27</v>
      </c>
      <c r="B32" s="69">
        <v>-0.30320000000000003</v>
      </c>
      <c r="C32" s="69">
        <v>12.1015</v>
      </c>
      <c r="D32" s="69">
        <v>0.12472</v>
      </c>
      <c r="E32" s="70"/>
      <c r="F32" s="68">
        <v>27</v>
      </c>
      <c r="G32" s="69">
        <v>-2.8899999999999999E-2</v>
      </c>
      <c r="H32" s="69">
        <v>12.7401</v>
      </c>
      <c r="I32" s="69">
        <v>0.11604</v>
      </c>
      <c r="K32" s="71">
        <v>58.5</v>
      </c>
      <c r="L32" s="69">
        <v>-0.38329999999999997</v>
      </c>
      <c r="M32" s="69">
        <v>5.4833999999999996</v>
      </c>
      <c r="N32" s="69">
        <v>9.1319999999999998E-2</v>
      </c>
      <c r="O32" s="70"/>
      <c r="P32" s="71">
        <v>58.5</v>
      </c>
      <c r="Q32" s="69">
        <v>-0.35210000000000002</v>
      </c>
      <c r="R32" s="69">
        <v>5.5632000000000001</v>
      </c>
      <c r="S32" s="69">
        <v>8.4059999999999996E-2</v>
      </c>
      <c r="T32" s="70"/>
      <c r="U32" s="71">
        <v>78.5</v>
      </c>
      <c r="V32" s="69">
        <v>-0.38329999999999997</v>
      </c>
      <c r="W32" s="69">
        <v>9.9303000000000008</v>
      </c>
      <c r="X32" s="69">
        <v>8.9499999999999996E-2</v>
      </c>
      <c r="Y32" s="70"/>
      <c r="Z32" s="71">
        <v>78.5</v>
      </c>
      <c r="AA32" s="69">
        <v>-0.35210000000000002</v>
      </c>
      <c r="AB32" s="69">
        <v>10.3012</v>
      </c>
      <c r="AC32" s="69">
        <v>8.3150000000000002E-2</v>
      </c>
      <c r="AE32" s="75">
        <v>27</v>
      </c>
      <c r="AF32" s="76">
        <v>81.5</v>
      </c>
      <c r="AG32" s="76">
        <v>84.9</v>
      </c>
      <c r="AH32" s="76">
        <v>88.3</v>
      </c>
      <c r="AI32" s="76">
        <v>91.7</v>
      </c>
      <c r="AJ32" s="77">
        <v>95</v>
      </c>
      <c r="AL32" s="75">
        <v>27</v>
      </c>
      <c r="AM32" s="76">
        <v>83.1</v>
      </c>
      <c r="AN32" s="76">
        <v>86.4</v>
      </c>
      <c r="AO32" s="76">
        <v>89.6</v>
      </c>
      <c r="AP32" s="76">
        <v>92.9</v>
      </c>
      <c r="AQ32" s="77">
        <v>96.1</v>
      </c>
      <c r="AS32" s="75">
        <v>27</v>
      </c>
      <c r="AT32" s="76">
        <v>44.8</v>
      </c>
      <c r="AU32" s="76">
        <v>46.2</v>
      </c>
      <c r="AV32" s="76">
        <v>47.6</v>
      </c>
      <c r="AW32" s="76">
        <v>49</v>
      </c>
      <c r="AX32" s="77">
        <v>50.4</v>
      </c>
      <c r="AZ32" s="75">
        <v>27</v>
      </c>
      <c r="BA32" s="76">
        <v>45.9</v>
      </c>
      <c r="BB32" s="76">
        <v>47.2</v>
      </c>
      <c r="BC32" s="76">
        <v>48.6</v>
      </c>
      <c r="BD32" s="76">
        <v>50</v>
      </c>
      <c r="BE32" s="77">
        <v>51.4</v>
      </c>
    </row>
    <row r="33" spans="1:57">
      <c r="A33" s="68">
        <v>28</v>
      </c>
      <c r="B33" s="69">
        <v>-0.30570000000000003</v>
      </c>
      <c r="C33" s="69">
        <v>12.305899999999999</v>
      </c>
      <c r="D33" s="69">
        <v>0.12506</v>
      </c>
      <c r="E33" s="70"/>
      <c r="F33" s="68">
        <v>28</v>
      </c>
      <c r="G33" s="69">
        <v>-3.3700000000000001E-2</v>
      </c>
      <c r="H33" s="69">
        <v>12.930300000000001</v>
      </c>
      <c r="I33" s="69">
        <v>0.11663999999999999</v>
      </c>
      <c r="K33" s="71">
        <v>59</v>
      </c>
      <c r="L33" s="69">
        <v>-0.38329999999999997</v>
      </c>
      <c r="M33" s="69">
        <v>5.6151</v>
      </c>
      <c r="N33" s="69">
        <v>9.1340000000000005E-2</v>
      </c>
      <c r="O33" s="70"/>
      <c r="P33" s="71">
        <v>59</v>
      </c>
      <c r="Q33" s="69">
        <v>-0.35210000000000002</v>
      </c>
      <c r="R33" s="69">
        <v>5.7073999999999998</v>
      </c>
      <c r="S33" s="69">
        <v>8.3830000000000002E-2</v>
      </c>
      <c r="T33" s="70"/>
      <c r="U33" s="71">
        <v>79</v>
      </c>
      <c r="V33" s="69">
        <v>-0.38329999999999997</v>
      </c>
      <c r="W33" s="69">
        <v>10.0289</v>
      </c>
      <c r="X33" s="69">
        <v>8.9429999999999996E-2</v>
      </c>
      <c r="Y33" s="70"/>
      <c r="Z33" s="71">
        <v>79</v>
      </c>
      <c r="AA33" s="69">
        <v>-0.35210000000000002</v>
      </c>
      <c r="AB33" s="69">
        <v>10.392300000000001</v>
      </c>
      <c r="AC33" s="69">
        <v>8.3110000000000003E-2</v>
      </c>
      <c r="AE33" s="75">
        <v>28</v>
      </c>
      <c r="AF33" s="76">
        <v>82.2</v>
      </c>
      <c r="AG33" s="76">
        <v>85.7</v>
      </c>
      <c r="AH33" s="76">
        <v>89.1</v>
      </c>
      <c r="AI33" s="76">
        <v>92.5</v>
      </c>
      <c r="AJ33" s="77">
        <v>96</v>
      </c>
      <c r="AL33" s="75">
        <v>28</v>
      </c>
      <c r="AM33" s="76">
        <v>83.8</v>
      </c>
      <c r="AN33" s="76">
        <v>87.1</v>
      </c>
      <c r="AO33" s="76">
        <v>90.4</v>
      </c>
      <c r="AP33" s="76">
        <v>93.7</v>
      </c>
      <c r="AQ33" s="77">
        <v>97</v>
      </c>
      <c r="AS33" s="75">
        <v>28</v>
      </c>
      <c r="AT33" s="76">
        <v>44.9</v>
      </c>
      <c r="AU33" s="76">
        <v>46.3</v>
      </c>
      <c r="AV33" s="76">
        <v>47.7</v>
      </c>
      <c r="AW33" s="76">
        <v>49.1</v>
      </c>
      <c r="AX33" s="77">
        <v>50.5</v>
      </c>
      <c r="AZ33" s="75">
        <v>28</v>
      </c>
      <c r="BA33" s="76">
        <v>46</v>
      </c>
      <c r="BB33" s="76">
        <v>47.3</v>
      </c>
      <c r="BC33" s="76">
        <v>48.7</v>
      </c>
      <c r="BD33" s="76">
        <v>50.1</v>
      </c>
      <c r="BE33" s="77">
        <v>51.5</v>
      </c>
    </row>
    <row r="34" spans="1:57">
      <c r="A34" s="68">
        <v>29</v>
      </c>
      <c r="B34" s="69">
        <v>-0.308</v>
      </c>
      <c r="C34" s="69">
        <v>12.507300000000001</v>
      </c>
      <c r="D34" s="69">
        <v>0.12545000000000001</v>
      </c>
      <c r="E34" s="70"/>
      <c r="F34" s="68">
        <v>29</v>
      </c>
      <c r="G34" s="69">
        <v>-3.85E-2</v>
      </c>
      <c r="H34" s="69">
        <v>13.116899999999999</v>
      </c>
      <c r="I34" s="69">
        <v>0.11723</v>
      </c>
      <c r="K34" s="71">
        <v>59.5</v>
      </c>
      <c r="L34" s="69">
        <v>-0.38329999999999997</v>
      </c>
      <c r="M34" s="69">
        <v>5.7454000000000001</v>
      </c>
      <c r="N34" s="69">
        <v>9.1350000000000001E-2</v>
      </c>
      <c r="O34" s="70"/>
      <c r="P34" s="71">
        <v>59.5</v>
      </c>
      <c r="Q34" s="69">
        <v>-0.35210000000000002</v>
      </c>
      <c r="R34" s="69">
        <v>5.8501000000000003</v>
      </c>
      <c r="S34" s="69">
        <v>8.362E-2</v>
      </c>
      <c r="T34" s="70"/>
      <c r="U34" s="71">
        <v>79.5</v>
      </c>
      <c r="V34" s="69">
        <v>-0.38329999999999997</v>
      </c>
      <c r="W34" s="69">
        <v>10.129799999999999</v>
      </c>
      <c r="X34" s="69">
        <v>8.9370000000000005E-2</v>
      </c>
      <c r="Y34" s="70"/>
      <c r="Z34" s="71">
        <v>79.5</v>
      </c>
      <c r="AA34" s="69">
        <v>-0.35210000000000002</v>
      </c>
      <c r="AB34" s="69">
        <v>10.484500000000001</v>
      </c>
      <c r="AC34" s="69">
        <v>8.3049999999999999E-2</v>
      </c>
      <c r="AE34" s="75">
        <v>29</v>
      </c>
      <c r="AF34" s="76">
        <v>82.9</v>
      </c>
      <c r="AG34" s="76">
        <v>86.4</v>
      </c>
      <c r="AH34" s="76">
        <v>89.9</v>
      </c>
      <c r="AI34" s="76">
        <v>93.4</v>
      </c>
      <c r="AJ34" s="77">
        <v>96.9</v>
      </c>
      <c r="AL34" s="75">
        <v>29</v>
      </c>
      <c r="AM34" s="76">
        <v>84.5</v>
      </c>
      <c r="AN34" s="76">
        <v>87.8</v>
      </c>
      <c r="AO34" s="76">
        <v>91.2</v>
      </c>
      <c r="AP34" s="76">
        <v>94.5</v>
      </c>
      <c r="AQ34" s="77">
        <v>97.9</v>
      </c>
      <c r="AS34" s="75">
        <v>29</v>
      </c>
      <c r="AT34" s="76">
        <v>45</v>
      </c>
      <c r="AU34" s="76">
        <v>46.4</v>
      </c>
      <c r="AV34" s="76">
        <v>47.8</v>
      </c>
      <c r="AW34" s="76">
        <v>49.2</v>
      </c>
      <c r="AX34" s="77">
        <v>50.6</v>
      </c>
      <c r="AZ34" s="75">
        <v>29</v>
      </c>
      <c r="BA34" s="76">
        <v>46.1</v>
      </c>
      <c r="BB34" s="76">
        <v>47.4</v>
      </c>
      <c r="BC34" s="76">
        <v>48.8</v>
      </c>
      <c r="BD34" s="76">
        <v>50.2</v>
      </c>
      <c r="BE34" s="77">
        <v>51.6</v>
      </c>
    </row>
    <row r="35" spans="1:57">
      <c r="A35" s="68">
        <v>30</v>
      </c>
      <c r="B35" s="69">
        <v>-0.31009999999999999</v>
      </c>
      <c r="C35" s="69">
        <v>12.705500000000001</v>
      </c>
      <c r="D35" s="69">
        <v>0.12587000000000001</v>
      </c>
      <c r="E35" s="70"/>
      <c r="F35" s="68">
        <v>30</v>
      </c>
      <c r="G35" s="69">
        <v>-4.3099999999999999E-2</v>
      </c>
      <c r="H35" s="69">
        <v>13.3</v>
      </c>
      <c r="I35" s="69">
        <v>0.11781</v>
      </c>
      <c r="K35" s="71">
        <v>60</v>
      </c>
      <c r="L35" s="69">
        <v>-0.38329999999999997</v>
      </c>
      <c r="M35" s="69">
        <v>5.8742000000000001</v>
      </c>
      <c r="N35" s="69">
        <v>9.1359999999999997E-2</v>
      </c>
      <c r="O35" s="70"/>
      <c r="P35" s="71">
        <v>60</v>
      </c>
      <c r="Q35" s="69">
        <v>-0.35210000000000002</v>
      </c>
      <c r="R35" s="69">
        <v>5.9907000000000004</v>
      </c>
      <c r="S35" s="69">
        <v>8.3419999999999994E-2</v>
      </c>
      <c r="T35" s="70"/>
      <c r="U35" s="71">
        <v>80</v>
      </c>
      <c r="V35" s="69">
        <v>-0.38329999999999997</v>
      </c>
      <c r="W35" s="69">
        <v>10.2332</v>
      </c>
      <c r="X35" s="69">
        <v>8.9319999999999997E-2</v>
      </c>
      <c r="Y35" s="70"/>
      <c r="Z35" s="71">
        <v>80</v>
      </c>
      <c r="AA35" s="69">
        <v>-0.35210000000000002</v>
      </c>
      <c r="AB35" s="69">
        <v>10.578099999999999</v>
      </c>
      <c r="AC35" s="69">
        <v>8.2979999999999998E-2</v>
      </c>
      <c r="AE35" s="75">
        <v>30</v>
      </c>
      <c r="AF35" s="76">
        <v>83.6</v>
      </c>
      <c r="AG35" s="76">
        <v>87.1</v>
      </c>
      <c r="AH35" s="76">
        <v>90.7</v>
      </c>
      <c r="AI35" s="76">
        <v>94.2</v>
      </c>
      <c r="AJ35" s="77">
        <v>97.7</v>
      </c>
      <c r="AL35" s="75">
        <v>30</v>
      </c>
      <c r="AM35" s="76">
        <v>85.1</v>
      </c>
      <c r="AN35" s="76">
        <v>88.5</v>
      </c>
      <c r="AO35" s="76">
        <v>91.9</v>
      </c>
      <c r="AP35" s="76">
        <v>95.3</v>
      </c>
      <c r="AQ35" s="77">
        <v>98.7</v>
      </c>
      <c r="AS35" s="75">
        <v>30</v>
      </c>
      <c r="AT35" s="76">
        <v>45.1</v>
      </c>
      <c r="AU35" s="76">
        <v>46.5</v>
      </c>
      <c r="AV35" s="76">
        <v>47.9</v>
      </c>
      <c r="AW35" s="76">
        <v>49.3</v>
      </c>
      <c r="AX35" s="77">
        <v>50.7</v>
      </c>
      <c r="AZ35" s="75">
        <v>30</v>
      </c>
      <c r="BA35" s="76">
        <v>46.1</v>
      </c>
      <c r="BB35" s="76">
        <v>47.5</v>
      </c>
      <c r="BC35" s="76">
        <v>48.9</v>
      </c>
      <c r="BD35" s="76">
        <v>50.3</v>
      </c>
      <c r="BE35" s="77">
        <v>51.7</v>
      </c>
    </row>
    <row r="36" spans="1:57">
      <c r="A36" s="68">
        <v>31</v>
      </c>
      <c r="B36" s="69">
        <v>-0.312</v>
      </c>
      <c r="C36" s="69">
        <v>12.900600000000001</v>
      </c>
      <c r="D36" s="69">
        <v>0.12633</v>
      </c>
      <c r="E36" s="70"/>
      <c r="F36" s="68">
        <v>31</v>
      </c>
      <c r="G36" s="69">
        <v>-4.7600000000000003E-2</v>
      </c>
      <c r="H36" s="69">
        <v>13.479799999999999</v>
      </c>
      <c r="I36" s="69">
        <v>0.11839</v>
      </c>
      <c r="K36" s="71">
        <v>60.5</v>
      </c>
      <c r="L36" s="69">
        <v>-0.38329999999999997</v>
      </c>
      <c r="M36" s="69">
        <v>6.0014000000000003</v>
      </c>
      <c r="N36" s="69">
        <v>9.1370000000000007E-2</v>
      </c>
      <c r="O36" s="70"/>
      <c r="P36" s="71">
        <v>60.5</v>
      </c>
      <c r="Q36" s="69">
        <v>-0.35210000000000002</v>
      </c>
      <c r="R36" s="69">
        <v>6.1284000000000001</v>
      </c>
      <c r="S36" s="69">
        <v>8.3239999999999995E-2</v>
      </c>
      <c r="T36" s="70"/>
      <c r="U36" s="71">
        <v>80.5</v>
      </c>
      <c r="V36" s="69">
        <v>-0.38329999999999997</v>
      </c>
      <c r="W36" s="69">
        <v>10.3393</v>
      </c>
      <c r="X36" s="69">
        <v>8.9260000000000006E-2</v>
      </c>
      <c r="Y36" s="70"/>
      <c r="Z36" s="71">
        <v>80.5</v>
      </c>
      <c r="AA36" s="69">
        <v>-0.35210000000000002</v>
      </c>
      <c r="AB36" s="69">
        <v>10.6737</v>
      </c>
      <c r="AC36" s="69">
        <v>8.2900000000000001E-2</v>
      </c>
      <c r="AE36" s="75">
        <v>31</v>
      </c>
      <c r="AF36" s="76">
        <v>84.3</v>
      </c>
      <c r="AG36" s="76">
        <v>87.9</v>
      </c>
      <c r="AH36" s="76">
        <v>91.4</v>
      </c>
      <c r="AI36" s="76">
        <v>95</v>
      </c>
      <c r="AJ36" s="77">
        <v>98.6</v>
      </c>
      <c r="AL36" s="75">
        <v>31</v>
      </c>
      <c r="AM36" s="76">
        <v>85.7</v>
      </c>
      <c r="AN36" s="76">
        <v>89.2</v>
      </c>
      <c r="AO36" s="76">
        <v>92.7</v>
      </c>
      <c r="AP36" s="76">
        <v>96.1</v>
      </c>
      <c r="AQ36" s="77">
        <v>99.6</v>
      </c>
      <c r="AS36" s="75">
        <v>31</v>
      </c>
      <c r="AT36" s="76">
        <v>45.2</v>
      </c>
      <c r="AU36" s="76">
        <v>46.6</v>
      </c>
      <c r="AV36" s="76">
        <v>48</v>
      </c>
      <c r="AW36" s="76">
        <v>49.4</v>
      </c>
      <c r="AX36" s="77">
        <v>50.9</v>
      </c>
      <c r="AZ36" s="75">
        <v>31</v>
      </c>
      <c r="BA36" s="76">
        <v>46.2</v>
      </c>
      <c r="BB36" s="76">
        <v>47.6</v>
      </c>
      <c r="BC36" s="76">
        <v>49</v>
      </c>
      <c r="BD36" s="76">
        <v>50.4</v>
      </c>
      <c r="BE36" s="77">
        <v>51.8</v>
      </c>
    </row>
    <row r="37" spans="1:57">
      <c r="A37" s="68">
        <v>32</v>
      </c>
      <c r="B37" s="69">
        <v>-0.31380000000000002</v>
      </c>
      <c r="C37" s="69">
        <v>13.093</v>
      </c>
      <c r="D37" s="69">
        <v>0.12683</v>
      </c>
      <c r="E37" s="70"/>
      <c r="F37" s="68">
        <v>32</v>
      </c>
      <c r="G37" s="69">
        <v>-5.1999999999999998E-2</v>
      </c>
      <c r="H37" s="69">
        <v>13.656700000000001</v>
      </c>
      <c r="I37" s="69">
        <v>0.11896</v>
      </c>
      <c r="K37" s="71">
        <v>61</v>
      </c>
      <c r="L37" s="69">
        <v>-0.38329999999999997</v>
      </c>
      <c r="M37" s="69">
        <v>6.1269999999999998</v>
      </c>
      <c r="N37" s="69">
        <v>9.1370000000000007E-2</v>
      </c>
      <c r="O37" s="70"/>
      <c r="P37" s="71">
        <v>61</v>
      </c>
      <c r="Q37" s="69">
        <v>-0.35210000000000002</v>
      </c>
      <c r="R37" s="69">
        <v>6.2632000000000003</v>
      </c>
      <c r="S37" s="69">
        <v>8.3080000000000001E-2</v>
      </c>
      <c r="T37" s="70"/>
      <c r="U37" s="71">
        <v>81</v>
      </c>
      <c r="V37" s="69">
        <v>-0.38329999999999997</v>
      </c>
      <c r="W37" s="69">
        <v>10.447699999999999</v>
      </c>
      <c r="X37" s="69">
        <v>8.9209999999999998E-2</v>
      </c>
      <c r="Y37" s="70"/>
      <c r="Z37" s="71">
        <v>81</v>
      </c>
      <c r="AA37" s="69">
        <v>-0.35210000000000002</v>
      </c>
      <c r="AB37" s="69">
        <v>10.771800000000001</v>
      </c>
      <c r="AC37" s="69">
        <v>8.2790000000000002E-2</v>
      </c>
      <c r="AE37" s="75">
        <v>32</v>
      </c>
      <c r="AF37" s="76">
        <v>84.9</v>
      </c>
      <c r="AG37" s="76">
        <v>88.6</v>
      </c>
      <c r="AH37" s="76">
        <v>92.2</v>
      </c>
      <c r="AI37" s="76">
        <v>95.8</v>
      </c>
      <c r="AJ37" s="77">
        <v>99.4</v>
      </c>
      <c r="AL37" s="75">
        <v>32</v>
      </c>
      <c r="AM37" s="76">
        <v>86.4</v>
      </c>
      <c r="AN37" s="76">
        <v>89.9</v>
      </c>
      <c r="AO37" s="76">
        <v>93.4</v>
      </c>
      <c r="AP37" s="76">
        <v>96.9</v>
      </c>
      <c r="AQ37" s="77">
        <v>100.4</v>
      </c>
      <c r="AS37" s="75">
        <v>32</v>
      </c>
      <c r="AT37" s="76">
        <v>45.3</v>
      </c>
      <c r="AU37" s="76">
        <v>46.7</v>
      </c>
      <c r="AV37" s="76">
        <v>48.1</v>
      </c>
      <c r="AW37" s="76">
        <v>49.6</v>
      </c>
      <c r="AX37" s="77">
        <v>51</v>
      </c>
      <c r="AZ37" s="75">
        <v>32</v>
      </c>
      <c r="BA37" s="76">
        <v>46.3</v>
      </c>
      <c r="BB37" s="76">
        <v>47.7</v>
      </c>
      <c r="BC37" s="76">
        <v>49.1</v>
      </c>
      <c r="BD37" s="76">
        <v>50.5</v>
      </c>
      <c r="BE37" s="77">
        <v>51.9</v>
      </c>
    </row>
    <row r="38" spans="1:57">
      <c r="A38" s="68">
        <v>33</v>
      </c>
      <c r="B38" s="69">
        <v>-0.3155</v>
      </c>
      <c r="C38" s="69">
        <v>13.2837</v>
      </c>
      <c r="D38" s="69">
        <v>0.12737000000000001</v>
      </c>
      <c r="E38" s="70"/>
      <c r="F38" s="68">
        <v>33</v>
      </c>
      <c r="G38" s="69">
        <v>-5.6399999999999999E-2</v>
      </c>
      <c r="H38" s="69">
        <v>13.8309</v>
      </c>
      <c r="I38" s="69">
        <v>0.11953</v>
      </c>
      <c r="K38" s="71">
        <v>61.5</v>
      </c>
      <c r="L38" s="69">
        <v>-0.38329999999999997</v>
      </c>
      <c r="M38" s="69">
        <v>6.2511000000000001</v>
      </c>
      <c r="N38" s="69">
        <v>9.1359999999999997E-2</v>
      </c>
      <c r="O38" s="70"/>
      <c r="P38" s="71">
        <v>61.5</v>
      </c>
      <c r="Q38" s="69">
        <v>-0.35210000000000002</v>
      </c>
      <c r="R38" s="69">
        <v>6.3954000000000004</v>
      </c>
      <c r="S38" s="69">
        <v>8.2919999999999994E-2</v>
      </c>
      <c r="T38" s="70"/>
      <c r="U38" s="71">
        <v>81.5</v>
      </c>
      <c r="V38" s="69">
        <v>-0.38329999999999997</v>
      </c>
      <c r="W38" s="69">
        <v>10.5586</v>
      </c>
      <c r="X38" s="69">
        <v>8.9160000000000003E-2</v>
      </c>
      <c r="Y38" s="70"/>
      <c r="Z38" s="71">
        <v>81.5</v>
      </c>
      <c r="AA38" s="69">
        <v>-0.35210000000000002</v>
      </c>
      <c r="AB38" s="69">
        <v>10.8728</v>
      </c>
      <c r="AC38" s="69">
        <v>8.2680000000000003E-2</v>
      </c>
      <c r="AE38" s="75">
        <v>33</v>
      </c>
      <c r="AF38" s="76">
        <v>85.6</v>
      </c>
      <c r="AG38" s="76">
        <v>89.3</v>
      </c>
      <c r="AH38" s="76">
        <v>92.9</v>
      </c>
      <c r="AI38" s="76">
        <v>96.6</v>
      </c>
      <c r="AJ38" s="77">
        <v>100.3</v>
      </c>
      <c r="AL38" s="75">
        <v>33</v>
      </c>
      <c r="AM38" s="76">
        <v>86.9</v>
      </c>
      <c r="AN38" s="76">
        <v>90.5</v>
      </c>
      <c r="AO38" s="76">
        <v>94.1</v>
      </c>
      <c r="AP38" s="76">
        <v>97.6</v>
      </c>
      <c r="AQ38" s="77">
        <v>101.2</v>
      </c>
      <c r="AS38" s="75">
        <v>33</v>
      </c>
      <c r="AT38" s="76">
        <v>45.4</v>
      </c>
      <c r="AU38" s="76">
        <v>46.8</v>
      </c>
      <c r="AV38" s="76">
        <v>48.2</v>
      </c>
      <c r="AW38" s="76">
        <v>49.7</v>
      </c>
      <c r="AX38" s="77">
        <v>51.1</v>
      </c>
      <c r="AZ38" s="75">
        <v>33</v>
      </c>
      <c r="BA38" s="76">
        <v>46.4</v>
      </c>
      <c r="BB38" s="76">
        <v>47.8</v>
      </c>
      <c r="BC38" s="76">
        <v>49.2</v>
      </c>
      <c r="BD38" s="76">
        <v>50.6</v>
      </c>
      <c r="BE38" s="77">
        <v>52</v>
      </c>
    </row>
    <row r="39" spans="1:57">
      <c r="A39" s="68">
        <v>34</v>
      </c>
      <c r="B39" s="69">
        <v>-0.31709999999999999</v>
      </c>
      <c r="C39" s="69">
        <v>13.473100000000001</v>
      </c>
      <c r="D39" s="69">
        <v>0.12794</v>
      </c>
      <c r="E39" s="70"/>
      <c r="F39" s="68">
        <v>34</v>
      </c>
      <c r="G39" s="69">
        <v>-6.0600000000000001E-2</v>
      </c>
      <c r="H39" s="69">
        <v>14.0031</v>
      </c>
      <c r="I39" s="69">
        <v>0.12008000000000001</v>
      </c>
      <c r="K39" s="71">
        <v>62</v>
      </c>
      <c r="L39" s="69">
        <v>-0.38329999999999997</v>
      </c>
      <c r="M39" s="69">
        <v>6.3738000000000001</v>
      </c>
      <c r="N39" s="69">
        <v>9.1350000000000001E-2</v>
      </c>
      <c r="O39" s="70"/>
      <c r="P39" s="71">
        <v>62</v>
      </c>
      <c r="Q39" s="69">
        <v>-0.35210000000000002</v>
      </c>
      <c r="R39" s="69">
        <v>6.5251000000000001</v>
      </c>
      <c r="S39" s="69">
        <v>8.2790000000000002E-2</v>
      </c>
      <c r="T39" s="70"/>
      <c r="U39" s="71">
        <v>82</v>
      </c>
      <c r="V39" s="69">
        <v>-0.38329999999999997</v>
      </c>
      <c r="W39" s="69">
        <v>10.671900000000001</v>
      </c>
      <c r="X39" s="69">
        <v>8.9120000000000005E-2</v>
      </c>
      <c r="Y39" s="70"/>
      <c r="Z39" s="71">
        <v>82</v>
      </c>
      <c r="AA39" s="69">
        <v>-0.35210000000000002</v>
      </c>
      <c r="AB39" s="69">
        <v>10.9772</v>
      </c>
      <c r="AC39" s="69">
        <v>8.2549999999999998E-2</v>
      </c>
      <c r="AE39" s="75">
        <v>34</v>
      </c>
      <c r="AF39" s="76">
        <v>86.2</v>
      </c>
      <c r="AG39" s="76">
        <v>89.9</v>
      </c>
      <c r="AH39" s="76">
        <v>93.6</v>
      </c>
      <c r="AI39" s="76">
        <v>97.4</v>
      </c>
      <c r="AJ39" s="77">
        <v>101.1</v>
      </c>
      <c r="AL39" s="75">
        <v>34</v>
      </c>
      <c r="AM39" s="76">
        <v>87.5</v>
      </c>
      <c r="AN39" s="76">
        <v>91.1</v>
      </c>
      <c r="AO39" s="76">
        <v>94.8</v>
      </c>
      <c r="AP39" s="76">
        <v>98.4</v>
      </c>
      <c r="AQ39" s="77">
        <v>102</v>
      </c>
      <c r="AS39" s="75">
        <v>34</v>
      </c>
      <c r="AT39" s="76">
        <v>45.5</v>
      </c>
      <c r="AU39" s="76">
        <v>46.9</v>
      </c>
      <c r="AV39" s="76">
        <v>48.3</v>
      </c>
      <c r="AW39" s="76">
        <v>49.7</v>
      </c>
      <c r="AX39" s="77">
        <v>51.2</v>
      </c>
      <c r="AZ39" s="75">
        <v>34</v>
      </c>
      <c r="BA39" s="76">
        <v>46.5</v>
      </c>
      <c r="BB39" s="76">
        <v>47.9</v>
      </c>
      <c r="BC39" s="76">
        <v>49.3</v>
      </c>
      <c r="BD39" s="76">
        <v>50.7</v>
      </c>
      <c r="BE39" s="77">
        <v>52.1</v>
      </c>
    </row>
    <row r="40" spans="1:57">
      <c r="A40" s="68">
        <v>35</v>
      </c>
      <c r="B40" s="69">
        <v>-0.31859999999999999</v>
      </c>
      <c r="C40" s="69">
        <v>13.661799999999999</v>
      </c>
      <c r="D40" s="69">
        <v>0.12855</v>
      </c>
      <c r="E40" s="70"/>
      <c r="F40" s="68">
        <v>35</v>
      </c>
      <c r="G40" s="69">
        <v>-6.4799999999999996E-2</v>
      </c>
      <c r="H40" s="69">
        <v>14.1736</v>
      </c>
      <c r="I40" s="69">
        <v>0.12062</v>
      </c>
      <c r="K40" s="71">
        <v>62.5</v>
      </c>
      <c r="L40" s="69">
        <v>-0.38329999999999997</v>
      </c>
      <c r="M40" s="69">
        <v>6.4947999999999997</v>
      </c>
      <c r="N40" s="69">
        <v>9.1329999999999995E-2</v>
      </c>
      <c r="O40" s="70"/>
      <c r="P40" s="71">
        <v>62.5</v>
      </c>
      <c r="Q40" s="69">
        <v>-0.35210000000000002</v>
      </c>
      <c r="R40" s="69">
        <v>6.6527000000000003</v>
      </c>
      <c r="S40" s="69">
        <v>8.2659999999999997E-2</v>
      </c>
      <c r="T40" s="70"/>
      <c r="U40" s="71">
        <v>82.5</v>
      </c>
      <c r="V40" s="69">
        <v>-0.38329999999999997</v>
      </c>
      <c r="W40" s="69">
        <v>10.7874</v>
      </c>
      <c r="X40" s="69">
        <v>8.9080000000000006E-2</v>
      </c>
      <c r="Y40" s="70"/>
      <c r="Z40" s="71">
        <v>82.5</v>
      </c>
      <c r="AA40" s="69">
        <v>-0.35210000000000002</v>
      </c>
      <c r="AB40" s="69">
        <v>11.085100000000001</v>
      </c>
      <c r="AC40" s="69">
        <v>8.2409999999999997E-2</v>
      </c>
      <c r="AE40" s="75">
        <v>35</v>
      </c>
      <c r="AF40" s="76">
        <v>86.8</v>
      </c>
      <c r="AG40" s="76">
        <v>90.6</v>
      </c>
      <c r="AH40" s="76">
        <v>94.4</v>
      </c>
      <c r="AI40" s="76">
        <v>98.1</v>
      </c>
      <c r="AJ40" s="77">
        <v>101.9</v>
      </c>
      <c r="AL40" s="75">
        <v>35</v>
      </c>
      <c r="AM40" s="76">
        <v>88.1</v>
      </c>
      <c r="AN40" s="76">
        <v>91.8</v>
      </c>
      <c r="AO40" s="76">
        <v>95.4</v>
      </c>
      <c r="AP40" s="76">
        <v>99.1</v>
      </c>
      <c r="AQ40" s="77">
        <v>102.7</v>
      </c>
      <c r="AS40" s="75">
        <v>35</v>
      </c>
      <c r="AT40" s="76">
        <v>45.6</v>
      </c>
      <c r="AU40" s="76">
        <v>47</v>
      </c>
      <c r="AV40" s="76">
        <v>48.4</v>
      </c>
      <c r="AW40" s="76">
        <v>49.8</v>
      </c>
      <c r="AX40" s="77">
        <v>51.2</v>
      </c>
      <c r="AZ40" s="75">
        <v>35</v>
      </c>
      <c r="BA40" s="76">
        <v>46.6</v>
      </c>
      <c r="BB40" s="76">
        <v>48</v>
      </c>
      <c r="BC40" s="76">
        <v>49.4</v>
      </c>
      <c r="BD40" s="76">
        <v>50.8</v>
      </c>
      <c r="BE40" s="77">
        <v>52.2</v>
      </c>
    </row>
    <row r="41" spans="1:57">
      <c r="A41" s="68">
        <v>36</v>
      </c>
      <c r="B41" s="69">
        <v>-0.3201</v>
      </c>
      <c r="C41" s="69">
        <v>13.850300000000001</v>
      </c>
      <c r="D41" s="69">
        <v>0.12919</v>
      </c>
      <c r="E41" s="70"/>
      <c r="F41" s="68">
        <v>36</v>
      </c>
      <c r="G41" s="69">
        <v>-6.8900000000000003E-2</v>
      </c>
      <c r="H41" s="69">
        <v>14.3429</v>
      </c>
      <c r="I41" s="69">
        <v>0.12116</v>
      </c>
      <c r="K41" s="71">
        <v>63</v>
      </c>
      <c r="L41" s="69">
        <v>-0.38329999999999997</v>
      </c>
      <c r="M41" s="69">
        <v>6.6143999999999998</v>
      </c>
      <c r="N41" s="69">
        <v>9.1310000000000002E-2</v>
      </c>
      <c r="O41" s="70"/>
      <c r="P41" s="71">
        <v>63</v>
      </c>
      <c r="Q41" s="69">
        <v>-0.35210000000000002</v>
      </c>
      <c r="R41" s="69">
        <v>6.7786</v>
      </c>
      <c r="S41" s="69">
        <v>8.2549999999999998E-2</v>
      </c>
      <c r="T41" s="70"/>
      <c r="U41" s="71">
        <v>83</v>
      </c>
      <c r="V41" s="69">
        <v>-0.38329999999999997</v>
      </c>
      <c r="W41" s="69">
        <v>10.905099999999999</v>
      </c>
      <c r="X41" s="69">
        <v>8.9050000000000004E-2</v>
      </c>
      <c r="Y41" s="70"/>
      <c r="Z41" s="71">
        <v>83</v>
      </c>
      <c r="AA41" s="69">
        <v>-0.35210000000000002</v>
      </c>
      <c r="AB41" s="69">
        <v>11.1966</v>
      </c>
      <c r="AC41" s="69">
        <v>8.2250000000000004E-2</v>
      </c>
      <c r="AE41" s="75">
        <v>36</v>
      </c>
      <c r="AF41" s="76">
        <v>87.4</v>
      </c>
      <c r="AG41" s="76">
        <v>91.2</v>
      </c>
      <c r="AH41" s="76">
        <v>95.1</v>
      </c>
      <c r="AI41" s="76">
        <v>98.9</v>
      </c>
      <c r="AJ41" s="77">
        <v>102.7</v>
      </c>
      <c r="AL41" s="75">
        <v>36</v>
      </c>
      <c r="AM41" s="76">
        <v>88.7</v>
      </c>
      <c r="AN41" s="76">
        <v>92.4</v>
      </c>
      <c r="AO41" s="76">
        <v>96.1</v>
      </c>
      <c r="AP41" s="76">
        <v>99.8</v>
      </c>
      <c r="AQ41" s="77">
        <v>103.5</v>
      </c>
      <c r="AS41" s="75">
        <v>36</v>
      </c>
      <c r="AT41" s="76">
        <v>45.7</v>
      </c>
      <c r="AU41" s="76">
        <v>47.1</v>
      </c>
      <c r="AV41" s="76">
        <v>48.5</v>
      </c>
      <c r="AW41" s="76">
        <v>49.9</v>
      </c>
      <c r="AX41" s="77">
        <v>51.3</v>
      </c>
      <c r="AZ41" s="75">
        <v>36</v>
      </c>
      <c r="BA41" s="76">
        <v>46.6</v>
      </c>
      <c r="BB41" s="76">
        <v>48</v>
      </c>
      <c r="BC41" s="76">
        <v>49.5</v>
      </c>
      <c r="BD41" s="76">
        <v>50.9</v>
      </c>
      <c r="BE41" s="77">
        <v>52.3</v>
      </c>
    </row>
    <row r="42" spans="1:57">
      <c r="A42" s="68">
        <v>37</v>
      </c>
      <c r="B42" s="69">
        <v>-0.3216</v>
      </c>
      <c r="C42" s="69">
        <v>14.038500000000001</v>
      </c>
      <c r="D42" s="69">
        <v>0.12988</v>
      </c>
      <c r="E42" s="70"/>
      <c r="F42" s="68">
        <v>37</v>
      </c>
      <c r="G42" s="69">
        <v>-7.2900000000000006E-2</v>
      </c>
      <c r="H42" s="69">
        <v>14.5113</v>
      </c>
      <c r="I42" s="69">
        <v>0.12168</v>
      </c>
      <c r="K42" s="71">
        <v>63.5</v>
      </c>
      <c r="L42" s="69">
        <v>-0.38329999999999997</v>
      </c>
      <c r="M42" s="69">
        <v>6.7328000000000001</v>
      </c>
      <c r="N42" s="69">
        <v>9.1289999999999996E-2</v>
      </c>
      <c r="O42" s="70"/>
      <c r="P42" s="71">
        <v>63.5</v>
      </c>
      <c r="Q42" s="69">
        <v>-0.35210000000000002</v>
      </c>
      <c r="R42" s="69">
        <v>6.9028</v>
      </c>
      <c r="S42" s="69">
        <v>8.2449999999999996E-2</v>
      </c>
      <c r="T42" s="70"/>
      <c r="U42" s="71">
        <v>83.5</v>
      </c>
      <c r="V42" s="69">
        <v>-0.38329999999999997</v>
      </c>
      <c r="W42" s="69">
        <v>11.024800000000001</v>
      </c>
      <c r="X42" s="69">
        <v>8.9020000000000002E-2</v>
      </c>
      <c r="Y42" s="70"/>
      <c r="Z42" s="71">
        <v>83.5</v>
      </c>
      <c r="AA42" s="69">
        <v>-0.35210000000000002</v>
      </c>
      <c r="AB42" s="69">
        <v>11.311400000000001</v>
      </c>
      <c r="AC42" s="69">
        <v>8.2089999999999996E-2</v>
      </c>
      <c r="AE42" s="75">
        <v>37</v>
      </c>
      <c r="AF42" s="76">
        <v>88</v>
      </c>
      <c r="AG42" s="76">
        <v>91.9</v>
      </c>
      <c r="AH42" s="76">
        <v>95.7</v>
      </c>
      <c r="AI42" s="76">
        <v>99.6</v>
      </c>
      <c r="AJ42" s="77">
        <v>103.4</v>
      </c>
      <c r="AL42" s="75">
        <v>37</v>
      </c>
      <c r="AM42" s="76">
        <v>89.2</v>
      </c>
      <c r="AN42" s="76">
        <v>93</v>
      </c>
      <c r="AO42" s="76">
        <v>96.7</v>
      </c>
      <c r="AP42" s="76">
        <v>100.5</v>
      </c>
      <c r="AQ42" s="77">
        <v>104.2</v>
      </c>
      <c r="AS42" s="75">
        <v>37</v>
      </c>
      <c r="AT42" s="76">
        <v>45.8</v>
      </c>
      <c r="AU42" s="76">
        <v>47.2</v>
      </c>
      <c r="AV42" s="76">
        <v>48.6</v>
      </c>
      <c r="AW42" s="76">
        <v>50</v>
      </c>
      <c r="AX42" s="77">
        <v>51.4</v>
      </c>
      <c r="AZ42" s="75">
        <v>37</v>
      </c>
      <c r="BA42" s="76">
        <v>46.7</v>
      </c>
      <c r="BB42" s="76">
        <v>48.1</v>
      </c>
      <c r="BC42" s="76">
        <v>49.5</v>
      </c>
      <c r="BD42" s="76">
        <v>51</v>
      </c>
      <c r="BE42" s="77">
        <v>52.4</v>
      </c>
    </row>
    <row r="43" spans="1:57">
      <c r="A43" s="68">
        <v>38</v>
      </c>
      <c r="B43" s="69">
        <v>-0.32300000000000001</v>
      </c>
      <c r="C43" s="69">
        <v>14.2265</v>
      </c>
      <c r="D43" s="69">
        <v>0.13059000000000001</v>
      </c>
      <c r="E43" s="70"/>
      <c r="F43" s="68">
        <v>38</v>
      </c>
      <c r="G43" s="69">
        <v>-7.6899999999999996E-2</v>
      </c>
      <c r="H43" s="69">
        <v>14.6791</v>
      </c>
      <c r="I43" s="69">
        <v>0.1222</v>
      </c>
      <c r="K43" s="71">
        <v>64</v>
      </c>
      <c r="L43" s="69">
        <v>-0.38329999999999997</v>
      </c>
      <c r="M43" s="69">
        <v>6.8501000000000003</v>
      </c>
      <c r="N43" s="69">
        <v>9.1259999999999994E-2</v>
      </c>
      <c r="O43" s="70"/>
      <c r="P43" s="71">
        <v>64</v>
      </c>
      <c r="Q43" s="69">
        <v>-0.35210000000000002</v>
      </c>
      <c r="R43" s="69">
        <v>7.0255000000000001</v>
      </c>
      <c r="S43" s="69">
        <v>8.2360000000000003E-2</v>
      </c>
      <c r="T43" s="70"/>
      <c r="U43" s="71">
        <v>84</v>
      </c>
      <c r="V43" s="69">
        <v>-0.38329999999999997</v>
      </c>
      <c r="W43" s="69">
        <v>11.1462</v>
      </c>
      <c r="X43" s="69">
        <v>8.899E-2</v>
      </c>
      <c r="Y43" s="70"/>
      <c r="Z43" s="71">
        <v>84</v>
      </c>
      <c r="AA43" s="69">
        <v>-0.35210000000000002</v>
      </c>
      <c r="AB43" s="69">
        <v>11.429</v>
      </c>
      <c r="AC43" s="69">
        <v>8.1909999999999997E-2</v>
      </c>
      <c r="AE43" s="75">
        <v>38</v>
      </c>
      <c r="AF43" s="76">
        <v>88.6</v>
      </c>
      <c r="AG43" s="76">
        <v>92.5</v>
      </c>
      <c r="AH43" s="76">
        <v>96.4</v>
      </c>
      <c r="AI43" s="76">
        <v>100.3</v>
      </c>
      <c r="AJ43" s="77">
        <v>104.2</v>
      </c>
      <c r="AL43" s="75">
        <v>38</v>
      </c>
      <c r="AM43" s="76">
        <v>89.8</v>
      </c>
      <c r="AN43" s="76">
        <v>93.6</v>
      </c>
      <c r="AO43" s="76">
        <v>97.4</v>
      </c>
      <c r="AP43" s="76">
        <v>101.2</v>
      </c>
      <c r="AQ43" s="77">
        <v>105</v>
      </c>
      <c r="AS43" s="75">
        <v>38</v>
      </c>
      <c r="AT43" s="76">
        <v>45.8</v>
      </c>
      <c r="AU43" s="76">
        <v>47.3</v>
      </c>
      <c r="AV43" s="76">
        <v>48.7</v>
      </c>
      <c r="AW43" s="76">
        <v>50.1</v>
      </c>
      <c r="AX43" s="77">
        <v>51.5</v>
      </c>
      <c r="AZ43" s="75">
        <v>38</v>
      </c>
      <c r="BA43" s="76">
        <v>46.8</v>
      </c>
      <c r="BB43" s="76">
        <v>48.2</v>
      </c>
      <c r="BC43" s="76">
        <v>49.6</v>
      </c>
      <c r="BD43" s="76">
        <v>51</v>
      </c>
      <c r="BE43" s="77">
        <v>52.5</v>
      </c>
    </row>
    <row r="44" spans="1:57">
      <c r="A44" s="68">
        <v>39</v>
      </c>
      <c r="B44" s="69">
        <v>-0.32429999999999998</v>
      </c>
      <c r="C44" s="69">
        <v>14.414</v>
      </c>
      <c r="D44" s="69">
        <v>0.13134999999999999</v>
      </c>
      <c r="E44" s="70"/>
      <c r="F44" s="68">
        <v>39</v>
      </c>
      <c r="G44" s="69">
        <v>-8.0799999999999997E-2</v>
      </c>
      <c r="H44" s="69">
        <v>14.8466</v>
      </c>
      <c r="I44" s="69">
        <v>0.12271</v>
      </c>
      <c r="K44" s="71">
        <v>64.5</v>
      </c>
      <c r="L44" s="69">
        <v>-0.38329999999999997</v>
      </c>
      <c r="M44" s="69">
        <v>6.9661999999999997</v>
      </c>
      <c r="N44" s="69">
        <v>9.1230000000000006E-2</v>
      </c>
      <c r="O44" s="70"/>
      <c r="P44" s="71">
        <v>64.5</v>
      </c>
      <c r="Q44" s="69">
        <v>-0.35210000000000002</v>
      </c>
      <c r="R44" s="69">
        <v>7.1467000000000001</v>
      </c>
      <c r="S44" s="69">
        <v>8.2290000000000002E-2</v>
      </c>
      <c r="T44" s="70"/>
      <c r="U44" s="71">
        <v>84.5</v>
      </c>
      <c r="V44" s="69">
        <v>-0.38329999999999997</v>
      </c>
      <c r="W44" s="69">
        <v>11.2691</v>
      </c>
      <c r="X44" s="69">
        <v>8.8969999999999994E-2</v>
      </c>
      <c r="Y44" s="70"/>
      <c r="Z44" s="71">
        <v>84.5</v>
      </c>
      <c r="AA44" s="69">
        <v>-0.35210000000000002</v>
      </c>
      <c r="AB44" s="69">
        <v>11.548999999999999</v>
      </c>
      <c r="AC44" s="69">
        <v>8.1739999999999993E-2</v>
      </c>
      <c r="AE44" s="75">
        <v>39</v>
      </c>
      <c r="AF44" s="76">
        <v>89.2</v>
      </c>
      <c r="AG44" s="76">
        <v>93.1</v>
      </c>
      <c r="AH44" s="76">
        <v>97.1</v>
      </c>
      <c r="AI44" s="76">
        <v>101</v>
      </c>
      <c r="AJ44" s="77">
        <v>105</v>
      </c>
      <c r="AL44" s="75">
        <v>39</v>
      </c>
      <c r="AM44" s="76">
        <v>90.3</v>
      </c>
      <c r="AN44" s="76">
        <v>94.2</v>
      </c>
      <c r="AO44" s="76">
        <v>98</v>
      </c>
      <c r="AP44" s="76">
        <v>101.8</v>
      </c>
      <c r="AQ44" s="77">
        <v>105.7</v>
      </c>
      <c r="AS44" s="75">
        <v>39</v>
      </c>
      <c r="AT44" s="76">
        <v>45.9</v>
      </c>
      <c r="AU44" s="76">
        <v>47.3</v>
      </c>
      <c r="AV44" s="76">
        <v>48.7</v>
      </c>
      <c r="AW44" s="76">
        <v>50.2</v>
      </c>
      <c r="AX44" s="77">
        <v>51.6</v>
      </c>
      <c r="AZ44" s="75">
        <v>39</v>
      </c>
      <c r="BA44" s="76">
        <v>46.8</v>
      </c>
      <c r="BB44" s="76">
        <v>48.2</v>
      </c>
      <c r="BC44" s="76">
        <v>49.7</v>
      </c>
      <c r="BD44" s="76">
        <v>51.1</v>
      </c>
      <c r="BE44" s="77">
        <v>52.5</v>
      </c>
    </row>
    <row r="45" spans="1:57">
      <c r="A45" s="68">
        <v>40</v>
      </c>
      <c r="B45" s="69">
        <v>-0.32569999999999999</v>
      </c>
      <c r="C45" s="69">
        <v>14.601000000000001</v>
      </c>
      <c r="D45" s="69">
        <v>0.13213</v>
      </c>
      <c r="E45" s="70"/>
      <c r="F45" s="68">
        <v>40</v>
      </c>
      <c r="G45" s="69">
        <v>-8.4599999999999995E-2</v>
      </c>
      <c r="H45" s="69">
        <v>15.013999999999999</v>
      </c>
      <c r="I45" s="69">
        <v>0.12322</v>
      </c>
      <c r="K45" s="71">
        <v>65</v>
      </c>
      <c r="L45" s="69">
        <v>-0.38329999999999997</v>
      </c>
      <c r="M45" s="69">
        <v>7.0811999999999999</v>
      </c>
      <c r="N45" s="69">
        <v>9.1189999999999993E-2</v>
      </c>
      <c r="O45" s="70"/>
      <c r="P45" s="71">
        <v>65</v>
      </c>
      <c r="Q45" s="69">
        <v>-0.35210000000000002</v>
      </c>
      <c r="R45" s="69">
        <v>7.2666000000000004</v>
      </c>
      <c r="S45" s="69">
        <v>8.2229999999999998E-2</v>
      </c>
      <c r="T45" s="70"/>
      <c r="U45" s="71">
        <v>85</v>
      </c>
      <c r="V45" s="69">
        <v>-0.38329999999999997</v>
      </c>
      <c r="W45" s="69">
        <v>11.3934</v>
      </c>
      <c r="X45" s="69">
        <v>8.8959999999999997E-2</v>
      </c>
      <c r="Y45" s="70"/>
      <c r="Z45" s="71">
        <v>85</v>
      </c>
      <c r="AA45" s="69">
        <v>-0.35210000000000002</v>
      </c>
      <c r="AB45" s="69">
        <v>11.6707</v>
      </c>
      <c r="AC45" s="69">
        <v>8.1559999999999994E-2</v>
      </c>
      <c r="AE45" s="75">
        <v>40</v>
      </c>
      <c r="AF45" s="76">
        <v>89.8</v>
      </c>
      <c r="AG45" s="76">
        <v>93.8</v>
      </c>
      <c r="AH45" s="76">
        <v>97.7</v>
      </c>
      <c r="AI45" s="76">
        <v>101.7</v>
      </c>
      <c r="AJ45" s="77">
        <v>105.7</v>
      </c>
      <c r="AL45" s="75">
        <v>40</v>
      </c>
      <c r="AM45" s="76">
        <v>90.9</v>
      </c>
      <c r="AN45" s="76">
        <v>94.7</v>
      </c>
      <c r="AO45" s="76">
        <v>98.6</v>
      </c>
      <c r="AP45" s="76">
        <v>102.5</v>
      </c>
      <c r="AQ45" s="77">
        <v>106.4</v>
      </c>
      <c r="AS45" s="75">
        <v>40</v>
      </c>
      <c r="AT45" s="76">
        <v>46</v>
      </c>
      <c r="AU45" s="76">
        <v>47.4</v>
      </c>
      <c r="AV45" s="76">
        <v>48.8</v>
      </c>
      <c r="AW45" s="76">
        <v>50.2</v>
      </c>
      <c r="AX45" s="77">
        <v>51.7</v>
      </c>
      <c r="AZ45" s="75">
        <v>40</v>
      </c>
      <c r="BA45" s="76">
        <v>46.9</v>
      </c>
      <c r="BB45" s="76">
        <v>48.3</v>
      </c>
      <c r="BC45" s="76">
        <v>49.7</v>
      </c>
      <c r="BD45" s="76">
        <v>51.2</v>
      </c>
      <c r="BE45" s="77">
        <v>52.6</v>
      </c>
    </row>
    <row r="46" spans="1:57">
      <c r="A46" s="68">
        <v>41</v>
      </c>
      <c r="B46" s="69">
        <v>-0.32700000000000001</v>
      </c>
      <c r="C46" s="69">
        <v>14.7873</v>
      </c>
      <c r="D46" s="69">
        <v>0.13292999999999999</v>
      </c>
      <c r="E46" s="70"/>
      <c r="F46" s="68">
        <v>41</v>
      </c>
      <c r="G46" s="69">
        <v>-8.8300000000000003E-2</v>
      </c>
      <c r="H46" s="69">
        <v>15.1813</v>
      </c>
      <c r="I46" s="69">
        <v>0.12373000000000001</v>
      </c>
      <c r="K46" s="71">
        <v>65.5</v>
      </c>
      <c r="L46" s="69">
        <v>-0.38329999999999997</v>
      </c>
      <c r="M46" s="69">
        <v>7.1950000000000003</v>
      </c>
      <c r="N46" s="69">
        <v>9.1149999999999995E-2</v>
      </c>
      <c r="O46" s="70"/>
      <c r="P46" s="71">
        <v>65.5</v>
      </c>
      <c r="Q46" s="69">
        <v>-0.35210000000000002</v>
      </c>
      <c r="R46" s="69">
        <v>7.3853999999999997</v>
      </c>
      <c r="S46" s="69">
        <v>8.2180000000000003E-2</v>
      </c>
      <c r="T46" s="70"/>
      <c r="U46" s="71">
        <v>85.5</v>
      </c>
      <c r="V46" s="69">
        <v>-0.38329999999999997</v>
      </c>
      <c r="W46" s="69">
        <v>11.518599999999999</v>
      </c>
      <c r="X46" s="69">
        <v>8.8950000000000001E-2</v>
      </c>
      <c r="Y46" s="70"/>
      <c r="Z46" s="71">
        <v>85.5</v>
      </c>
      <c r="AA46" s="69">
        <v>-0.35210000000000002</v>
      </c>
      <c r="AB46" s="69">
        <v>11.793699999999999</v>
      </c>
      <c r="AC46" s="69">
        <v>8.1379999999999994E-2</v>
      </c>
      <c r="AE46" s="75">
        <v>41</v>
      </c>
      <c r="AF46" s="76">
        <v>90.4</v>
      </c>
      <c r="AG46" s="76">
        <v>94.4</v>
      </c>
      <c r="AH46" s="76">
        <v>98.4</v>
      </c>
      <c r="AI46" s="76">
        <v>102.4</v>
      </c>
      <c r="AJ46" s="77">
        <v>106.4</v>
      </c>
      <c r="AL46" s="75">
        <v>41</v>
      </c>
      <c r="AM46" s="76">
        <v>91.4</v>
      </c>
      <c r="AN46" s="76">
        <v>95.3</v>
      </c>
      <c r="AO46" s="76">
        <v>99.2</v>
      </c>
      <c r="AP46" s="76">
        <v>103.2</v>
      </c>
      <c r="AQ46" s="77">
        <v>107.1</v>
      </c>
      <c r="AS46" s="75">
        <v>41</v>
      </c>
      <c r="AT46" s="76">
        <v>46.1</v>
      </c>
      <c r="AU46" s="76">
        <v>47.5</v>
      </c>
      <c r="AV46" s="76">
        <v>48.9</v>
      </c>
      <c r="AW46" s="76">
        <v>50.3</v>
      </c>
      <c r="AX46" s="77">
        <v>51.7</v>
      </c>
      <c r="AZ46" s="75">
        <v>41</v>
      </c>
      <c r="BA46" s="76">
        <v>46.9</v>
      </c>
      <c r="BB46" s="76">
        <v>48.4</v>
      </c>
      <c r="BC46" s="76">
        <v>49.8</v>
      </c>
      <c r="BD46" s="76">
        <v>51.3</v>
      </c>
      <c r="BE46" s="77">
        <v>52.7</v>
      </c>
    </row>
    <row r="47" spans="1:57">
      <c r="A47" s="68">
        <v>42</v>
      </c>
      <c r="B47" s="69">
        <v>-0.32829999999999998</v>
      </c>
      <c r="C47" s="69">
        <v>14.9727</v>
      </c>
      <c r="D47" s="69">
        <v>0.13375999999999999</v>
      </c>
      <c r="E47" s="70"/>
      <c r="F47" s="68">
        <v>42</v>
      </c>
      <c r="G47" s="69">
        <v>-9.1999999999999998E-2</v>
      </c>
      <c r="H47" s="69">
        <v>15.348599999999999</v>
      </c>
      <c r="I47" s="69">
        <v>0.12425</v>
      </c>
      <c r="K47" s="71">
        <v>66</v>
      </c>
      <c r="L47" s="69">
        <v>-0.38329999999999997</v>
      </c>
      <c r="M47" s="69">
        <v>7.3075999999999999</v>
      </c>
      <c r="N47" s="69">
        <v>9.11E-2</v>
      </c>
      <c r="O47" s="70"/>
      <c r="P47" s="71">
        <v>66</v>
      </c>
      <c r="Q47" s="69">
        <v>-0.35210000000000002</v>
      </c>
      <c r="R47" s="69">
        <v>7.5034000000000001</v>
      </c>
      <c r="S47" s="69">
        <v>8.2150000000000001E-2</v>
      </c>
      <c r="T47" s="70"/>
      <c r="U47" s="71">
        <v>86</v>
      </c>
      <c r="V47" s="69">
        <v>-0.38329999999999997</v>
      </c>
      <c r="W47" s="69">
        <v>11.644399999999999</v>
      </c>
      <c r="X47" s="69">
        <v>8.8950000000000001E-2</v>
      </c>
      <c r="Y47" s="70"/>
      <c r="Z47" s="71">
        <v>86</v>
      </c>
      <c r="AA47" s="69">
        <v>-0.35210000000000002</v>
      </c>
      <c r="AB47" s="69">
        <v>11.917299999999999</v>
      </c>
      <c r="AC47" s="69">
        <v>8.1210000000000004E-2</v>
      </c>
      <c r="AE47" s="75">
        <v>42</v>
      </c>
      <c r="AF47" s="76">
        <v>90.9</v>
      </c>
      <c r="AG47" s="76">
        <v>95</v>
      </c>
      <c r="AH47" s="76">
        <v>99</v>
      </c>
      <c r="AI47" s="76">
        <v>103.1</v>
      </c>
      <c r="AJ47" s="77">
        <v>107.2</v>
      </c>
      <c r="AL47" s="75">
        <v>42</v>
      </c>
      <c r="AM47" s="76">
        <v>91.9</v>
      </c>
      <c r="AN47" s="76">
        <v>95.9</v>
      </c>
      <c r="AO47" s="76">
        <v>99.9</v>
      </c>
      <c r="AP47" s="76">
        <v>103.8</v>
      </c>
      <c r="AQ47" s="77">
        <v>107.8</v>
      </c>
      <c r="AS47" s="75">
        <v>42</v>
      </c>
      <c r="AT47" s="76">
        <v>46.1</v>
      </c>
      <c r="AU47" s="76">
        <v>47.5</v>
      </c>
      <c r="AV47" s="76">
        <v>49</v>
      </c>
      <c r="AW47" s="76">
        <v>50.4</v>
      </c>
      <c r="AX47" s="77">
        <v>51.8</v>
      </c>
      <c r="AZ47" s="75">
        <v>42</v>
      </c>
      <c r="BA47" s="76">
        <v>47</v>
      </c>
      <c r="BB47" s="76">
        <v>48.4</v>
      </c>
      <c r="BC47" s="76">
        <v>49.9</v>
      </c>
      <c r="BD47" s="76">
        <v>51.3</v>
      </c>
      <c r="BE47" s="77">
        <v>52.8</v>
      </c>
    </row>
    <row r="48" spans="1:57">
      <c r="A48" s="68">
        <v>43</v>
      </c>
      <c r="B48" s="69">
        <v>-0.3296</v>
      </c>
      <c r="C48" s="69">
        <v>15.157299999999999</v>
      </c>
      <c r="D48" s="69">
        <v>0.1346</v>
      </c>
      <c r="E48" s="70"/>
      <c r="F48" s="68">
        <v>43</v>
      </c>
      <c r="G48" s="69">
        <v>-9.5699999999999993E-2</v>
      </c>
      <c r="H48" s="69">
        <v>15.5158</v>
      </c>
      <c r="I48" s="69">
        <v>0.12478</v>
      </c>
      <c r="K48" s="71">
        <v>66.5</v>
      </c>
      <c r="L48" s="69">
        <v>-0.38329999999999997</v>
      </c>
      <c r="M48" s="69">
        <v>7.4188999999999998</v>
      </c>
      <c r="N48" s="69">
        <v>9.1060000000000002E-2</v>
      </c>
      <c r="O48" s="70"/>
      <c r="P48" s="71">
        <v>66.5</v>
      </c>
      <c r="Q48" s="69">
        <v>-0.35210000000000002</v>
      </c>
      <c r="R48" s="69">
        <v>7.6205999999999996</v>
      </c>
      <c r="S48" s="69">
        <v>8.2129999999999995E-2</v>
      </c>
      <c r="T48" s="70"/>
      <c r="U48" s="71">
        <v>86.5</v>
      </c>
      <c r="V48" s="69">
        <v>-0.38329999999999997</v>
      </c>
      <c r="W48" s="69">
        <v>11.7705</v>
      </c>
      <c r="X48" s="69">
        <v>8.8950000000000001E-2</v>
      </c>
      <c r="Y48" s="70"/>
      <c r="Z48" s="71">
        <v>86.5</v>
      </c>
      <c r="AA48" s="69">
        <v>-0.35210000000000002</v>
      </c>
      <c r="AB48" s="69">
        <v>12.0411</v>
      </c>
      <c r="AC48" s="69">
        <v>8.1049999999999997E-2</v>
      </c>
      <c r="AE48" s="75">
        <v>43</v>
      </c>
      <c r="AF48" s="76">
        <v>91.5</v>
      </c>
      <c r="AG48" s="76">
        <v>95.6</v>
      </c>
      <c r="AH48" s="76">
        <v>99.7</v>
      </c>
      <c r="AI48" s="76">
        <v>103.8</v>
      </c>
      <c r="AJ48" s="77">
        <v>107.9</v>
      </c>
      <c r="AL48" s="75">
        <v>43</v>
      </c>
      <c r="AM48" s="76">
        <v>92.4</v>
      </c>
      <c r="AN48" s="76">
        <v>96.4</v>
      </c>
      <c r="AO48" s="76">
        <v>100.4</v>
      </c>
      <c r="AP48" s="76">
        <v>104.5</v>
      </c>
      <c r="AQ48" s="77">
        <v>108.5</v>
      </c>
      <c r="AS48" s="75">
        <v>43</v>
      </c>
      <c r="AT48" s="76">
        <v>46.2</v>
      </c>
      <c r="AU48" s="76">
        <v>47.6</v>
      </c>
      <c r="AV48" s="76">
        <v>49</v>
      </c>
      <c r="AW48" s="76">
        <v>50.4</v>
      </c>
      <c r="AX48" s="77">
        <v>51.9</v>
      </c>
      <c r="AZ48" s="75">
        <v>43</v>
      </c>
      <c r="BA48" s="76">
        <v>47</v>
      </c>
      <c r="BB48" s="76">
        <v>48.5</v>
      </c>
      <c r="BC48" s="76">
        <v>49.9</v>
      </c>
      <c r="BD48" s="76">
        <v>51.4</v>
      </c>
      <c r="BE48" s="77">
        <v>52.8</v>
      </c>
    </row>
    <row r="49" spans="1:57">
      <c r="A49" s="68">
        <v>44</v>
      </c>
      <c r="B49" s="69">
        <v>-0.33090000000000003</v>
      </c>
      <c r="C49" s="69">
        <v>15.340999999999999</v>
      </c>
      <c r="D49" s="69">
        <v>0.13544999999999999</v>
      </c>
      <c r="E49" s="70"/>
      <c r="F49" s="68">
        <v>44</v>
      </c>
      <c r="G49" s="69">
        <v>-9.9299999999999999E-2</v>
      </c>
      <c r="H49" s="69">
        <v>15.6828</v>
      </c>
      <c r="I49" s="69">
        <v>0.12531</v>
      </c>
      <c r="K49" s="71">
        <v>67</v>
      </c>
      <c r="L49" s="69">
        <v>-0.38329999999999997</v>
      </c>
      <c r="M49" s="69">
        <v>7.5288000000000004</v>
      </c>
      <c r="N49" s="69">
        <v>9.1009999999999994E-2</v>
      </c>
      <c r="O49" s="70"/>
      <c r="P49" s="71">
        <v>67</v>
      </c>
      <c r="Q49" s="69">
        <v>-0.35210000000000002</v>
      </c>
      <c r="R49" s="69">
        <v>7.7370000000000001</v>
      </c>
      <c r="S49" s="69">
        <v>8.2119999999999999E-2</v>
      </c>
      <c r="T49" s="70"/>
      <c r="U49" s="71">
        <v>87</v>
      </c>
      <c r="V49" s="69">
        <v>-0.38329999999999997</v>
      </c>
      <c r="W49" s="69">
        <v>11.8965</v>
      </c>
      <c r="X49" s="69">
        <v>8.8959999999999997E-2</v>
      </c>
      <c r="Y49" s="70"/>
      <c r="Z49" s="71">
        <v>87</v>
      </c>
      <c r="AA49" s="69">
        <v>-0.35210000000000002</v>
      </c>
      <c r="AB49" s="69">
        <v>12.1645</v>
      </c>
      <c r="AC49" s="69">
        <v>8.09E-2</v>
      </c>
      <c r="AE49" s="75">
        <v>44</v>
      </c>
      <c r="AF49" s="76">
        <v>92</v>
      </c>
      <c r="AG49" s="76">
        <v>96.2</v>
      </c>
      <c r="AH49" s="76">
        <v>100.3</v>
      </c>
      <c r="AI49" s="76">
        <v>104.5</v>
      </c>
      <c r="AJ49" s="77">
        <v>108.6</v>
      </c>
      <c r="AL49" s="75">
        <v>44</v>
      </c>
      <c r="AM49" s="76">
        <v>93</v>
      </c>
      <c r="AN49" s="76">
        <v>97</v>
      </c>
      <c r="AO49" s="76">
        <v>101</v>
      </c>
      <c r="AP49" s="76">
        <v>105.1</v>
      </c>
      <c r="AQ49" s="77">
        <v>109.1</v>
      </c>
      <c r="AS49" s="75">
        <v>44</v>
      </c>
      <c r="AT49" s="76">
        <v>46.3</v>
      </c>
      <c r="AU49" s="76">
        <v>47.7</v>
      </c>
      <c r="AV49" s="76">
        <v>49.1</v>
      </c>
      <c r="AW49" s="76">
        <v>50.5</v>
      </c>
      <c r="AX49" s="77">
        <v>51.9</v>
      </c>
      <c r="AZ49" s="75">
        <v>44</v>
      </c>
      <c r="BA49" s="76">
        <v>47.1</v>
      </c>
      <c r="BB49" s="76">
        <v>48.5</v>
      </c>
      <c r="BC49" s="76">
        <v>50</v>
      </c>
      <c r="BD49" s="76">
        <v>51.4</v>
      </c>
      <c r="BE49" s="77">
        <v>52.9</v>
      </c>
    </row>
    <row r="50" spans="1:57">
      <c r="A50" s="68">
        <v>45</v>
      </c>
      <c r="B50" s="69">
        <v>-0.3322</v>
      </c>
      <c r="C50" s="69">
        <v>15.523999999999999</v>
      </c>
      <c r="D50" s="69">
        <v>0.1363</v>
      </c>
      <c r="E50" s="70"/>
      <c r="F50" s="68">
        <v>45</v>
      </c>
      <c r="G50" s="69">
        <v>-0.1028</v>
      </c>
      <c r="H50" s="69">
        <v>15.8497</v>
      </c>
      <c r="I50" s="69">
        <v>0.12586</v>
      </c>
      <c r="K50" s="71">
        <v>67.5</v>
      </c>
      <c r="L50" s="69">
        <v>-0.38329999999999997</v>
      </c>
      <c r="M50" s="69">
        <v>7.6375000000000002</v>
      </c>
      <c r="N50" s="69">
        <v>9.0959999999999999E-2</v>
      </c>
      <c r="O50" s="70"/>
      <c r="P50" s="71">
        <v>67.5</v>
      </c>
      <c r="Q50" s="69">
        <v>-0.35210000000000002</v>
      </c>
      <c r="R50" s="69">
        <v>7.8525999999999998</v>
      </c>
      <c r="S50" s="69">
        <v>8.2119999999999999E-2</v>
      </c>
      <c r="T50" s="70"/>
      <c r="U50" s="71">
        <v>87.5</v>
      </c>
      <c r="V50" s="69">
        <v>-0.38329999999999997</v>
      </c>
      <c r="W50" s="69">
        <v>12.0223</v>
      </c>
      <c r="X50" s="69">
        <v>8.8969999999999994E-2</v>
      </c>
      <c r="Y50" s="70"/>
      <c r="Z50" s="71">
        <v>87.5</v>
      </c>
      <c r="AA50" s="69">
        <v>-0.35210000000000002</v>
      </c>
      <c r="AB50" s="69">
        <v>12.287100000000001</v>
      </c>
      <c r="AC50" s="69">
        <v>8.0759999999999998E-2</v>
      </c>
      <c r="AE50" s="75">
        <v>45</v>
      </c>
      <c r="AF50" s="76">
        <v>92.5</v>
      </c>
      <c r="AG50" s="76">
        <v>96.7</v>
      </c>
      <c r="AH50" s="76">
        <v>100.9</v>
      </c>
      <c r="AI50" s="76">
        <v>105.1</v>
      </c>
      <c r="AJ50" s="77">
        <v>109.3</v>
      </c>
      <c r="AL50" s="75">
        <v>45</v>
      </c>
      <c r="AM50" s="76">
        <v>93.5</v>
      </c>
      <c r="AN50" s="76">
        <v>97.5</v>
      </c>
      <c r="AO50" s="76">
        <v>101.6</v>
      </c>
      <c r="AP50" s="76">
        <v>105.7</v>
      </c>
      <c r="AQ50" s="77">
        <v>109.8</v>
      </c>
      <c r="AS50" s="75">
        <v>45</v>
      </c>
      <c r="AT50" s="76">
        <v>46.3</v>
      </c>
      <c r="AU50" s="76">
        <v>47.7</v>
      </c>
      <c r="AV50" s="76">
        <v>49.2</v>
      </c>
      <c r="AW50" s="76">
        <v>50.6</v>
      </c>
      <c r="AX50" s="77">
        <v>52</v>
      </c>
      <c r="AZ50" s="75">
        <v>45</v>
      </c>
      <c r="BA50" s="76">
        <v>47.1</v>
      </c>
      <c r="BB50" s="76">
        <v>48.6</v>
      </c>
      <c r="BC50" s="76">
        <v>50.1</v>
      </c>
      <c r="BD50" s="76">
        <v>51.5</v>
      </c>
      <c r="BE50" s="77">
        <v>53</v>
      </c>
    </row>
    <row r="51" spans="1:57">
      <c r="A51" s="68">
        <v>46</v>
      </c>
      <c r="B51" s="69">
        <v>-0.33350000000000002</v>
      </c>
      <c r="C51" s="69">
        <v>15.7064</v>
      </c>
      <c r="D51" s="69">
        <v>0.13716</v>
      </c>
      <c r="E51" s="70"/>
      <c r="F51" s="68">
        <v>46</v>
      </c>
      <c r="G51" s="69">
        <v>-0.10630000000000001</v>
      </c>
      <c r="H51" s="69">
        <v>16.016300000000001</v>
      </c>
      <c r="I51" s="69">
        <v>0.12642999999999999</v>
      </c>
      <c r="K51" s="71">
        <v>68</v>
      </c>
      <c r="L51" s="69">
        <v>-0.38329999999999997</v>
      </c>
      <c r="M51" s="69">
        <v>7.7447999999999997</v>
      </c>
      <c r="N51" s="69">
        <v>9.0899999999999995E-2</v>
      </c>
      <c r="O51" s="70"/>
      <c r="P51" s="71">
        <v>68</v>
      </c>
      <c r="Q51" s="69">
        <v>-0.35210000000000002</v>
      </c>
      <c r="R51" s="69">
        <v>7.9673999999999996</v>
      </c>
      <c r="S51" s="69">
        <v>8.2140000000000005E-2</v>
      </c>
      <c r="T51" s="70"/>
      <c r="U51" s="71">
        <v>88</v>
      </c>
      <c r="V51" s="69">
        <v>-0.38329999999999997</v>
      </c>
      <c r="W51" s="69">
        <v>12.1478</v>
      </c>
      <c r="X51" s="69">
        <v>8.899E-2</v>
      </c>
      <c r="Y51" s="70"/>
      <c r="Z51" s="71">
        <v>88</v>
      </c>
      <c r="AA51" s="69">
        <v>-0.35210000000000002</v>
      </c>
      <c r="AB51" s="69">
        <v>12.408899999999999</v>
      </c>
      <c r="AC51" s="69">
        <v>8.0640000000000003E-2</v>
      </c>
      <c r="AE51" s="75">
        <v>46</v>
      </c>
      <c r="AF51" s="76">
        <v>93.1</v>
      </c>
      <c r="AG51" s="76">
        <v>97.3</v>
      </c>
      <c r="AH51" s="76">
        <v>101.5</v>
      </c>
      <c r="AI51" s="76">
        <v>105.8</v>
      </c>
      <c r="AJ51" s="77">
        <v>110</v>
      </c>
      <c r="AL51" s="75">
        <v>46</v>
      </c>
      <c r="AM51" s="76">
        <v>94</v>
      </c>
      <c r="AN51" s="76">
        <v>98.1</v>
      </c>
      <c r="AO51" s="76">
        <v>102.2</v>
      </c>
      <c r="AP51" s="76">
        <v>106.3</v>
      </c>
      <c r="AQ51" s="77">
        <v>110.4</v>
      </c>
      <c r="AS51" s="75">
        <v>46</v>
      </c>
      <c r="AT51" s="76">
        <v>46.4</v>
      </c>
      <c r="AU51" s="76">
        <v>47.8</v>
      </c>
      <c r="AV51" s="76">
        <v>49.2</v>
      </c>
      <c r="AW51" s="76">
        <v>50.6</v>
      </c>
      <c r="AX51" s="77">
        <v>52.1</v>
      </c>
      <c r="AZ51" s="75">
        <v>46</v>
      </c>
      <c r="BA51" s="76">
        <v>47.2</v>
      </c>
      <c r="BB51" s="76">
        <v>48.7</v>
      </c>
      <c r="BC51" s="76">
        <v>50.1</v>
      </c>
      <c r="BD51" s="76">
        <v>51.6</v>
      </c>
      <c r="BE51" s="77">
        <v>53</v>
      </c>
    </row>
    <row r="52" spans="1:57">
      <c r="A52" s="68">
        <v>47</v>
      </c>
      <c r="B52" s="69">
        <v>-0.33479999999999999</v>
      </c>
      <c r="C52" s="69">
        <v>15.888199999999999</v>
      </c>
      <c r="D52" s="69">
        <v>0.13800000000000001</v>
      </c>
      <c r="E52" s="70"/>
      <c r="F52" s="68">
        <v>47</v>
      </c>
      <c r="G52" s="69">
        <v>-0.10970000000000001</v>
      </c>
      <c r="H52" s="69">
        <v>16.182700000000001</v>
      </c>
      <c r="I52" s="69">
        <v>0.127</v>
      </c>
      <c r="K52" s="71">
        <v>68.5</v>
      </c>
      <c r="L52" s="69">
        <v>-0.38329999999999997</v>
      </c>
      <c r="M52" s="69">
        <v>7.8509000000000002</v>
      </c>
      <c r="N52" s="69">
        <v>9.085E-2</v>
      </c>
      <c r="O52" s="70"/>
      <c r="P52" s="71">
        <v>68.5</v>
      </c>
      <c r="Q52" s="69">
        <v>-0.35210000000000002</v>
      </c>
      <c r="R52" s="69">
        <v>8.0815999999999999</v>
      </c>
      <c r="S52" s="69">
        <v>8.2159999999999997E-2</v>
      </c>
      <c r="T52" s="70"/>
      <c r="U52" s="71">
        <v>88.5</v>
      </c>
      <c r="V52" s="69">
        <v>-0.38329999999999997</v>
      </c>
      <c r="W52" s="69">
        <v>12.2729</v>
      </c>
      <c r="X52" s="69">
        <v>8.9010000000000006E-2</v>
      </c>
      <c r="Y52" s="70"/>
      <c r="Z52" s="71">
        <v>88.5</v>
      </c>
      <c r="AA52" s="69">
        <v>-0.35210000000000002</v>
      </c>
      <c r="AB52" s="69">
        <v>12.5298</v>
      </c>
      <c r="AC52" s="69">
        <v>8.054E-2</v>
      </c>
      <c r="AE52" s="75">
        <v>47</v>
      </c>
      <c r="AF52" s="76">
        <v>93.6</v>
      </c>
      <c r="AG52" s="76">
        <v>97.9</v>
      </c>
      <c r="AH52" s="76">
        <v>102.1</v>
      </c>
      <c r="AI52" s="76">
        <v>106.4</v>
      </c>
      <c r="AJ52" s="77">
        <v>110.7</v>
      </c>
      <c r="AL52" s="75">
        <v>47</v>
      </c>
      <c r="AM52" s="76">
        <v>94.4</v>
      </c>
      <c r="AN52" s="76">
        <v>98.6</v>
      </c>
      <c r="AO52" s="76">
        <v>102.8</v>
      </c>
      <c r="AP52" s="76">
        <v>106.9</v>
      </c>
      <c r="AQ52" s="77">
        <v>111.1</v>
      </c>
      <c r="AS52" s="75">
        <v>47</v>
      </c>
      <c r="AT52" s="76">
        <v>46.4</v>
      </c>
      <c r="AU52" s="76">
        <v>47.9</v>
      </c>
      <c r="AV52" s="76">
        <v>49.3</v>
      </c>
      <c r="AW52" s="76">
        <v>50.7</v>
      </c>
      <c r="AX52" s="77">
        <v>52.1</v>
      </c>
      <c r="AZ52" s="75">
        <v>47</v>
      </c>
      <c r="BA52" s="76">
        <v>47.2</v>
      </c>
      <c r="BB52" s="76">
        <v>48.7</v>
      </c>
      <c r="BC52" s="76">
        <v>50.2</v>
      </c>
      <c r="BD52" s="76">
        <v>51.6</v>
      </c>
      <c r="BE52" s="77">
        <v>53.1</v>
      </c>
    </row>
    <row r="53" spans="1:57">
      <c r="A53" s="68">
        <v>48</v>
      </c>
      <c r="B53" s="69">
        <v>-0.33610000000000001</v>
      </c>
      <c r="C53" s="69">
        <v>16.069700000000001</v>
      </c>
      <c r="D53" s="69">
        <v>0.13883999999999999</v>
      </c>
      <c r="E53" s="70"/>
      <c r="F53" s="68">
        <v>48</v>
      </c>
      <c r="G53" s="69">
        <v>-0.11310000000000001</v>
      </c>
      <c r="H53" s="69">
        <v>16.3489</v>
      </c>
      <c r="I53" s="69">
        <v>0.12759000000000001</v>
      </c>
      <c r="K53" s="71">
        <v>69</v>
      </c>
      <c r="L53" s="69">
        <v>-0.38329999999999997</v>
      </c>
      <c r="M53" s="69">
        <v>7.9558999999999997</v>
      </c>
      <c r="N53" s="69">
        <v>9.0789999999999996E-2</v>
      </c>
      <c r="O53" s="70"/>
      <c r="P53" s="71">
        <v>69</v>
      </c>
      <c r="Q53" s="69">
        <v>-0.35210000000000002</v>
      </c>
      <c r="R53" s="69">
        <v>8.1954999999999991</v>
      </c>
      <c r="S53" s="69">
        <v>8.2189999999999999E-2</v>
      </c>
      <c r="T53" s="70"/>
      <c r="U53" s="71">
        <v>89</v>
      </c>
      <c r="V53" s="69">
        <v>-0.38329999999999997</v>
      </c>
      <c r="W53" s="69">
        <v>12.397600000000001</v>
      </c>
      <c r="X53" s="69">
        <v>8.9039999999999994E-2</v>
      </c>
      <c r="Y53" s="70"/>
      <c r="Z53" s="71">
        <v>89</v>
      </c>
      <c r="AA53" s="69">
        <v>-0.35210000000000002</v>
      </c>
      <c r="AB53" s="69">
        <v>12.6495</v>
      </c>
      <c r="AC53" s="69">
        <v>8.0449999999999994E-2</v>
      </c>
      <c r="AE53" s="75">
        <v>48</v>
      </c>
      <c r="AF53" s="76">
        <v>94.1</v>
      </c>
      <c r="AG53" s="76">
        <v>98.4</v>
      </c>
      <c r="AH53" s="76">
        <v>102.7</v>
      </c>
      <c r="AI53" s="76">
        <v>107</v>
      </c>
      <c r="AJ53" s="77">
        <v>111.3</v>
      </c>
      <c r="AL53" s="75">
        <v>48</v>
      </c>
      <c r="AM53" s="76">
        <v>94.9</v>
      </c>
      <c r="AN53" s="76">
        <v>99.1</v>
      </c>
      <c r="AO53" s="76">
        <v>103.3</v>
      </c>
      <c r="AP53" s="76">
        <v>107.5</v>
      </c>
      <c r="AQ53" s="77">
        <v>111.7</v>
      </c>
      <c r="AS53" s="75">
        <v>48</v>
      </c>
      <c r="AT53" s="76">
        <v>46.5</v>
      </c>
      <c r="AU53" s="76">
        <v>47.9</v>
      </c>
      <c r="AV53" s="76">
        <v>49.3</v>
      </c>
      <c r="AW53" s="76">
        <v>50.8</v>
      </c>
      <c r="AX53" s="77">
        <v>52.2</v>
      </c>
      <c r="AZ53" s="75">
        <v>48</v>
      </c>
      <c r="BA53" s="76">
        <v>47.3</v>
      </c>
      <c r="BB53" s="76">
        <v>48.7</v>
      </c>
      <c r="BC53" s="76">
        <v>50.2</v>
      </c>
      <c r="BD53" s="76">
        <v>51.7</v>
      </c>
      <c r="BE53" s="77">
        <v>53.1</v>
      </c>
    </row>
    <row r="54" spans="1:57">
      <c r="A54" s="68">
        <v>49</v>
      </c>
      <c r="B54" s="69">
        <v>-0.33739999999999998</v>
      </c>
      <c r="C54" s="69">
        <v>16.251100000000001</v>
      </c>
      <c r="D54" s="69">
        <v>0.13968</v>
      </c>
      <c r="E54" s="70"/>
      <c r="F54" s="68">
        <v>49</v>
      </c>
      <c r="G54" s="69">
        <v>-0.11650000000000001</v>
      </c>
      <c r="H54" s="69">
        <v>16.515000000000001</v>
      </c>
      <c r="I54" s="69">
        <v>0.12819</v>
      </c>
      <c r="K54" s="71">
        <v>69.5</v>
      </c>
      <c r="L54" s="69">
        <v>-0.38329999999999997</v>
      </c>
      <c r="M54" s="69">
        <v>8.0599000000000007</v>
      </c>
      <c r="N54" s="69">
        <v>9.0740000000000001E-2</v>
      </c>
      <c r="O54" s="70"/>
      <c r="P54" s="71">
        <v>69.5</v>
      </c>
      <c r="Q54" s="69">
        <v>-0.35210000000000002</v>
      </c>
      <c r="R54" s="69">
        <v>8.3092000000000006</v>
      </c>
      <c r="S54" s="69">
        <v>8.2239999999999994E-2</v>
      </c>
      <c r="T54" s="70"/>
      <c r="U54" s="71">
        <v>89.5</v>
      </c>
      <c r="V54" s="69">
        <v>-0.38329999999999997</v>
      </c>
      <c r="W54" s="69">
        <v>12.522</v>
      </c>
      <c r="X54" s="69">
        <v>8.9069999999999996E-2</v>
      </c>
      <c r="Y54" s="70"/>
      <c r="Z54" s="71">
        <v>89.5</v>
      </c>
      <c r="AA54" s="69">
        <v>-0.35210000000000002</v>
      </c>
      <c r="AB54" s="69">
        <v>12.7683</v>
      </c>
      <c r="AC54" s="69">
        <v>8.0379999999999993E-2</v>
      </c>
      <c r="AE54" s="75">
        <v>49</v>
      </c>
      <c r="AF54" s="76">
        <v>94.6</v>
      </c>
      <c r="AG54" s="76">
        <v>99</v>
      </c>
      <c r="AH54" s="76">
        <v>103.3</v>
      </c>
      <c r="AI54" s="76">
        <v>107.7</v>
      </c>
      <c r="AJ54" s="77">
        <v>112</v>
      </c>
      <c r="AL54" s="75">
        <v>49</v>
      </c>
      <c r="AM54" s="76">
        <v>95.4</v>
      </c>
      <c r="AN54" s="76">
        <v>99.7</v>
      </c>
      <c r="AO54" s="76">
        <v>103.9</v>
      </c>
      <c r="AP54" s="76">
        <v>108.1</v>
      </c>
      <c r="AQ54" s="77">
        <v>112.4</v>
      </c>
      <c r="AS54" s="75">
        <v>49</v>
      </c>
      <c r="AT54" s="76">
        <v>46.5</v>
      </c>
      <c r="AU54" s="76">
        <v>48</v>
      </c>
      <c r="AV54" s="76">
        <v>49.4</v>
      </c>
      <c r="AW54" s="76">
        <v>50.8</v>
      </c>
      <c r="AX54" s="77">
        <v>52.2</v>
      </c>
      <c r="AZ54" s="75">
        <v>49</v>
      </c>
      <c r="BA54" s="76">
        <v>47.3</v>
      </c>
      <c r="BB54" s="76">
        <v>48.8</v>
      </c>
      <c r="BC54" s="76">
        <v>50.3</v>
      </c>
      <c r="BD54" s="76">
        <v>51.7</v>
      </c>
      <c r="BE54" s="77">
        <v>53.2</v>
      </c>
    </row>
    <row r="55" spans="1:57">
      <c r="A55" s="68">
        <v>50</v>
      </c>
      <c r="B55" s="69">
        <v>-0.3387</v>
      </c>
      <c r="C55" s="69">
        <v>16.432200000000002</v>
      </c>
      <c r="D55" s="69">
        <v>0.14051</v>
      </c>
      <c r="E55" s="70"/>
      <c r="F55" s="68">
        <v>50</v>
      </c>
      <c r="G55" s="69">
        <v>-0.1198</v>
      </c>
      <c r="H55" s="69">
        <v>16.681100000000001</v>
      </c>
      <c r="I55" s="69">
        <v>0.1288</v>
      </c>
      <c r="K55" s="71">
        <v>70</v>
      </c>
      <c r="L55" s="69">
        <v>-0.38329999999999997</v>
      </c>
      <c r="M55" s="69">
        <v>8.1630000000000003</v>
      </c>
      <c r="N55" s="69">
        <v>9.0679999999999997E-2</v>
      </c>
      <c r="O55" s="70"/>
      <c r="P55" s="71">
        <v>70</v>
      </c>
      <c r="Q55" s="69">
        <v>-0.35210000000000002</v>
      </c>
      <c r="R55" s="69">
        <v>8.4227000000000007</v>
      </c>
      <c r="S55" s="69">
        <v>8.2290000000000002E-2</v>
      </c>
      <c r="T55" s="70"/>
      <c r="U55" s="71">
        <v>90</v>
      </c>
      <c r="V55" s="69">
        <v>-0.38329999999999997</v>
      </c>
      <c r="W55" s="69">
        <v>12.646100000000001</v>
      </c>
      <c r="X55" s="69">
        <v>8.9109999999999995E-2</v>
      </c>
      <c r="Y55" s="70"/>
      <c r="Z55" s="71">
        <v>90</v>
      </c>
      <c r="AA55" s="69">
        <v>-0.35210000000000002</v>
      </c>
      <c r="AB55" s="69">
        <v>12.8864</v>
      </c>
      <c r="AC55" s="69">
        <v>8.0320000000000003E-2</v>
      </c>
      <c r="AE55" s="75">
        <v>50</v>
      </c>
      <c r="AF55" s="76">
        <v>95.1</v>
      </c>
      <c r="AG55" s="76">
        <v>99.5</v>
      </c>
      <c r="AH55" s="76">
        <v>103.9</v>
      </c>
      <c r="AI55" s="76">
        <v>108.3</v>
      </c>
      <c r="AJ55" s="77">
        <v>112.7</v>
      </c>
      <c r="AL55" s="75">
        <v>50</v>
      </c>
      <c r="AM55" s="76">
        <v>95.9</v>
      </c>
      <c r="AN55" s="76">
        <v>100.2</v>
      </c>
      <c r="AO55" s="76">
        <v>104.4</v>
      </c>
      <c r="AP55" s="76">
        <v>108.7</v>
      </c>
      <c r="AQ55" s="77">
        <v>113</v>
      </c>
      <c r="AS55" s="75">
        <v>50</v>
      </c>
      <c r="AT55" s="76">
        <v>46.6</v>
      </c>
      <c r="AU55" s="76">
        <v>48</v>
      </c>
      <c r="AV55" s="76">
        <v>49.4</v>
      </c>
      <c r="AW55" s="76">
        <v>50.9</v>
      </c>
      <c r="AX55" s="77">
        <v>52.3</v>
      </c>
      <c r="AZ55" s="75">
        <v>50</v>
      </c>
      <c r="BA55" s="76">
        <v>47.4</v>
      </c>
      <c r="BB55" s="76">
        <v>48.8</v>
      </c>
      <c r="BC55" s="76">
        <v>50.3</v>
      </c>
      <c r="BD55" s="76">
        <v>51.8</v>
      </c>
      <c r="BE55" s="77">
        <v>53.2</v>
      </c>
    </row>
    <row r="56" spans="1:57">
      <c r="A56" s="68">
        <v>51</v>
      </c>
      <c r="B56" s="69">
        <v>-0.34</v>
      </c>
      <c r="C56" s="69">
        <v>16.613299999999999</v>
      </c>
      <c r="D56" s="69">
        <v>0.14132</v>
      </c>
      <c r="E56" s="70"/>
      <c r="F56" s="68">
        <v>51</v>
      </c>
      <c r="G56" s="69">
        <v>-0.123</v>
      </c>
      <c r="H56" s="69">
        <v>16.847100000000001</v>
      </c>
      <c r="I56" s="69">
        <v>0.12942999999999999</v>
      </c>
      <c r="K56" s="71">
        <v>70.5</v>
      </c>
      <c r="L56" s="69">
        <v>-0.38329999999999997</v>
      </c>
      <c r="M56" s="69">
        <v>8.2651000000000003</v>
      </c>
      <c r="N56" s="69">
        <v>9.0620000000000006E-2</v>
      </c>
      <c r="O56" s="70"/>
      <c r="P56" s="71">
        <v>70.5</v>
      </c>
      <c r="Q56" s="69">
        <v>-0.35210000000000002</v>
      </c>
      <c r="R56" s="69">
        <v>8.5358000000000001</v>
      </c>
      <c r="S56" s="69">
        <v>8.2350000000000007E-2</v>
      </c>
      <c r="T56" s="70"/>
      <c r="U56" s="71">
        <v>90.5</v>
      </c>
      <c r="V56" s="69">
        <v>-0.38329999999999997</v>
      </c>
      <c r="W56" s="69">
        <v>12.77</v>
      </c>
      <c r="X56" s="69">
        <v>8.9149999999999993E-2</v>
      </c>
      <c r="Y56" s="70"/>
      <c r="Z56" s="71">
        <v>90.5</v>
      </c>
      <c r="AA56" s="69">
        <v>-0.35210000000000002</v>
      </c>
      <c r="AB56" s="69">
        <v>13.0038</v>
      </c>
      <c r="AC56" s="69">
        <v>8.0280000000000004E-2</v>
      </c>
      <c r="AE56" s="75">
        <v>51</v>
      </c>
      <c r="AF56" s="76">
        <v>95.6</v>
      </c>
      <c r="AG56" s="76">
        <v>100.1</v>
      </c>
      <c r="AH56" s="76">
        <v>104.5</v>
      </c>
      <c r="AI56" s="76">
        <v>108.9</v>
      </c>
      <c r="AJ56" s="77">
        <v>113.3</v>
      </c>
      <c r="AL56" s="75">
        <v>51</v>
      </c>
      <c r="AM56" s="76">
        <v>96.4</v>
      </c>
      <c r="AN56" s="76">
        <v>100.7</v>
      </c>
      <c r="AO56" s="76">
        <v>105</v>
      </c>
      <c r="AP56" s="76">
        <v>109.3</v>
      </c>
      <c r="AQ56" s="77">
        <v>113.6</v>
      </c>
      <c r="AS56" s="75">
        <v>51</v>
      </c>
      <c r="AT56" s="76">
        <v>46.7</v>
      </c>
      <c r="AU56" s="76">
        <v>48.1</v>
      </c>
      <c r="AV56" s="76">
        <v>49.5</v>
      </c>
      <c r="AW56" s="76">
        <v>50.9</v>
      </c>
      <c r="AX56" s="77">
        <v>52.3</v>
      </c>
      <c r="AZ56" s="75">
        <v>51</v>
      </c>
      <c r="BA56" s="76">
        <v>47.4</v>
      </c>
      <c r="BB56" s="76">
        <v>48.9</v>
      </c>
      <c r="BC56" s="76">
        <v>50.4</v>
      </c>
      <c r="BD56" s="76">
        <v>51.8</v>
      </c>
      <c r="BE56" s="77">
        <v>53.3</v>
      </c>
    </row>
    <row r="57" spans="1:57">
      <c r="A57" s="68">
        <v>52</v>
      </c>
      <c r="B57" s="69">
        <v>-0.34139999999999998</v>
      </c>
      <c r="C57" s="69">
        <v>16.7942</v>
      </c>
      <c r="D57" s="69">
        <v>0.14213000000000001</v>
      </c>
      <c r="E57" s="70"/>
      <c r="F57" s="68">
        <v>52</v>
      </c>
      <c r="G57" s="69">
        <v>-0.12620000000000001</v>
      </c>
      <c r="H57" s="69">
        <v>17.013200000000001</v>
      </c>
      <c r="I57" s="69">
        <v>0.13005</v>
      </c>
      <c r="K57" s="71">
        <v>71</v>
      </c>
      <c r="L57" s="69">
        <v>-0.38329999999999997</v>
      </c>
      <c r="M57" s="69">
        <v>8.3666</v>
      </c>
      <c r="N57" s="69">
        <v>9.0560000000000002E-2</v>
      </c>
      <c r="O57" s="70"/>
      <c r="P57" s="71">
        <v>71</v>
      </c>
      <c r="Q57" s="69">
        <v>-0.35210000000000002</v>
      </c>
      <c r="R57" s="69">
        <v>8.6479999999999997</v>
      </c>
      <c r="S57" s="69">
        <v>8.2409999999999997E-2</v>
      </c>
      <c r="T57" s="70"/>
      <c r="U57" s="71">
        <v>91</v>
      </c>
      <c r="V57" s="69">
        <v>-0.38329999999999997</v>
      </c>
      <c r="W57" s="69">
        <v>12.8939</v>
      </c>
      <c r="X57" s="69">
        <v>8.9200000000000002E-2</v>
      </c>
      <c r="Y57" s="70"/>
      <c r="Z57" s="71">
        <v>91</v>
      </c>
      <c r="AA57" s="69">
        <v>-0.35210000000000002</v>
      </c>
      <c r="AB57" s="69">
        <v>13.120900000000001</v>
      </c>
      <c r="AC57" s="69">
        <v>8.0250000000000002E-2</v>
      </c>
      <c r="AE57" s="75">
        <v>52</v>
      </c>
      <c r="AF57" s="76">
        <v>96.1</v>
      </c>
      <c r="AG57" s="76">
        <v>100.6</v>
      </c>
      <c r="AH57" s="76">
        <v>105</v>
      </c>
      <c r="AI57" s="76">
        <v>109.5</v>
      </c>
      <c r="AJ57" s="77">
        <v>114</v>
      </c>
      <c r="AL57" s="75">
        <v>52</v>
      </c>
      <c r="AM57" s="76">
        <v>96.9</v>
      </c>
      <c r="AN57" s="76">
        <v>101.2</v>
      </c>
      <c r="AO57" s="76">
        <v>105.6</v>
      </c>
      <c r="AP57" s="76">
        <v>109.9</v>
      </c>
      <c r="AQ57" s="77">
        <v>114.2</v>
      </c>
      <c r="AS57" s="75">
        <v>52</v>
      </c>
      <c r="AT57" s="76">
        <v>46.7</v>
      </c>
      <c r="AU57" s="76">
        <v>48.1</v>
      </c>
      <c r="AV57" s="76">
        <v>49.5</v>
      </c>
      <c r="AW57" s="76">
        <v>51</v>
      </c>
      <c r="AX57" s="77">
        <v>52.4</v>
      </c>
      <c r="AZ57" s="75">
        <v>52</v>
      </c>
      <c r="BA57" s="76">
        <v>47.5</v>
      </c>
      <c r="BB57" s="76">
        <v>48.9</v>
      </c>
      <c r="BC57" s="76">
        <v>50.4</v>
      </c>
      <c r="BD57" s="76">
        <v>51.9</v>
      </c>
      <c r="BE57" s="77">
        <v>53.4</v>
      </c>
    </row>
    <row r="58" spans="1:57">
      <c r="A58" s="68">
        <v>53</v>
      </c>
      <c r="B58" s="69">
        <v>-0.3427</v>
      </c>
      <c r="C58" s="69">
        <v>16.974799999999998</v>
      </c>
      <c r="D58" s="69">
        <v>0.14293</v>
      </c>
      <c r="E58" s="70"/>
      <c r="F58" s="68">
        <v>53</v>
      </c>
      <c r="G58" s="69">
        <v>-0.12939999999999999</v>
      </c>
      <c r="H58" s="69">
        <v>17.179200000000002</v>
      </c>
      <c r="I58" s="69">
        <v>0.13069</v>
      </c>
      <c r="K58" s="71">
        <v>71.5</v>
      </c>
      <c r="L58" s="69">
        <v>-0.38329999999999997</v>
      </c>
      <c r="M58" s="69">
        <v>8.4675999999999991</v>
      </c>
      <c r="N58" s="69">
        <v>9.0499999999999997E-2</v>
      </c>
      <c r="O58" s="70"/>
      <c r="P58" s="71">
        <v>71.5</v>
      </c>
      <c r="Q58" s="69">
        <v>-0.35210000000000002</v>
      </c>
      <c r="R58" s="69">
        <v>8.7593999999999994</v>
      </c>
      <c r="S58" s="69">
        <v>8.2479999999999998E-2</v>
      </c>
      <c r="T58" s="70"/>
      <c r="U58" s="71">
        <v>91.5</v>
      </c>
      <c r="V58" s="69">
        <v>-0.38329999999999997</v>
      </c>
      <c r="W58" s="69">
        <v>13.0177</v>
      </c>
      <c r="X58" s="69">
        <v>8.9249999999999996E-2</v>
      </c>
      <c r="Y58" s="70"/>
      <c r="Z58" s="71">
        <v>91.5</v>
      </c>
      <c r="AA58" s="69">
        <v>-0.35210000000000002</v>
      </c>
      <c r="AB58" s="69">
        <v>13.2376</v>
      </c>
      <c r="AC58" s="69">
        <v>8.0240000000000006E-2</v>
      </c>
      <c r="AE58" s="75">
        <v>53</v>
      </c>
      <c r="AF58" s="76">
        <v>96.6</v>
      </c>
      <c r="AG58" s="76">
        <v>101.1</v>
      </c>
      <c r="AH58" s="76">
        <v>105.6</v>
      </c>
      <c r="AI58" s="76">
        <v>110.1</v>
      </c>
      <c r="AJ58" s="77">
        <v>114.6</v>
      </c>
      <c r="AL58" s="75">
        <v>53</v>
      </c>
      <c r="AM58" s="76">
        <v>97.4</v>
      </c>
      <c r="AN58" s="76">
        <v>101.7</v>
      </c>
      <c r="AO58" s="76">
        <v>106.1</v>
      </c>
      <c r="AP58" s="76">
        <v>110.5</v>
      </c>
      <c r="AQ58" s="77">
        <v>114.9</v>
      </c>
      <c r="AS58" s="75">
        <v>53</v>
      </c>
      <c r="AT58" s="76">
        <v>46.8</v>
      </c>
      <c r="AU58" s="76">
        <v>48.2</v>
      </c>
      <c r="AV58" s="76">
        <v>49.6</v>
      </c>
      <c r="AW58" s="76">
        <v>51</v>
      </c>
      <c r="AX58" s="77">
        <v>52.4</v>
      </c>
      <c r="AZ58" s="75">
        <v>53</v>
      </c>
      <c r="BA58" s="76">
        <v>47.5</v>
      </c>
      <c r="BB58" s="76">
        <v>49</v>
      </c>
      <c r="BC58" s="76">
        <v>50.4</v>
      </c>
      <c r="BD58" s="76">
        <v>51.9</v>
      </c>
      <c r="BE58" s="77">
        <v>53.4</v>
      </c>
    </row>
    <row r="59" spans="1:57">
      <c r="A59" s="68">
        <v>54</v>
      </c>
      <c r="B59" s="69">
        <v>-0.34399999999999997</v>
      </c>
      <c r="C59" s="69">
        <v>17.155100000000001</v>
      </c>
      <c r="D59" s="69">
        <v>0.14371</v>
      </c>
      <c r="E59" s="70"/>
      <c r="F59" s="68">
        <v>54</v>
      </c>
      <c r="G59" s="69">
        <v>-0.13250000000000001</v>
      </c>
      <c r="H59" s="69">
        <v>17.345199999999998</v>
      </c>
      <c r="I59" s="69">
        <v>0.13133</v>
      </c>
      <c r="K59" s="71">
        <v>72</v>
      </c>
      <c r="L59" s="69">
        <v>-0.38329999999999997</v>
      </c>
      <c r="M59" s="69">
        <v>8.5678999999999998</v>
      </c>
      <c r="N59" s="69">
        <v>9.0429999999999996E-2</v>
      </c>
      <c r="O59" s="70"/>
      <c r="P59" s="71">
        <v>72</v>
      </c>
      <c r="Q59" s="69">
        <v>-0.35210000000000002</v>
      </c>
      <c r="R59" s="69">
        <v>8.8696999999999999</v>
      </c>
      <c r="S59" s="69">
        <v>8.2540000000000002E-2</v>
      </c>
      <c r="T59" s="70"/>
      <c r="U59" s="71">
        <v>92</v>
      </c>
      <c r="V59" s="69">
        <v>-0.38329999999999997</v>
      </c>
      <c r="W59" s="69">
        <v>13.141500000000001</v>
      </c>
      <c r="X59" s="69">
        <v>8.931E-2</v>
      </c>
      <c r="Y59" s="70"/>
      <c r="Z59" s="71">
        <v>92</v>
      </c>
      <c r="AA59" s="69">
        <v>-0.35210000000000002</v>
      </c>
      <c r="AB59" s="69">
        <v>13.354100000000001</v>
      </c>
      <c r="AC59" s="69">
        <v>8.0250000000000002E-2</v>
      </c>
      <c r="AE59" s="75">
        <v>54</v>
      </c>
      <c r="AF59" s="76">
        <v>97.1</v>
      </c>
      <c r="AG59" s="76">
        <v>101.6</v>
      </c>
      <c r="AH59" s="76">
        <v>106.2</v>
      </c>
      <c r="AI59" s="76">
        <v>110.7</v>
      </c>
      <c r="AJ59" s="77">
        <v>115.2</v>
      </c>
      <c r="AL59" s="75">
        <v>54</v>
      </c>
      <c r="AM59" s="76">
        <v>97.8</v>
      </c>
      <c r="AN59" s="76">
        <v>102.3</v>
      </c>
      <c r="AO59" s="76">
        <v>106.7</v>
      </c>
      <c r="AP59" s="76">
        <v>111.1</v>
      </c>
      <c r="AQ59" s="77">
        <v>115.5</v>
      </c>
      <c r="AS59" s="75">
        <v>54</v>
      </c>
      <c r="AT59" s="76">
        <v>46.8</v>
      </c>
      <c r="AU59" s="76">
        <v>48.2</v>
      </c>
      <c r="AV59" s="76">
        <v>49.6</v>
      </c>
      <c r="AW59" s="76">
        <v>51.1</v>
      </c>
      <c r="AX59" s="77">
        <v>52.5</v>
      </c>
      <c r="AZ59" s="75">
        <v>54</v>
      </c>
      <c r="BA59" s="76">
        <v>47.5</v>
      </c>
      <c r="BB59" s="76">
        <v>49</v>
      </c>
      <c r="BC59" s="76">
        <v>50.5</v>
      </c>
      <c r="BD59" s="76">
        <v>52</v>
      </c>
      <c r="BE59" s="77">
        <v>53.5</v>
      </c>
    </row>
    <row r="60" spans="1:57">
      <c r="A60" s="68">
        <v>55</v>
      </c>
      <c r="B60" s="69">
        <v>-0.3453</v>
      </c>
      <c r="C60" s="69">
        <v>17.334700000000002</v>
      </c>
      <c r="D60" s="69">
        <v>0.14448</v>
      </c>
      <c r="E60" s="70"/>
      <c r="F60" s="68">
        <v>55</v>
      </c>
      <c r="G60" s="69">
        <v>-0.1356</v>
      </c>
      <c r="H60" s="69">
        <v>17.511099999999999</v>
      </c>
      <c r="I60" s="69">
        <v>0.13197</v>
      </c>
      <c r="K60" s="71">
        <v>72.5</v>
      </c>
      <c r="L60" s="69">
        <v>-0.38329999999999997</v>
      </c>
      <c r="M60" s="69">
        <v>8.6674000000000007</v>
      </c>
      <c r="N60" s="69">
        <v>9.0370000000000006E-2</v>
      </c>
      <c r="O60" s="70"/>
      <c r="P60" s="71">
        <v>72.5</v>
      </c>
      <c r="Q60" s="69">
        <v>-0.35210000000000002</v>
      </c>
      <c r="R60" s="69">
        <v>8.9787999999999997</v>
      </c>
      <c r="S60" s="69">
        <v>8.2619999999999999E-2</v>
      </c>
      <c r="T60" s="70"/>
      <c r="U60" s="71">
        <v>92.5</v>
      </c>
      <c r="V60" s="69">
        <v>-0.38329999999999997</v>
      </c>
      <c r="W60" s="69">
        <v>13.2654</v>
      </c>
      <c r="X60" s="69">
        <v>8.9370000000000005E-2</v>
      </c>
      <c r="Y60" s="70"/>
      <c r="Z60" s="71">
        <v>92.5</v>
      </c>
      <c r="AA60" s="69">
        <v>-0.35210000000000002</v>
      </c>
      <c r="AB60" s="69">
        <v>13.470499999999999</v>
      </c>
      <c r="AC60" s="69">
        <v>8.0269999999999994E-2</v>
      </c>
      <c r="AE60" s="75">
        <v>55</v>
      </c>
      <c r="AF60" s="76">
        <v>97.6</v>
      </c>
      <c r="AG60" s="76">
        <v>102.2</v>
      </c>
      <c r="AH60" s="76">
        <v>106.7</v>
      </c>
      <c r="AI60" s="76">
        <v>111.3</v>
      </c>
      <c r="AJ60" s="77">
        <v>115.9</v>
      </c>
      <c r="AL60" s="75">
        <v>55</v>
      </c>
      <c r="AM60" s="76">
        <v>98.3</v>
      </c>
      <c r="AN60" s="76">
        <v>102.8</v>
      </c>
      <c r="AO60" s="76">
        <v>107.2</v>
      </c>
      <c r="AP60" s="76">
        <v>111.7</v>
      </c>
      <c r="AQ60" s="77">
        <v>116.1</v>
      </c>
      <c r="AS60" s="75">
        <v>55</v>
      </c>
      <c r="AT60" s="76">
        <v>46.9</v>
      </c>
      <c r="AU60" s="76">
        <v>48.3</v>
      </c>
      <c r="AV60" s="76">
        <v>49.7</v>
      </c>
      <c r="AW60" s="76">
        <v>51.1</v>
      </c>
      <c r="AX60" s="77">
        <v>52.5</v>
      </c>
      <c r="AZ60" s="75">
        <v>55</v>
      </c>
      <c r="BA60" s="76">
        <v>47.6</v>
      </c>
      <c r="BB60" s="76">
        <v>49.1</v>
      </c>
      <c r="BC60" s="76">
        <v>50.5</v>
      </c>
      <c r="BD60" s="76">
        <v>52</v>
      </c>
      <c r="BE60" s="77">
        <v>53.5</v>
      </c>
    </row>
    <row r="61" spans="1:57">
      <c r="A61" s="68">
        <v>56</v>
      </c>
      <c r="B61" s="69">
        <v>-0.34660000000000002</v>
      </c>
      <c r="C61" s="69">
        <v>17.5136</v>
      </c>
      <c r="D61" s="69">
        <v>0.14524999999999999</v>
      </c>
      <c r="E61" s="70"/>
      <c r="F61" s="68">
        <v>56</v>
      </c>
      <c r="G61" s="69">
        <v>-0.13869999999999999</v>
      </c>
      <c r="H61" s="69">
        <v>17.6768</v>
      </c>
      <c r="I61" s="69">
        <v>0.13261000000000001</v>
      </c>
      <c r="K61" s="71">
        <v>73</v>
      </c>
      <c r="L61" s="69">
        <v>-0.38329999999999997</v>
      </c>
      <c r="M61" s="69">
        <v>8.7660999999999998</v>
      </c>
      <c r="N61" s="69">
        <v>9.0310000000000001E-2</v>
      </c>
      <c r="O61" s="70"/>
      <c r="P61" s="71">
        <v>73</v>
      </c>
      <c r="Q61" s="69">
        <v>-0.35210000000000002</v>
      </c>
      <c r="R61" s="69">
        <v>9.0864999999999991</v>
      </c>
      <c r="S61" s="69">
        <v>8.269E-2</v>
      </c>
      <c r="T61" s="70"/>
      <c r="U61" s="71">
        <v>93</v>
      </c>
      <c r="V61" s="69">
        <v>-0.38329999999999997</v>
      </c>
      <c r="W61" s="69">
        <v>13.3896</v>
      </c>
      <c r="X61" s="69">
        <v>8.9440000000000006E-2</v>
      </c>
      <c r="Y61" s="70"/>
      <c r="Z61" s="71">
        <v>93</v>
      </c>
      <c r="AA61" s="69">
        <v>-0.35210000000000002</v>
      </c>
      <c r="AB61" s="69">
        <v>13.587</v>
      </c>
      <c r="AC61" s="69">
        <v>8.0310000000000006E-2</v>
      </c>
      <c r="AE61" s="75">
        <v>56</v>
      </c>
      <c r="AF61" s="76">
        <v>98.1</v>
      </c>
      <c r="AG61" s="76">
        <v>102.7</v>
      </c>
      <c r="AH61" s="76">
        <v>107.3</v>
      </c>
      <c r="AI61" s="76">
        <v>111.9</v>
      </c>
      <c r="AJ61" s="77">
        <v>116.5</v>
      </c>
      <c r="AL61" s="75">
        <v>56</v>
      </c>
      <c r="AM61" s="76">
        <v>98.8</v>
      </c>
      <c r="AN61" s="76">
        <v>103.3</v>
      </c>
      <c r="AO61" s="76">
        <v>107.8</v>
      </c>
      <c r="AP61" s="76">
        <v>112.3</v>
      </c>
      <c r="AQ61" s="77">
        <v>116.7</v>
      </c>
      <c r="AS61" s="75">
        <v>56</v>
      </c>
      <c r="AT61" s="76">
        <v>46.9</v>
      </c>
      <c r="AU61" s="76">
        <v>48.3</v>
      </c>
      <c r="AV61" s="76">
        <v>49.7</v>
      </c>
      <c r="AW61" s="76">
        <v>51.2</v>
      </c>
      <c r="AX61" s="77">
        <v>52.6</v>
      </c>
      <c r="AZ61" s="75">
        <v>56</v>
      </c>
      <c r="BA61" s="76">
        <v>47.6</v>
      </c>
      <c r="BB61" s="76">
        <v>49.1</v>
      </c>
      <c r="BC61" s="76">
        <v>50.6</v>
      </c>
      <c r="BD61" s="76">
        <v>52.1</v>
      </c>
      <c r="BE61" s="77">
        <v>53.5</v>
      </c>
    </row>
    <row r="62" spans="1:57">
      <c r="A62" s="68">
        <v>57</v>
      </c>
      <c r="B62" s="69">
        <v>-0.34789999999999999</v>
      </c>
      <c r="C62" s="69">
        <v>17.691600000000001</v>
      </c>
      <c r="D62" s="69">
        <v>0.14599999999999999</v>
      </c>
      <c r="E62" s="70"/>
      <c r="F62" s="68">
        <v>57</v>
      </c>
      <c r="G62" s="69">
        <v>-0.14169999999999999</v>
      </c>
      <c r="H62" s="69">
        <v>17.842199999999998</v>
      </c>
      <c r="I62" s="69">
        <v>0.13325000000000001</v>
      </c>
      <c r="K62" s="71">
        <v>73.5</v>
      </c>
      <c r="L62" s="69">
        <v>-0.38329999999999997</v>
      </c>
      <c r="M62" s="69">
        <v>8.8637999999999995</v>
      </c>
      <c r="N62" s="69">
        <v>9.0249999999999997E-2</v>
      </c>
      <c r="O62" s="70"/>
      <c r="P62" s="71">
        <v>73.5</v>
      </c>
      <c r="Q62" s="69">
        <v>-0.35210000000000002</v>
      </c>
      <c r="R62" s="69">
        <v>9.1927000000000003</v>
      </c>
      <c r="S62" s="69">
        <v>8.276E-2</v>
      </c>
      <c r="T62" s="70"/>
      <c r="U62" s="71">
        <v>93.5</v>
      </c>
      <c r="V62" s="69">
        <v>-0.38329999999999997</v>
      </c>
      <c r="W62" s="69">
        <v>13.514200000000001</v>
      </c>
      <c r="X62" s="69">
        <v>8.9510000000000006E-2</v>
      </c>
      <c r="Y62" s="70"/>
      <c r="Z62" s="71">
        <v>93.5</v>
      </c>
      <c r="AA62" s="69">
        <v>-0.35210000000000002</v>
      </c>
      <c r="AB62" s="69">
        <v>13.7041</v>
      </c>
      <c r="AC62" s="69">
        <v>8.0360000000000001E-2</v>
      </c>
      <c r="AE62" s="75">
        <v>57</v>
      </c>
      <c r="AF62" s="76">
        <v>98.5</v>
      </c>
      <c r="AG62" s="76">
        <v>103.2</v>
      </c>
      <c r="AH62" s="76">
        <v>107.8</v>
      </c>
      <c r="AI62" s="76">
        <v>112.5</v>
      </c>
      <c r="AJ62" s="77">
        <v>117.1</v>
      </c>
      <c r="AL62" s="75">
        <v>57</v>
      </c>
      <c r="AM62" s="76">
        <v>99.3</v>
      </c>
      <c r="AN62" s="76">
        <v>103.8</v>
      </c>
      <c r="AO62" s="76">
        <v>108.3</v>
      </c>
      <c r="AP62" s="76">
        <v>112.8</v>
      </c>
      <c r="AQ62" s="77">
        <v>117.4</v>
      </c>
      <c r="AS62" s="75">
        <v>57</v>
      </c>
      <c r="AT62" s="76">
        <v>46.9</v>
      </c>
      <c r="AU62" s="76">
        <v>48.4</v>
      </c>
      <c r="AV62" s="76">
        <v>49.8</v>
      </c>
      <c r="AW62" s="76">
        <v>51.2</v>
      </c>
      <c r="AX62" s="77">
        <v>52.6</v>
      </c>
      <c r="AZ62" s="75">
        <v>57</v>
      </c>
      <c r="BA62" s="76">
        <v>47.6</v>
      </c>
      <c r="BB62" s="76">
        <v>49.1</v>
      </c>
      <c r="BC62" s="76">
        <v>50.6</v>
      </c>
      <c r="BD62" s="76">
        <v>52.1</v>
      </c>
      <c r="BE62" s="77">
        <v>53.6</v>
      </c>
    </row>
    <row r="63" spans="1:57">
      <c r="A63" s="68">
        <v>58</v>
      </c>
      <c r="B63" s="69">
        <v>-0.34920000000000001</v>
      </c>
      <c r="C63" s="69">
        <v>17.868600000000001</v>
      </c>
      <c r="D63" s="69">
        <v>0.14674999999999999</v>
      </c>
      <c r="E63" s="70"/>
      <c r="F63" s="68">
        <v>58</v>
      </c>
      <c r="G63" s="69">
        <v>-0.1447</v>
      </c>
      <c r="H63" s="69">
        <v>18.007300000000001</v>
      </c>
      <c r="I63" s="69">
        <v>0.13389000000000001</v>
      </c>
      <c r="K63" s="71">
        <v>74</v>
      </c>
      <c r="L63" s="69">
        <v>-0.38329999999999997</v>
      </c>
      <c r="M63" s="69">
        <v>8.9601000000000006</v>
      </c>
      <c r="N63" s="69">
        <v>9.0179999999999996E-2</v>
      </c>
      <c r="O63" s="70"/>
      <c r="P63" s="71">
        <v>74</v>
      </c>
      <c r="Q63" s="69">
        <v>-0.35210000000000002</v>
      </c>
      <c r="R63" s="69">
        <v>9.2973999999999997</v>
      </c>
      <c r="S63" s="69">
        <v>8.2830000000000001E-2</v>
      </c>
      <c r="T63" s="70"/>
      <c r="U63" s="71">
        <v>94</v>
      </c>
      <c r="V63" s="69">
        <v>-0.38329999999999997</v>
      </c>
      <c r="W63" s="69">
        <v>13.6393</v>
      </c>
      <c r="X63" s="69">
        <v>8.9590000000000003E-2</v>
      </c>
      <c r="Y63" s="70"/>
      <c r="Z63" s="71">
        <v>94</v>
      </c>
      <c r="AA63" s="69">
        <v>-0.35210000000000002</v>
      </c>
      <c r="AB63" s="69">
        <v>13.8217</v>
      </c>
      <c r="AC63" s="69">
        <v>8.0430000000000001E-2</v>
      </c>
      <c r="AE63" s="75">
        <v>58</v>
      </c>
      <c r="AF63" s="76">
        <v>99</v>
      </c>
      <c r="AG63" s="76">
        <v>103.7</v>
      </c>
      <c r="AH63" s="76">
        <v>108.4</v>
      </c>
      <c r="AI63" s="76">
        <v>113</v>
      </c>
      <c r="AJ63" s="77">
        <v>117.7</v>
      </c>
      <c r="AL63" s="75">
        <v>58</v>
      </c>
      <c r="AM63" s="76">
        <v>99.7</v>
      </c>
      <c r="AN63" s="76">
        <v>104.3</v>
      </c>
      <c r="AO63" s="76">
        <v>108.9</v>
      </c>
      <c r="AP63" s="76">
        <v>113.4</v>
      </c>
      <c r="AQ63" s="77">
        <v>118</v>
      </c>
      <c r="AS63" s="75">
        <v>58</v>
      </c>
      <c r="AT63" s="76">
        <v>47</v>
      </c>
      <c r="AU63" s="76">
        <v>48.4</v>
      </c>
      <c r="AV63" s="76">
        <v>49.8</v>
      </c>
      <c r="AW63" s="76">
        <v>51.3</v>
      </c>
      <c r="AX63" s="77">
        <v>52.7</v>
      </c>
      <c r="AZ63" s="75">
        <v>58</v>
      </c>
      <c r="BA63" s="76">
        <v>47.7</v>
      </c>
      <c r="BB63" s="76">
        <v>49.2</v>
      </c>
      <c r="BC63" s="76">
        <v>50.7</v>
      </c>
      <c r="BD63" s="76">
        <v>52.1</v>
      </c>
      <c r="BE63" s="77">
        <v>53.6</v>
      </c>
    </row>
    <row r="64" spans="1:57">
      <c r="A64" s="68">
        <v>59</v>
      </c>
      <c r="B64" s="69">
        <v>-0.35049999999999998</v>
      </c>
      <c r="C64" s="69">
        <v>18.044499999999999</v>
      </c>
      <c r="D64" s="69">
        <v>0.14748</v>
      </c>
      <c r="E64" s="70"/>
      <c r="F64" s="68">
        <v>59</v>
      </c>
      <c r="G64" s="69">
        <v>-0.1477</v>
      </c>
      <c r="H64" s="69">
        <v>18.1722</v>
      </c>
      <c r="I64" s="69">
        <v>0.13453000000000001</v>
      </c>
      <c r="K64" s="71">
        <v>74.5</v>
      </c>
      <c r="L64" s="69">
        <v>-0.38329999999999997</v>
      </c>
      <c r="M64" s="69">
        <v>9.0551999999999992</v>
      </c>
      <c r="N64" s="69">
        <v>9.0120000000000006E-2</v>
      </c>
      <c r="O64" s="70"/>
      <c r="P64" s="71">
        <v>74.5</v>
      </c>
      <c r="Q64" s="69">
        <v>-0.35210000000000002</v>
      </c>
      <c r="R64" s="69">
        <v>9.4009999999999998</v>
      </c>
      <c r="S64" s="69">
        <v>8.2890000000000005E-2</v>
      </c>
      <c r="T64" s="70"/>
      <c r="U64" s="71">
        <v>94.5</v>
      </c>
      <c r="V64" s="69">
        <v>-0.38329999999999997</v>
      </c>
      <c r="W64" s="69">
        <v>13.765000000000001</v>
      </c>
      <c r="X64" s="69">
        <v>8.967E-2</v>
      </c>
      <c r="Y64" s="70"/>
      <c r="Z64" s="71">
        <v>94.5</v>
      </c>
      <c r="AA64" s="69">
        <v>-0.35210000000000002</v>
      </c>
      <c r="AB64" s="69">
        <v>13.940300000000001</v>
      </c>
      <c r="AC64" s="69">
        <v>8.0509999999999998E-2</v>
      </c>
      <c r="AE64" s="75">
        <v>59</v>
      </c>
      <c r="AF64" s="76">
        <v>99.5</v>
      </c>
      <c r="AG64" s="76">
        <v>104.2</v>
      </c>
      <c r="AH64" s="76">
        <v>108.9</v>
      </c>
      <c r="AI64" s="76">
        <v>113.6</v>
      </c>
      <c r="AJ64" s="77">
        <v>118.3</v>
      </c>
      <c r="AL64" s="75">
        <v>59</v>
      </c>
      <c r="AM64" s="76">
        <v>100.2</v>
      </c>
      <c r="AN64" s="76">
        <v>104.8</v>
      </c>
      <c r="AO64" s="76">
        <v>109.4</v>
      </c>
      <c r="AP64" s="76">
        <v>114</v>
      </c>
      <c r="AQ64" s="77">
        <v>118.6</v>
      </c>
      <c r="AS64" s="75">
        <v>59</v>
      </c>
      <c r="AT64" s="76">
        <v>47</v>
      </c>
      <c r="AU64" s="76">
        <v>48.5</v>
      </c>
      <c r="AV64" s="76">
        <v>49.9</v>
      </c>
      <c r="AW64" s="76">
        <v>51.3</v>
      </c>
      <c r="AX64" s="77">
        <v>52.7</v>
      </c>
      <c r="AZ64" s="75">
        <v>59</v>
      </c>
      <c r="BA64" s="76">
        <v>47.7</v>
      </c>
      <c r="BB64" s="76">
        <v>49.2</v>
      </c>
      <c r="BC64" s="76">
        <v>50.7</v>
      </c>
      <c r="BD64" s="76">
        <v>52.2</v>
      </c>
      <c r="BE64" s="77">
        <v>53.7</v>
      </c>
    </row>
    <row r="65" spans="1:57">
      <c r="A65" s="68">
        <v>60</v>
      </c>
      <c r="B65" s="69">
        <v>-0.3518</v>
      </c>
      <c r="C65" s="69">
        <v>18.2193</v>
      </c>
      <c r="D65" s="69">
        <v>0.14821000000000001</v>
      </c>
      <c r="E65" s="70"/>
      <c r="F65" s="68">
        <v>60</v>
      </c>
      <c r="G65" s="69">
        <v>-0.15060000000000001</v>
      </c>
      <c r="H65" s="69">
        <v>18.336600000000001</v>
      </c>
      <c r="I65" s="69">
        <v>0.13517000000000001</v>
      </c>
      <c r="K65" s="71">
        <v>75</v>
      </c>
      <c r="L65" s="69">
        <v>-0.38329999999999997</v>
      </c>
      <c r="M65" s="69">
        <v>9.1489999999999991</v>
      </c>
      <c r="N65" s="69">
        <v>9.0050000000000005E-2</v>
      </c>
      <c r="O65" s="70"/>
      <c r="P65" s="71">
        <v>75</v>
      </c>
      <c r="Q65" s="69">
        <v>-0.35210000000000002</v>
      </c>
      <c r="R65" s="69">
        <v>9.5031999999999996</v>
      </c>
      <c r="S65" s="69">
        <v>8.2949999999999996E-2</v>
      </c>
      <c r="T65" s="70"/>
      <c r="U65" s="71">
        <v>95</v>
      </c>
      <c r="V65" s="69">
        <v>-0.38329999999999997</v>
      </c>
      <c r="W65" s="69">
        <v>13.891400000000001</v>
      </c>
      <c r="X65" s="69">
        <v>8.9749999999999996E-2</v>
      </c>
      <c r="Y65" s="70"/>
      <c r="Z65" s="71">
        <v>95</v>
      </c>
      <c r="AA65" s="69">
        <v>-0.35210000000000002</v>
      </c>
      <c r="AB65" s="69">
        <v>14.06</v>
      </c>
      <c r="AC65" s="69">
        <v>8.0600000000000005E-2</v>
      </c>
      <c r="AE65" s="75">
        <v>60</v>
      </c>
      <c r="AF65" s="76">
        <v>99.9</v>
      </c>
      <c r="AG65" s="76">
        <v>104.7</v>
      </c>
      <c r="AH65" s="76">
        <v>109.4</v>
      </c>
      <c r="AI65" s="76">
        <v>114.2</v>
      </c>
      <c r="AJ65" s="77">
        <v>118.9</v>
      </c>
      <c r="AL65" s="75">
        <v>60</v>
      </c>
      <c r="AM65" s="76">
        <v>100.7</v>
      </c>
      <c r="AN65" s="76">
        <v>105.3</v>
      </c>
      <c r="AO65" s="76">
        <v>110</v>
      </c>
      <c r="AP65" s="76">
        <v>114.6</v>
      </c>
      <c r="AQ65" s="77">
        <v>119.2</v>
      </c>
      <c r="AS65" s="78">
        <v>60</v>
      </c>
      <c r="AT65" s="79">
        <v>47.1</v>
      </c>
      <c r="AU65" s="79">
        <v>48.5</v>
      </c>
      <c r="AV65" s="79">
        <v>49.9</v>
      </c>
      <c r="AW65" s="79">
        <v>51.3</v>
      </c>
      <c r="AX65" s="80">
        <v>52.8</v>
      </c>
      <c r="AZ65" s="78">
        <v>60</v>
      </c>
      <c r="BA65" s="79">
        <v>47.7</v>
      </c>
      <c r="BB65" s="79">
        <v>49.2</v>
      </c>
      <c r="BC65" s="79">
        <v>50.7</v>
      </c>
      <c r="BD65" s="79">
        <v>52.2</v>
      </c>
      <c r="BE65" s="80">
        <v>53.7</v>
      </c>
    </row>
    <row r="66" spans="1:57">
      <c r="K66" s="71">
        <v>75.5</v>
      </c>
      <c r="L66" s="69">
        <v>-0.38329999999999997</v>
      </c>
      <c r="M66" s="69">
        <v>9.2417999999999996</v>
      </c>
      <c r="N66" s="69">
        <v>8.9990000000000001E-2</v>
      </c>
      <c r="O66" s="70"/>
      <c r="P66" s="71">
        <v>75.5</v>
      </c>
      <c r="Q66" s="69">
        <v>-0.35210000000000002</v>
      </c>
      <c r="R66" s="69">
        <v>9.6041000000000007</v>
      </c>
      <c r="S66" s="69">
        <v>8.301E-2</v>
      </c>
      <c r="T66" s="70"/>
      <c r="U66" s="71">
        <v>95.5</v>
      </c>
      <c r="V66" s="69">
        <v>-0.38329999999999997</v>
      </c>
      <c r="W66" s="69">
        <v>14.018599999999999</v>
      </c>
      <c r="X66" s="69">
        <v>8.9840000000000003E-2</v>
      </c>
      <c r="Y66" s="70"/>
      <c r="Z66" s="71">
        <v>95.5</v>
      </c>
      <c r="AA66" s="69">
        <v>-0.35210000000000002</v>
      </c>
      <c r="AB66" s="69">
        <v>14.181100000000001</v>
      </c>
      <c r="AC66" s="69">
        <v>8.0710000000000004E-2</v>
      </c>
      <c r="AE66" s="75">
        <v>61</v>
      </c>
      <c r="AF66" s="76">
        <v>100.1</v>
      </c>
      <c r="AG66" s="76">
        <v>104.8</v>
      </c>
      <c r="AH66" s="76">
        <v>109.6</v>
      </c>
      <c r="AI66" s="76">
        <v>114.4</v>
      </c>
      <c r="AJ66" s="77">
        <v>119.1</v>
      </c>
      <c r="AL66" s="75">
        <v>61</v>
      </c>
      <c r="AM66" s="76">
        <v>101.1</v>
      </c>
      <c r="AN66" s="76">
        <v>105.7</v>
      </c>
      <c r="AO66" s="76">
        <v>110.3</v>
      </c>
      <c r="AP66" s="76">
        <v>114.9</v>
      </c>
      <c r="AQ66" s="77">
        <v>119.4</v>
      </c>
    </row>
    <row r="67" spans="1:57">
      <c r="K67" s="71">
        <v>76</v>
      </c>
      <c r="L67" s="69">
        <v>-0.38329999999999997</v>
      </c>
      <c r="M67" s="69">
        <v>9.3337000000000003</v>
      </c>
      <c r="N67" s="69">
        <v>8.992E-2</v>
      </c>
      <c r="O67" s="70"/>
      <c r="P67" s="71">
        <v>76</v>
      </c>
      <c r="Q67" s="69">
        <v>-0.35210000000000002</v>
      </c>
      <c r="R67" s="69">
        <v>9.7033000000000005</v>
      </c>
      <c r="S67" s="69">
        <v>8.3070000000000005E-2</v>
      </c>
      <c r="T67" s="70"/>
      <c r="U67" s="71">
        <v>96</v>
      </c>
      <c r="V67" s="69">
        <v>-0.38329999999999997</v>
      </c>
      <c r="W67" s="69">
        <v>14.146599999999999</v>
      </c>
      <c r="X67" s="69">
        <v>8.9940000000000006E-2</v>
      </c>
      <c r="Y67" s="70"/>
      <c r="Z67" s="71">
        <v>96</v>
      </c>
      <c r="AA67" s="69">
        <v>-0.35210000000000002</v>
      </c>
      <c r="AB67" s="69">
        <v>14.303699999999999</v>
      </c>
      <c r="AC67" s="69">
        <v>8.0829999999999999E-2</v>
      </c>
      <c r="AE67" s="75">
        <v>62</v>
      </c>
      <c r="AF67" s="76">
        <v>100.5</v>
      </c>
      <c r="AG67" s="76">
        <v>105.3</v>
      </c>
      <c r="AH67" s="76">
        <v>110.1</v>
      </c>
      <c r="AI67" s="76">
        <v>114.9</v>
      </c>
      <c r="AJ67" s="77">
        <v>119.7</v>
      </c>
      <c r="AL67" s="75">
        <v>62</v>
      </c>
      <c r="AM67" s="76">
        <v>101.6</v>
      </c>
      <c r="AN67" s="76">
        <v>106.2</v>
      </c>
      <c r="AO67" s="76">
        <v>110.8</v>
      </c>
      <c r="AP67" s="76">
        <v>115.4</v>
      </c>
      <c r="AQ67" s="77">
        <v>120</v>
      </c>
    </row>
    <row r="68" spans="1:57">
      <c r="K68" s="71">
        <v>76.5</v>
      </c>
      <c r="L68" s="69">
        <v>-0.38329999999999997</v>
      </c>
      <c r="M68" s="69">
        <v>9.4252000000000002</v>
      </c>
      <c r="N68" s="69">
        <v>8.9849999999999999E-2</v>
      </c>
      <c r="O68" s="70"/>
      <c r="P68" s="71">
        <v>76.5</v>
      </c>
      <c r="Q68" s="69">
        <v>-0.35210000000000002</v>
      </c>
      <c r="R68" s="69">
        <v>9.8007000000000009</v>
      </c>
      <c r="S68" s="69">
        <v>8.3110000000000003E-2</v>
      </c>
      <c r="T68" s="70"/>
      <c r="U68" s="71">
        <v>96.5</v>
      </c>
      <c r="V68" s="69">
        <v>-0.38329999999999997</v>
      </c>
      <c r="W68" s="69">
        <v>14.275700000000001</v>
      </c>
      <c r="X68" s="69">
        <v>9.0039999999999995E-2</v>
      </c>
      <c r="Y68" s="70"/>
      <c r="Z68" s="71">
        <v>96.5</v>
      </c>
      <c r="AA68" s="69">
        <v>-0.35210000000000002</v>
      </c>
      <c r="AB68" s="69">
        <v>14.4282</v>
      </c>
      <c r="AC68" s="69">
        <v>8.097E-2</v>
      </c>
      <c r="AE68" s="75">
        <v>63</v>
      </c>
      <c r="AF68" s="76">
        <v>101</v>
      </c>
      <c r="AG68" s="76">
        <v>105.8</v>
      </c>
      <c r="AH68" s="76">
        <v>110.6</v>
      </c>
      <c r="AI68" s="76">
        <v>115.5</v>
      </c>
      <c r="AJ68" s="77">
        <v>120.3</v>
      </c>
      <c r="AL68" s="75">
        <v>63</v>
      </c>
      <c r="AM68" s="76">
        <v>102</v>
      </c>
      <c r="AN68" s="76">
        <v>106.7</v>
      </c>
      <c r="AO68" s="76">
        <v>111.3</v>
      </c>
      <c r="AP68" s="76">
        <v>116</v>
      </c>
      <c r="AQ68" s="77">
        <v>120.6</v>
      </c>
    </row>
    <row r="69" spans="1:57">
      <c r="K69" s="71">
        <v>77</v>
      </c>
      <c r="L69" s="69">
        <v>-0.38329999999999997</v>
      </c>
      <c r="M69" s="69">
        <v>9.5166000000000004</v>
      </c>
      <c r="N69" s="69">
        <v>8.9789999999999995E-2</v>
      </c>
      <c r="O69" s="70"/>
      <c r="P69" s="71">
        <v>77</v>
      </c>
      <c r="Q69" s="69">
        <v>-0.35210000000000002</v>
      </c>
      <c r="R69" s="69">
        <v>9.8963000000000001</v>
      </c>
      <c r="S69" s="69">
        <v>8.3140000000000006E-2</v>
      </c>
      <c r="T69" s="70"/>
      <c r="U69" s="71">
        <v>97</v>
      </c>
      <c r="V69" s="69">
        <v>-0.38329999999999997</v>
      </c>
      <c r="W69" s="69">
        <v>14.405900000000001</v>
      </c>
      <c r="X69" s="69">
        <v>9.0149999999999994E-2</v>
      </c>
      <c r="Y69" s="70"/>
      <c r="Z69" s="71">
        <v>97</v>
      </c>
      <c r="AA69" s="69">
        <v>-0.35210000000000002</v>
      </c>
      <c r="AB69" s="69">
        <v>14.5547</v>
      </c>
      <c r="AC69" s="69">
        <v>8.1119999999999998E-2</v>
      </c>
      <c r="AE69" s="75">
        <v>64</v>
      </c>
      <c r="AF69" s="76">
        <v>101.4</v>
      </c>
      <c r="AG69" s="76">
        <v>106.3</v>
      </c>
      <c r="AH69" s="76">
        <v>111.2</v>
      </c>
      <c r="AI69" s="76">
        <v>116</v>
      </c>
      <c r="AJ69" s="77">
        <v>120.9</v>
      </c>
      <c r="AL69" s="75">
        <v>64</v>
      </c>
      <c r="AM69" s="76">
        <v>102.5</v>
      </c>
      <c r="AN69" s="76">
        <v>107.2</v>
      </c>
      <c r="AO69" s="76">
        <v>111.9</v>
      </c>
      <c r="AP69" s="76">
        <v>116.5</v>
      </c>
      <c r="AQ69" s="77">
        <v>121.2</v>
      </c>
    </row>
    <row r="70" spans="1:57">
      <c r="K70" s="71">
        <v>77.5</v>
      </c>
      <c r="L70" s="69">
        <v>-0.38329999999999997</v>
      </c>
      <c r="M70" s="69">
        <v>9.6085999999999991</v>
      </c>
      <c r="N70" s="69">
        <v>8.9719999999999994E-2</v>
      </c>
      <c r="O70" s="70"/>
      <c r="P70" s="71">
        <v>77.5</v>
      </c>
      <c r="Q70" s="69">
        <v>-0.35210000000000002</v>
      </c>
      <c r="R70" s="69">
        <v>9.9901999999999997</v>
      </c>
      <c r="S70" s="69">
        <v>8.3169999999999994E-2</v>
      </c>
      <c r="T70" s="70"/>
      <c r="U70" s="71">
        <v>97.5</v>
      </c>
      <c r="V70" s="69">
        <v>-0.38329999999999997</v>
      </c>
      <c r="W70" s="69">
        <v>14.537599999999999</v>
      </c>
      <c r="X70" s="69">
        <v>9.0260000000000007E-2</v>
      </c>
      <c r="Y70" s="70"/>
      <c r="Z70" s="71">
        <v>97.5</v>
      </c>
      <c r="AA70" s="69">
        <v>-0.35210000000000002</v>
      </c>
      <c r="AB70" s="69">
        <v>14.683199999999999</v>
      </c>
      <c r="AC70" s="69">
        <v>8.1290000000000001E-2</v>
      </c>
      <c r="AE70" s="75">
        <v>65</v>
      </c>
      <c r="AF70" s="76">
        <v>101.9</v>
      </c>
      <c r="AG70" s="76">
        <v>106.8</v>
      </c>
      <c r="AH70" s="76">
        <v>111.7</v>
      </c>
      <c r="AI70" s="76">
        <v>116.6</v>
      </c>
      <c r="AJ70" s="77">
        <v>121.5</v>
      </c>
      <c r="AL70" s="75">
        <v>65</v>
      </c>
      <c r="AM70" s="76">
        <v>103</v>
      </c>
      <c r="AN70" s="76">
        <v>107.7</v>
      </c>
      <c r="AO70" s="76">
        <v>112.4</v>
      </c>
      <c r="AP70" s="76">
        <v>117.1</v>
      </c>
      <c r="AQ70" s="77">
        <v>121.8</v>
      </c>
    </row>
    <row r="71" spans="1:57">
      <c r="K71" s="71">
        <v>78</v>
      </c>
      <c r="L71" s="69">
        <v>-0.38329999999999997</v>
      </c>
      <c r="M71" s="69">
        <v>9.7014999999999993</v>
      </c>
      <c r="N71" s="69">
        <v>8.9649999999999994E-2</v>
      </c>
      <c r="O71" s="70"/>
      <c r="P71" s="71">
        <v>78</v>
      </c>
      <c r="Q71" s="69">
        <v>-0.35210000000000002</v>
      </c>
      <c r="R71" s="69">
        <v>10.082700000000001</v>
      </c>
      <c r="S71" s="69">
        <v>8.3180000000000004E-2</v>
      </c>
      <c r="T71" s="70"/>
      <c r="U71" s="71">
        <v>98</v>
      </c>
      <c r="V71" s="69">
        <v>-0.38329999999999997</v>
      </c>
      <c r="W71" s="69">
        <v>14.670999999999999</v>
      </c>
      <c r="X71" s="69">
        <v>9.0370000000000006E-2</v>
      </c>
      <c r="Y71" s="70"/>
      <c r="Z71" s="71">
        <v>98</v>
      </c>
      <c r="AA71" s="69">
        <v>-0.35210000000000002</v>
      </c>
      <c r="AB71" s="69">
        <v>14.814</v>
      </c>
      <c r="AC71" s="69">
        <v>8.1460000000000005E-2</v>
      </c>
      <c r="AE71" s="75">
        <v>66</v>
      </c>
      <c r="AF71" s="76">
        <v>102.3</v>
      </c>
      <c r="AG71" s="76">
        <v>107.2</v>
      </c>
      <c r="AH71" s="76">
        <v>112.2</v>
      </c>
      <c r="AI71" s="76">
        <v>117.1</v>
      </c>
      <c r="AJ71" s="77">
        <v>122</v>
      </c>
      <c r="AL71" s="75">
        <v>66</v>
      </c>
      <c r="AM71" s="76">
        <v>103.4</v>
      </c>
      <c r="AN71" s="76">
        <v>108.2</v>
      </c>
      <c r="AO71" s="76">
        <v>112.9</v>
      </c>
      <c r="AP71" s="76">
        <v>117.7</v>
      </c>
      <c r="AQ71" s="77">
        <v>122.4</v>
      </c>
    </row>
    <row r="72" spans="1:57">
      <c r="K72" s="71">
        <v>78.5</v>
      </c>
      <c r="L72" s="69">
        <v>-0.38329999999999997</v>
      </c>
      <c r="M72" s="69">
        <v>9.7957000000000001</v>
      </c>
      <c r="N72" s="69">
        <v>8.9590000000000003E-2</v>
      </c>
      <c r="O72" s="70"/>
      <c r="P72" s="71">
        <v>78.5</v>
      </c>
      <c r="Q72" s="69">
        <v>-0.35210000000000002</v>
      </c>
      <c r="R72" s="69">
        <v>10.174099999999999</v>
      </c>
      <c r="S72" s="69">
        <v>8.3180000000000004E-2</v>
      </c>
      <c r="T72" s="70"/>
      <c r="U72" s="71">
        <v>98.5</v>
      </c>
      <c r="V72" s="69">
        <v>-0.38329999999999997</v>
      </c>
      <c r="W72" s="69">
        <v>14.8062</v>
      </c>
      <c r="X72" s="69">
        <v>9.0490000000000001E-2</v>
      </c>
      <c r="Y72" s="70"/>
      <c r="Z72" s="71">
        <v>98.5</v>
      </c>
      <c r="AA72" s="69">
        <v>-0.35210000000000002</v>
      </c>
      <c r="AB72" s="69">
        <v>14.9468</v>
      </c>
      <c r="AC72" s="69">
        <v>8.165E-2</v>
      </c>
      <c r="AE72" s="75">
        <v>67</v>
      </c>
      <c r="AF72" s="76">
        <v>102.7</v>
      </c>
      <c r="AG72" s="76">
        <v>107.7</v>
      </c>
      <c r="AH72" s="76">
        <v>112.7</v>
      </c>
      <c r="AI72" s="76">
        <v>117.6</v>
      </c>
      <c r="AJ72" s="77">
        <v>122.6</v>
      </c>
      <c r="AL72" s="75">
        <v>67</v>
      </c>
      <c r="AM72" s="76">
        <v>103.9</v>
      </c>
      <c r="AN72" s="76">
        <v>108.7</v>
      </c>
      <c r="AO72" s="76">
        <v>113.4</v>
      </c>
      <c r="AP72" s="76">
        <v>118.2</v>
      </c>
      <c r="AQ72" s="77">
        <v>123</v>
      </c>
    </row>
    <row r="73" spans="1:57">
      <c r="K73" s="71">
        <v>79</v>
      </c>
      <c r="L73" s="69">
        <v>-0.38329999999999997</v>
      </c>
      <c r="M73" s="69">
        <v>9.8915000000000006</v>
      </c>
      <c r="N73" s="69">
        <v>8.9520000000000002E-2</v>
      </c>
      <c r="O73" s="70"/>
      <c r="P73" s="71">
        <v>79</v>
      </c>
      <c r="Q73" s="69">
        <v>-0.35210000000000002</v>
      </c>
      <c r="R73" s="69">
        <v>10.264900000000001</v>
      </c>
      <c r="S73" s="69">
        <v>8.3159999999999998E-2</v>
      </c>
      <c r="T73" s="70"/>
      <c r="U73" s="71">
        <v>99</v>
      </c>
      <c r="V73" s="69">
        <v>-0.38329999999999997</v>
      </c>
      <c r="W73" s="69">
        <v>14.9434</v>
      </c>
      <c r="X73" s="69">
        <v>9.0620000000000006E-2</v>
      </c>
      <c r="Y73" s="70"/>
      <c r="Z73" s="71">
        <v>99</v>
      </c>
      <c r="AA73" s="69">
        <v>-0.35210000000000002</v>
      </c>
      <c r="AB73" s="69">
        <v>15.081799999999999</v>
      </c>
      <c r="AC73" s="69">
        <v>8.1850000000000006E-2</v>
      </c>
      <c r="AE73" s="75">
        <v>68</v>
      </c>
      <c r="AF73" s="76">
        <v>103.2</v>
      </c>
      <c r="AG73" s="76">
        <v>108.2</v>
      </c>
      <c r="AH73" s="76">
        <v>113.2</v>
      </c>
      <c r="AI73" s="76">
        <v>118.2</v>
      </c>
      <c r="AJ73" s="77">
        <v>123.2</v>
      </c>
      <c r="AL73" s="75">
        <v>68</v>
      </c>
      <c r="AM73" s="76">
        <v>104.3</v>
      </c>
      <c r="AN73" s="76">
        <v>109.1</v>
      </c>
      <c r="AO73" s="76">
        <v>113.9</v>
      </c>
      <c r="AP73" s="76">
        <v>118.7</v>
      </c>
      <c r="AQ73" s="77">
        <v>123.6</v>
      </c>
    </row>
    <row r="74" spans="1:57">
      <c r="K74" s="71">
        <v>79.5</v>
      </c>
      <c r="L74" s="69">
        <v>-0.38329999999999997</v>
      </c>
      <c r="M74" s="69">
        <v>9.9892000000000003</v>
      </c>
      <c r="N74" s="69">
        <v>8.9459999999999998E-2</v>
      </c>
      <c r="O74" s="70"/>
      <c r="P74" s="71">
        <v>79.5</v>
      </c>
      <c r="Q74" s="69">
        <v>-0.35210000000000002</v>
      </c>
      <c r="R74" s="69">
        <v>10.3558</v>
      </c>
      <c r="S74" s="69">
        <v>8.3129999999999996E-2</v>
      </c>
      <c r="T74" s="70"/>
      <c r="U74" s="71">
        <v>99.5</v>
      </c>
      <c r="V74" s="69">
        <v>-0.38329999999999997</v>
      </c>
      <c r="W74" s="69">
        <v>15.082800000000001</v>
      </c>
      <c r="X74" s="69">
        <v>9.0749999999999997E-2</v>
      </c>
      <c r="Y74" s="70"/>
      <c r="Z74" s="71">
        <v>99.5</v>
      </c>
      <c r="AA74" s="69">
        <v>-0.35210000000000002</v>
      </c>
      <c r="AB74" s="69">
        <v>15.2187</v>
      </c>
      <c r="AC74" s="69">
        <v>8.2059999999999994E-2</v>
      </c>
      <c r="AE74" s="75">
        <v>69</v>
      </c>
      <c r="AF74" s="76">
        <v>103.6</v>
      </c>
      <c r="AG74" s="76">
        <v>108.6</v>
      </c>
      <c r="AH74" s="76">
        <v>113.7</v>
      </c>
      <c r="AI74" s="76">
        <v>118.7</v>
      </c>
      <c r="AJ74" s="77">
        <v>123.7</v>
      </c>
      <c r="AL74" s="75">
        <v>69</v>
      </c>
      <c r="AM74" s="76">
        <v>104.8</v>
      </c>
      <c r="AN74" s="76">
        <v>109.6</v>
      </c>
      <c r="AO74" s="76">
        <v>114.5</v>
      </c>
      <c r="AP74" s="76">
        <v>119.3</v>
      </c>
      <c r="AQ74" s="77">
        <v>124.1</v>
      </c>
    </row>
    <row r="75" spans="1:57">
      <c r="K75" s="71">
        <v>80</v>
      </c>
      <c r="L75" s="69">
        <v>-0.38329999999999997</v>
      </c>
      <c r="M75" s="69">
        <v>10.0891</v>
      </c>
      <c r="N75" s="69">
        <v>8.9399999999999993E-2</v>
      </c>
      <c r="O75" s="70"/>
      <c r="P75" s="71">
        <v>80</v>
      </c>
      <c r="Q75" s="69">
        <v>-0.35210000000000002</v>
      </c>
      <c r="R75" s="69">
        <v>10.4475</v>
      </c>
      <c r="S75" s="69">
        <v>8.3080000000000001E-2</v>
      </c>
      <c r="T75" s="70"/>
      <c r="U75" s="71">
        <v>100</v>
      </c>
      <c r="V75" s="69">
        <v>-0.38329999999999997</v>
      </c>
      <c r="W75" s="69">
        <v>15.224600000000001</v>
      </c>
      <c r="X75" s="69">
        <v>9.0880000000000002E-2</v>
      </c>
      <c r="Y75" s="70"/>
      <c r="Z75" s="71">
        <v>100</v>
      </c>
      <c r="AA75" s="69">
        <v>-0.35210000000000002</v>
      </c>
      <c r="AB75" s="69">
        <v>15.3576</v>
      </c>
      <c r="AC75" s="69">
        <v>8.2290000000000002E-2</v>
      </c>
      <c r="AE75" s="75">
        <v>70</v>
      </c>
      <c r="AF75" s="76">
        <v>104</v>
      </c>
      <c r="AG75" s="76">
        <v>109.1</v>
      </c>
      <c r="AH75" s="76">
        <v>114.2</v>
      </c>
      <c r="AI75" s="76">
        <v>119.2</v>
      </c>
      <c r="AJ75" s="77">
        <v>124.3</v>
      </c>
      <c r="AL75" s="75">
        <v>70</v>
      </c>
      <c r="AM75" s="76">
        <v>105.2</v>
      </c>
      <c r="AN75" s="76">
        <v>110.1</v>
      </c>
      <c r="AO75" s="76">
        <v>115</v>
      </c>
      <c r="AP75" s="76">
        <v>119.8</v>
      </c>
      <c r="AQ75" s="77">
        <v>124.7</v>
      </c>
    </row>
    <row r="76" spans="1:57">
      <c r="K76" s="71">
        <v>80.5</v>
      </c>
      <c r="L76" s="69">
        <v>-0.38329999999999997</v>
      </c>
      <c r="M76" s="69">
        <v>10.191599999999999</v>
      </c>
      <c r="N76" s="69">
        <v>8.9340000000000003E-2</v>
      </c>
      <c r="O76" s="70"/>
      <c r="P76" s="71">
        <v>80.5</v>
      </c>
      <c r="Q76" s="69">
        <v>-0.35210000000000002</v>
      </c>
      <c r="R76" s="69">
        <v>10.5405</v>
      </c>
      <c r="S76" s="69">
        <v>8.301E-2</v>
      </c>
      <c r="T76" s="70"/>
      <c r="U76" s="71">
        <v>100.5</v>
      </c>
      <c r="V76" s="69">
        <v>-0.38329999999999997</v>
      </c>
      <c r="W76" s="69">
        <v>15.3687</v>
      </c>
      <c r="X76" s="69">
        <v>9.1020000000000004E-2</v>
      </c>
      <c r="Y76" s="70"/>
      <c r="Z76" s="71">
        <v>100.5</v>
      </c>
      <c r="AA76" s="69">
        <v>-0.35210000000000002</v>
      </c>
      <c r="AB76" s="69">
        <v>15.4985</v>
      </c>
      <c r="AC76" s="69">
        <v>8.2519999999999996E-2</v>
      </c>
      <c r="AE76" s="75">
        <v>71</v>
      </c>
      <c r="AF76" s="76">
        <v>104.5</v>
      </c>
      <c r="AG76" s="76">
        <v>109.6</v>
      </c>
      <c r="AH76" s="76">
        <v>114.6</v>
      </c>
      <c r="AI76" s="76">
        <v>119.7</v>
      </c>
      <c r="AJ76" s="77">
        <v>124.8</v>
      </c>
      <c r="AL76" s="75">
        <v>71</v>
      </c>
      <c r="AM76" s="76">
        <v>105.7</v>
      </c>
      <c r="AN76" s="76">
        <v>110.6</v>
      </c>
      <c r="AO76" s="76">
        <v>115.5</v>
      </c>
      <c r="AP76" s="76">
        <v>120.4</v>
      </c>
      <c r="AQ76" s="77">
        <v>125.2</v>
      </c>
    </row>
    <row r="77" spans="1:57">
      <c r="K77" s="71">
        <v>81</v>
      </c>
      <c r="L77" s="69">
        <v>-0.38329999999999997</v>
      </c>
      <c r="M77" s="69">
        <v>10.2965</v>
      </c>
      <c r="N77" s="69">
        <v>8.9279999999999998E-2</v>
      </c>
      <c r="O77" s="70"/>
      <c r="P77" s="71">
        <v>81</v>
      </c>
      <c r="Q77" s="69">
        <v>-0.35210000000000002</v>
      </c>
      <c r="R77" s="69">
        <v>10.635199999999999</v>
      </c>
      <c r="S77" s="69">
        <v>8.2930000000000004E-2</v>
      </c>
      <c r="T77" s="70"/>
      <c r="U77" s="71">
        <v>101</v>
      </c>
      <c r="V77" s="69">
        <v>-0.38329999999999997</v>
      </c>
      <c r="W77" s="69">
        <v>15.5154</v>
      </c>
      <c r="X77" s="69">
        <v>9.1160000000000005E-2</v>
      </c>
      <c r="Y77" s="70"/>
      <c r="Z77" s="71">
        <v>101</v>
      </c>
      <c r="AA77" s="69">
        <v>-0.35210000000000002</v>
      </c>
      <c r="AB77" s="69">
        <v>15.6412</v>
      </c>
      <c r="AC77" s="69">
        <v>8.2769999999999996E-2</v>
      </c>
      <c r="AE77" s="75">
        <v>72</v>
      </c>
      <c r="AF77" s="76">
        <v>104.9</v>
      </c>
      <c r="AG77" s="76">
        <v>110</v>
      </c>
      <c r="AH77" s="76">
        <v>115.1</v>
      </c>
      <c r="AI77" s="76">
        <v>120.2</v>
      </c>
      <c r="AJ77" s="77">
        <v>125.4</v>
      </c>
      <c r="AL77" s="75">
        <v>72</v>
      </c>
      <c r="AM77" s="76">
        <v>106.1</v>
      </c>
      <c r="AN77" s="76">
        <v>111</v>
      </c>
      <c r="AO77" s="76">
        <v>116</v>
      </c>
      <c r="AP77" s="76">
        <v>120.9</v>
      </c>
      <c r="AQ77" s="77">
        <v>125.8</v>
      </c>
    </row>
    <row r="78" spans="1:57">
      <c r="K78" s="71">
        <v>81.5</v>
      </c>
      <c r="L78" s="69">
        <v>-0.38329999999999997</v>
      </c>
      <c r="M78" s="69">
        <v>10.4041</v>
      </c>
      <c r="N78" s="69">
        <v>8.9230000000000004E-2</v>
      </c>
      <c r="O78" s="70"/>
      <c r="P78" s="71">
        <v>81.5</v>
      </c>
      <c r="Q78" s="69">
        <v>-0.35210000000000002</v>
      </c>
      <c r="R78" s="69">
        <v>10.732200000000001</v>
      </c>
      <c r="S78" s="69">
        <v>8.2839999999999997E-2</v>
      </c>
      <c r="T78" s="70"/>
      <c r="U78" s="71">
        <v>101.5</v>
      </c>
      <c r="V78" s="69">
        <v>-0.38329999999999997</v>
      </c>
      <c r="W78" s="69">
        <v>15.6646</v>
      </c>
      <c r="X78" s="69">
        <v>9.1310000000000002E-2</v>
      </c>
      <c r="Y78" s="70"/>
      <c r="Z78" s="71">
        <v>101.5</v>
      </c>
      <c r="AA78" s="69">
        <v>-0.35210000000000002</v>
      </c>
      <c r="AB78" s="69">
        <v>15.7857</v>
      </c>
      <c r="AC78" s="69">
        <v>8.3019999999999997E-2</v>
      </c>
      <c r="AE78" s="75">
        <v>73</v>
      </c>
      <c r="AF78" s="76">
        <v>105.3</v>
      </c>
      <c r="AG78" s="76">
        <v>110.5</v>
      </c>
      <c r="AH78" s="76">
        <v>115.6</v>
      </c>
      <c r="AI78" s="76">
        <v>120.8</v>
      </c>
      <c r="AJ78" s="77">
        <v>125.9</v>
      </c>
      <c r="AL78" s="75">
        <v>73</v>
      </c>
      <c r="AM78" s="76">
        <v>106.5</v>
      </c>
      <c r="AN78" s="76">
        <v>111.5</v>
      </c>
      <c r="AO78" s="76">
        <v>116.4</v>
      </c>
      <c r="AP78" s="76">
        <v>121.4</v>
      </c>
      <c r="AQ78" s="77">
        <v>126.4</v>
      </c>
    </row>
    <row r="79" spans="1:57">
      <c r="K79" s="71">
        <v>82</v>
      </c>
      <c r="L79" s="69">
        <v>-0.38329999999999997</v>
      </c>
      <c r="M79" s="69">
        <v>10.513999999999999</v>
      </c>
      <c r="N79" s="69">
        <v>8.9179999999999995E-2</v>
      </c>
      <c r="O79" s="70"/>
      <c r="P79" s="71">
        <v>82</v>
      </c>
      <c r="Q79" s="69">
        <v>-0.35210000000000002</v>
      </c>
      <c r="R79" s="69">
        <v>10.832100000000001</v>
      </c>
      <c r="S79" s="69">
        <v>8.2729999999999998E-2</v>
      </c>
      <c r="T79" s="70"/>
      <c r="U79" s="71">
        <v>102</v>
      </c>
      <c r="V79" s="69">
        <v>-0.38329999999999997</v>
      </c>
      <c r="W79" s="69">
        <v>15.8164</v>
      </c>
      <c r="X79" s="69">
        <v>9.146E-2</v>
      </c>
      <c r="Y79" s="70"/>
      <c r="Z79" s="71">
        <v>102</v>
      </c>
      <c r="AA79" s="69">
        <v>-0.35210000000000002</v>
      </c>
      <c r="AB79" s="69">
        <v>15.932</v>
      </c>
      <c r="AC79" s="69">
        <v>8.3280000000000007E-2</v>
      </c>
      <c r="AE79" s="75">
        <v>74</v>
      </c>
      <c r="AF79" s="76">
        <v>105.7</v>
      </c>
      <c r="AG79" s="76">
        <v>110.9</v>
      </c>
      <c r="AH79" s="76">
        <v>116.1</v>
      </c>
      <c r="AI79" s="76">
        <v>121.3</v>
      </c>
      <c r="AJ79" s="77">
        <v>126.4</v>
      </c>
      <c r="AL79" s="75">
        <v>74</v>
      </c>
      <c r="AM79" s="76">
        <v>107</v>
      </c>
      <c r="AN79" s="76">
        <v>111.9</v>
      </c>
      <c r="AO79" s="76">
        <v>116.9</v>
      </c>
      <c r="AP79" s="76">
        <v>121.9</v>
      </c>
      <c r="AQ79" s="77">
        <v>126.9</v>
      </c>
    </row>
    <row r="80" spans="1:57">
      <c r="K80" s="71">
        <v>82.5</v>
      </c>
      <c r="L80" s="69">
        <v>-0.38329999999999997</v>
      </c>
      <c r="M80" s="69">
        <v>10.626300000000001</v>
      </c>
      <c r="N80" s="69">
        <v>8.9139999999999997E-2</v>
      </c>
      <c r="O80" s="70"/>
      <c r="P80" s="71">
        <v>82.5</v>
      </c>
      <c r="Q80" s="69">
        <v>-0.35210000000000002</v>
      </c>
      <c r="R80" s="69">
        <v>10.935</v>
      </c>
      <c r="S80" s="69">
        <v>8.2600000000000007E-2</v>
      </c>
      <c r="T80" s="70"/>
      <c r="U80" s="71">
        <v>102.5</v>
      </c>
      <c r="V80" s="69">
        <v>-0.38329999999999997</v>
      </c>
      <c r="W80" s="69">
        <v>15.970700000000001</v>
      </c>
      <c r="X80" s="69">
        <v>9.1609999999999997E-2</v>
      </c>
      <c r="Y80" s="70"/>
      <c r="Z80" s="71">
        <v>102.5</v>
      </c>
      <c r="AA80" s="69">
        <v>-0.35210000000000002</v>
      </c>
      <c r="AB80" s="69">
        <v>16.080100000000002</v>
      </c>
      <c r="AC80" s="69">
        <v>8.3540000000000003E-2</v>
      </c>
      <c r="AE80" s="75">
        <v>75</v>
      </c>
      <c r="AF80" s="76">
        <v>106.1</v>
      </c>
      <c r="AG80" s="76">
        <v>111.3</v>
      </c>
      <c r="AH80" s="76">
        <v>116.6</v>
      </c>
      <c r="AI80" s="76">
        <v>121.8</v>
      </c>
      <c r="AJ80" s="77">
        <v>127</v>
      </c>
      <c r="AL80" s="75">
        <v>75</v>
      </c>
      <c r="AM80" s="76">
        <v>107.4</v>
      </c>
      <c r="AN80" s="76">
        <v>112.4</v>
      </c>
      <c r="AO80" s="76">
        <v>117.4</v>
      </c>
      <c r="AP80" s="76">
        <v>122.4</v>
      </c>
      <c r="AQ80" s="77">
        <v>127.5</v>
      </c>
    </row>
    <row r="81" spans="11:43">
      <c r="K81" s="71">
        <v>83</v>
      </c>
      <c r="L81" s="69">
        <v>-0.38329999999999997</v>
      </c>
      <c r="M81" s="69">
        <v>10.741</v>
      </c>
      <c r="N81" s="69">
        <v>8.9099999999999999E-2</v>
      </c>
      <c r="O81" s="70"/>
      <c r="P81" s="71">
        <v>83</v>
      </c>
      <c r="Q81" s="69">
        <v>-0.35210000000000002</v>
      </c>
      <c r="R81" s="69">
        <v>11.041499999999999</v>
      </c>
      <c r="S81" s="69">
        <v>8.2460000000000006E-2</v>
      </c>
      <c r="T81" s="70"/>
      <c r="U81" s="71">
        <v>103</v>
      </c>
      <c r="V81" s="69">
        <v>-0.38329999999999997</v>
      </c>
      <c r="W81" s="69">
        <v>16.127600000000001</v>
      </c>
      <c r="X81" s="69">
        <v>9.1770000000000004E-2</v>
      </c>
      <c r="Y81" s="70"/>
      <c r="Z81" s="71">
        <v>103</v>
      </c>
      <c r="AA81" s="69">
        <v>-0.35210000000000002</v>
      </c>
      <c r="AB81" s="69">
        <v>16.229800000000001</v>
      </c>
      <c r="AC81" s="69">
        <v>8.3809999999999996E-2</v>
      </c>
      <c r="AE81" s="75">
        <v>76</v>
      </c>
      <c r="AF81" s="76">
        <v>106.6</v>
      </c>
      <c r="AG81" s="76">
        <v>111.8</v>
      </c>
      <c r="AH81" s="76">
        <v>117</v>
      </c>
      <c r="AI81" s="76">
        <v>122.3</v>
      </c>
      <c r="AJ81" s="77">
        <v>127.5</v>
      </c>
      <c r="AL81" s="75">
        <v>76</v>
      </c>
      <c r="AM81" s="76">
        <v>107.8</v>
      </c>
      <c r="AN81" s="76">
        <v>112.9</v>
      </c>
      <c r="AO81" s="76">
        <v>117.9</v>
      </c>
      <c r="AP81" s="76">
        <v>123</v>
      </c>
      <c r="AQ81" s="77">
        <v>128</v>
      </c>
    </row>
    <row r="82" spans="11:43">
      <c r="K82" s="71">
        <v>83.5</v>
      </c>
      <c r="L82" s="69">
        <v>-0.38329999999999997</v>
      </c>
      <c r="M82" s="69">
        <v>10.857799999999999</v>
      </c>
      <c r="N82" s="69">
        <v>8.906E-2</v>
      </c>
      <c r="O82" s="70"/>
      <c r="P82" s="71">
        <v>83.5</v>
      </c>
      <c r="Q82" s="69">
        <v>-0.35210000000000002</v>
      </c>
      <c r="R82" s="69">
        <v>11.1516</v>
      </c>
      <c r="S82" s="69">
        <v>8.2309999999999994E-2</v>
      </c>
      <c r="T82" s="70"/>
      <c r="U82" s="71">
        <v>103.5</v>
      </c>
      <c r="V82" s="69">
        <v>-0.38329999999999997</v>
      </c>
      <c r="W82" s="69">
        <v>16.286999999999999</v>
      </c>
      <c r="X82" s="69">
        <v>9.1929999999999998E-2</v>
      </c>
      <c r="Y82" s="70"/>
      <c r="Z82" s="71">
        <v>103.5</v>
      </c>
      <c r="AA82" s="69">
        <v>-0.35210000000000002</v>
      </c>
      <c r="AB82" s="69">
        <v>16.3812</v>
      </c>
      <c r="AC82" s="69">
        <v>8.4080000000000002E-2</v>
      </c>
      <c r="AE82" s="75">
        <v>77</v>
      </c>
      <c r="AF82" s="76">
        <v>107</v>
      </c>
      <c r="AG82" s="76">
        <v>112.2</v>
      </c>
      <c r="AH82" s="76">
        <v>117.5</v>
      </c>
      <c r="AI82" s="76">
        <v>122.8</v>
      </c>
      <c r="AJ82" s="77">
        <v>128</v>
      </c>
      <c r="AL82" s="75">
        <v>77</v>
      </c>
      <c r="AM82" s="76">
        <v>108.2</v>
      </c>
      <c r="AN82" s="76">
        <v>113.3</v>
      </c>
      <c r="AO82" s="76">
        <v>118.4</v>
      </c>
      <c r="AP82" s="76">
        <v>123.5</v>
      </c>
      <c r="AQ82" s="77">
        <v>128.5</v>
      </c>
    </row>
    <row r="83" spans="11:43">
      <c r="K83" s="71">
        <v>84</v>
      </c>
      <c r="L83" s="69">
        <v>-0.38329999999999997</v>
      </c>
      <c r="M83" s="69">
        <v>10.976699999999999</v>
      </c>
      <c r="N83" s="69">
        <v>8.9029999999999998E-2</v>
      </c>
      <c r="O83" s="70"/>
      <c r="P83" s="71">
        <v>84</v>
      </c>
      <c r="Q83" s="69">
        <v>-0.35210000000000002</v>
      </c>
      <c r="R83" s="69">
        <v>11.2651</v>
      </c>
      <c r="S83" s="69">
        <v>8.2150000000000001E-2</v>
      </c>
      <c r="T83" s="70"/>
      <c r="U83" s="71">
        <v>104</v>
      </c>
      <c r="V83" s="69">
        <v>-0.38329999999999997</v>
      </c>
      <c r="W83" s="69">
        <v>16.448799999999999</v>
      </c>
      <c r="X83" s="69">
        <v>9.2090000000000005E-2</v>
      </c>
      <c r="Y83" s="70"/>
      <c r="Z83" s="71">
        <v>104</v>
      </c>
      <c r="AA83" s="69">
        <v>-0.35210000000000002</v>
      </c>
      <c r="AB83" s="69">
        <v>16.534199999999998</v>
      </c>
      <c r="AC83" s="69">
        <v>8.4360000000000004E-2</v>
      </c>
      <c r="AE83" s="75">
        <v>78</v>
      </c>
      <c r="AF83" s="76">
        <v>107.4</v>
      </c>
      <c r="AG83" s="76">
        <v>112.7</v>
      </c>
      <c r="AH83" s="76">
        <v>118</v>
      </c>
      <c r="AI83" s="76">
        <v>123.3</v>
      </c>
      <c r="AJ83" s="77">
        <v>128.6</v>
      </c>
      <c r="AL83" s="75">
        <v>78</v>
      </c>
      <c r="AM83" s="76">
        <v>108.7</v>
      </c>
      <c r="AN83" s="76">
        <v>113.8</v>
      </c>
      <c r="AO83" s="76">
        <v>118.9</v>
      </c>
      <c r="AP83" s="76">
        <v>124</v>
      </c>
      <c r="AQ83" s="77">
        <v>129.1</v>
      </c>
    </row>
    <row r="84" spans="11:43">
      <c r="K84" s="71">
        <v>84.5</v>
      </c>
      <c r="L84" s="69">
        <v>-0.38329999999999997</v>
      </c>
      <c r="M84" s="69">
        <v>11.0974</v>
      </c>
      <c r="N84" s="69">
        <v>8.8999999999999996E-2</v>
      </c>
      <c r="O84" s="70"/>
      <c r="P84" s="71">
        <v>84.5</v>
      </c>
      <c r="Q84" s="69">
        <v>-0.35210000000000002</v>
      </c>
      <c r="R84" s="69">
        <v>11.3817</v>
      </c>
      <c r="S84" s="69">
        <v>8.1979999999999997E-2</v>
      </c>
      <c r="T84" s="70"/>
      <c r="U84" s="71">
        <v>104.5</v>
      </c>
      <c r="V84" s="69">
        <v>-0.38329999999999997</v>
      </c>
      <c r="W84" s="69">
        <v>16.613099999999999</v>
      </c>
      <c r="X84" s="69">
        <v>9.2259999999999995E-2</v>
      </c>
      <c r="Y84" s="70"/>
      <c r="Z84" s="71">
        <v>104.5</v>
      </c>
      <c r="AA84" s="69">
        <v>-0.35210000000000002</v>
      </c>
      <c r="AB84" s="69">
        <v>16.6889</v>
      </c>
      <c r="AC84" s="69">
        <v>8.4640000000000007E-2</v>
      </c>
      <c r="AE84" s="75">
        <v>79</v>
      </c>
      <c r="AF84" s="76">
        <v>107.8</v>
      </c>
      <c r="AG84" s="76">
        <v>113.1</v>
      </c>
      <c r="AH84" s="76">
        <v>118.4</v>
      </c>
      <c r="AI84" s="76">
        <v>123.8</v>
      </c>
      <c r="AJ84" s="77">
        <v>129.1</v>
      </c>
      <c r="AL84" s="75">
        <v>79</v>
      </c>
      <c r="AM84" s="76">
        <v>109.1</v>
      </c>
      <c r="AN84" s="76">
        <v>114.2</v>
      </c>
      <c r="AO84" s="76">
        <v>119.4</v>
      </c>
      <c r="AP84" s="76">
        <v>124.5</v>
      </c>
      <c r="AQ84" s="77">
        <v>129.6</v>
      </c>
    </row>
    <row r="85" spans="11:43">
      <c r="K85" s="71">
        <v>85</v>
      </c>
      <c r="L85" s="69">
        <v>-0.38329999999999997</v>
      </c>
      <c r="M85" s="69">
        <v>11.219799999999999</v>
      </c>
      <c r="N85" s="69">
        <v>8.8980000000000004E-2</v>
      </c>
      <c r="O85" s="70"/>
      <c r="P85" s="71">
        <v>85</v>
      </c>
      <c r="Q85" s="69">
        <v>-0.35210000000000002</v>
      </c>
      <c r="R85" s="69">
        <v>11.5007</v>
      </c>
      <c r="S85" s="69">
        <v>8.1809999999999994E-2</v>
      </c>
      <c r="T85" s="70"/>
      <c r="U85" s="71">
        <v>105</v>
      </c>
      <c r="V85" s="69">
        <v>-0.38329999999999997</v>
      </c>
      <c r="W85" s="69">
        <v>16.78</v>
      </c>
      <c r="X85" s="69">
        <v>9.2429999999999998E-2</v>
      </c>
      <c r="Y85" s="70"/>
      <c r="Z85" s="71">
        <v>105</v>
      </c>
      <c r="AA85" s="69">
        <v>-0.35210000000000002</v>
      </c>
      <c r="AB85" s="69">
        <v>16.845400000000001</v>
      </c>
      <c r="AC85" s="69">
        <v>8.4930000000000005E-2</v>
      </c>
      <c r="AE85" s="75">
        <v>80</v>
      </c>
      <c r="AF85" s="76">
        <v>108.2</v>
      </c>
      <c r="AG85" s="76">
        <v>113.6</v>
      </c>
      <c r="AH85" s="76">
        <v>118.9</v>
      </c>
      <c r="AI85" s="76">
        <v>124.3</v>
      </c>
      <c r="AJ85" s="77">
        <v>129.6</v>
      </c>
      <c r="AL85" s="75">
        <v>80</v>
      </c>
      <c r="AM85" s="76">
        <v>109.5</v>
      </c>
      <c r="AN85" s="76">
        <v>114.7</v>
      </c>
      <c r="AO85" s="76">
        <v>119.8</v>
      </c>
      <c r="AP85" s="76">
        <v>125</v>
      </c>
      <c r="AQ85" s="77">
        <v>130.19999999999999</v>
      </c>
    </row>
    <row r="86" spans="11:43">
      <c r="K86" s="71">
        <v>85.5</v>
      </c>
      <c r="L86" s="69">
        <v>-0.38329999999999997</v>
      </c>
      <c r="M86" s="69">
        <v>11.343500000000001</v>
      </c>
      <c r="N86" s="69">
        <v>8.8969999999999994E-2</v>
      </c>
      <c r="O86" s="70"/>
      <c r="P86" s="71">
        <v>85.5</v>
      </c>
      <c r="Q86" s="69">
        <v>-0.35210000000000002</v>
      </c>
      <c r="R86" s="69">
        <v>11.6218</v>
      </c>
      <c r="S86" s="69">
        <v>8.1629999999999994E-2</v>
      </c>
      <c r="T86" s="70"/>
      <c r="U86" s="71">
        <v>105.5</v>
      </c>
      <c r="V86" s="69">
        <v>-0.38329999999999997</v>
      </c>
      <c r="W86" s="69">
        <v>16.9496</v>
      </c>
      <c r="X86" s="69">
        <v>9.2609999999999998E-2</v>
      </c>
      <c r="Y86" s="70"/>
      <c r="Z86" s="71">
        <v>105.5</v>
      </c>
      <c r="AA86" s="69">
        <v>-0.35210000000000002</v>
      </c>
      <c r="AB86" s="69">
        <v>17.003599999999999</v>
      </c>
      <c r="AC86" s="69">
        <v>8.5209999999999994E-2</v>
      </c>
      <c r="AE86" s="75">
        <v>81</v>
      </c>
      <c r="AF86" s="76">
        <v>108.6</v>
      </c>
      <c r="AG86" s="76">
        <v>114</v>
      </c>
      <c r="AH86" s="76">
        <v>119.4</v>
      </c>
      <c r="AI86" s="76">
        <v>124.8</v>
      </c>
      <c r="AJ86" s="77">
        <v>130.19999999999999</v>
      </c>
      <c r="AL86" s="75">
        <v>81</v>
      </c>
      <c r="AM86" s="76">
        <v>109.9</v>
      </c>
      <c r="AN86" s="76">
        <v>115.1</v>
      </c>
      <c r="AO86" s="76">
        <v>120.3</v>
      </c>
      <c r="AP86" s="76">
        <v>125.5</v>
      </c>
      <c r="AQ86" s="77">
        <v>130.69999999999999</v>
      </c>
    </row>
    <row r="87" spans="11:43">
      <c r="K87" s="71">
        <v>86</v>
      </c>
      <c r="L87" s="69">
        <v>-0.38329999999999997</v>
      </c>
      <c r="M87" s="69">
        <v>11.468400000000001</v>
      </c>
      <c r="N87" s="69">
        <v>8.8950000000000001E-2</v>
      </c>
      <c r="O87" s="70"/>
      <c r="P87" s="71">
        <v>86</v>
      </c>
      <c r="Q87" s="69">
        <v>-0.35210000000000002</v>
      </c>
      <c r="R87" s="69">
        <v>11.744400000000001</v>
      </c>
      <c r="S87" s="69">
        <v>8.1449999999999995E-2</v>
      </c>
      <c r="T87" s="70"/>
      <c r="U87" s="71">
        <v>106</v>
      </c>
      <c r="V87" s="69">
        <v>-0.38329999999999997</v>
      </c>
      <c r="W87" s="69">
        <v>17.122</v>
      </c>
      <c r="X87" s="69">
        <v>9.2780000000000001E-2</v>
      </c>
      <c r="Y87" s="70"/>
      <c r="Z87" s="71">
        <v>106</v>
      </c>
      <c r="AA87" s="69">
        <v>-0.35210000000000002</v>
      </c>
      <c r="AB87" s="69">
        <v>17.163699999999999</v>
      </c>
      <c r="AC87" s="69">
        <v>8.5510000000000003E-2</v>
      </c>
      <c r="AE87" s="75">
        <v>82</v>
      </c>
      <c r="AF87" s="76">
        <v>109</v>
      </c>
      <c r="AG87" s="76">
        <v>114.5</v>
      </c>
      <c r="AH87" s="76">
        <v>119.9</v>
      </c>
      <c r="AI87" s="76">
        <v>125.3</v>
      </c>
      <c r="AJ87" s="77">
        <v>130.69999999999999</v>
      </c>
      <c r="AL87" s="75">
        <v>82</v>
      </c>
      <c r="AM87" s="76">
        <v>110.3</v>
      </c>
      <c r="AN87" s="76">
        <v>115.6</v>
      </c>
      <c r="AO87" s="76">
        <v>120.8</v>
      </c>
      <c r="AP87" s="76">
        <v>126</v>
      </c>
      <c r="AQ87" s="77">
        <v>131.19999999999999</v>
      </c>
    </row>
    <row r="88" spans="11:43">
      <c r="K88" s="71">
        <v>86.5</v>
      </c>
      <c r="L88" s="69">
        <v>-0.38329999999999997</v>
      </c>
      <c r="M88" s="69">
        <v>11.593999999999999</v>
      </c>
      <c r="N88" s="69">
        <v>8.8950000000000001E-2</v>
      </c>
      <c r="O88" s="70"/>
      <c r="P88" s="71">
        <v>86.5</v>
      </c>
      <c r="Q88" s="69">
        <v>-0.35210000000000002</v>
      </c>
      <c r="R88" s="69">
        <v>11.867800000000001</v>
      </c>
      <c r="S88" s="69">
        <v>8.1280000000000005E-2</v>
      </c>
      <c r="T88" s="70"/>
      <c r="U88" s="71">
        <v>106.5</v>
      </c>
      <c r="V88" s="69">
        <v>-0.38329999999999997</v>
      </c>
      <c r="W88" s="69">
        <v>17.2973</v>
      </c>
      <c r="X88" s="69">
        <v>9.2960000000000001E-2</v>
      </c>
      <c r="Y88" s="70"/>
      <c r="Z88" s="71">
        <v>106.5</v>
      </c>
      <c r="AA88" s="69">
        <v>-0.35210000000000002</v>
      </c>
      <c r="AB88" s="69">
        <v>17.325600000000001</v>
      </c>
      <c r="AC88" s="69">
        <v>8.5800000000000001E-2</v>
      </c>
      <c r="AE88" s="75">
        <v>83</v>
      </c>
      <c r="AF88" s="76">
        <v>109.5</v>
      </c>
      <c r="AG88" s="76">
        <v>114.9</v>
      </c>
      <c r="AH88" s="76">
        <v>120.3</v>
      </c>
      <c r="AI88" s="76">
        <v>125.8</v>
      </c>
      <c r="AJ88" s="77">
        <v>131.19999999999999</v>
      </c>
      <c r="AL88" s="75">
        <v>83</v>
      </c>
      <c r="AM88" s="76">
        <v>110.8</v>
      </c>
      <c r="AN88" s="76">
        <v>116</v>
      </c>
      <c r="AO88" s="76">
        <v>121.3</v>
      </c>
      <c r="AP88" s="76">
        <v>126.5</v>
      </c>
      <c r="AQ88" s="77">
        <v>131.80000000000001</v>
      </c>
    </row>
    <row r="89" spans="11:43">
      <c r="K89" s="71">
        <v>87</v>
      </c>
      <c r="L89" s="69">
        <v>-0.38329999999999997</v>
      </c>
      <c r="M89" s="69">
        <v>11.7201</v>
      </c>
      <c r="N89" s="69">
        <v>8.8950000000000001E-2</v>
      </c>
      <c r="O89" s="70"/>
      <c r="P89" s="71">
        <v>87</v>
      </c>
      <c r="Q89" s="69">
        <v>-0.35210000000000002</v>
      </c>
      <c r="R89" s="69">
        <v>11.9916</v>
      </c>
      <c r="S89" s="69">
        <v>8.1110000000000002E-2</v>
      </c>
      <c r="T89" s="70"/>
      <c r="U89" s="71">
        <v>107</v>
      </c>
      <c r="V89" s="69">
        <v>-0.38329999999999997</v>
      </c>
      <c r="W89" s="69">
        <v>17.4755</v>
      </c>
      <c r="X89" s="69">
        <v>9.3149999999999997E-2</v>
      </c>
      <c r="Y89" s="70"/>
      <c r="Z89" s="71">
        <v>107</v>
      </c>
      <c r="AA89" s="69">
        <v>-0.35210000000000002</v>
      </c>
      <c r="AB89" s="69">
        <v>17.4894</v>
      </c>
      <c r="AC89" s="69">
        <v>8.6110000000000006E-2</v>
      </c>
      <c r="AE89" s="75">
        <v>84</v>
      </c>
      <c r="AF89" s="76">
        <v>109.9</v>
      </c>
      <c r="AG89" s="76">
        <v>115.3</v>
      </c>
      <c r="AH89" s="76">
        <v>120.8</v>
      </c>
      <c r="AI89" s="76">
        <v>126.3</v>
      </c>
      <c r="AJ89" s="77">
        <v>131.69999999999999</v>
      </c>
      <c r="AL89" s="75">
        <v>84</v>
      </c>
      <c r="AM89" s="76">
        <v>111.2</v>
      </c>
      <c r="AN89" s="76">
        <v>116.4</v>
      </c>
      <c r="AO89" s="76">
        <v>121.7</v>
      </c>
      <c r="AP89" s="76">
        <v>127</v>
      </c>
      <c r="AQ89" s="77">
        <v>132.30000000000001</v>
      </c>
    </row>
    <row r="90" spans="11:43">
      <c r="K90" s="71">
        <v>87.5</v>
      </c>
      <c r="L90" s="69">
        <v>-0.38329999999999997</v>
      </c>
      <c r="M90" s="69">
        <v>11.8461</v>
      </c>
      <c r="N90" s="69">
        <v>8.8950000000000001E-2</v>
      </c>
      <c r="O90" s="70"/>
      <c r="P90" s="71">
        <v>87.5</v>
      </c>
      <c r="Q90" s="69">
        <v>-0.35210000000000002</v>
      </c>
      <c r="R90" s="69">
        <v>12.1152</v>
      </c>
      <c r="S90" s="69">
        <v>8.0960000000000004E-2</v>
      </c>
      <c r="T90" s="70"/>
      <c r="U90" s="71">
        <v>107.5</v>
      </c>
      <c r="V90" s="69">
        <v>-0.38329999999999997</v>
      </c>
      <c r="W90" s="69">
        <v>17.656700000000001</v>
      </c>
      <c r="X90" s="69">
        <v>9.3329999999999996E-2</v>
      </c>
      <c r="Y90" s="70"/>
      <c r="Z90" s="71">
        <v>107.5</v>
      </c>
      <c r="AA90" s="69">
        <v>-0.35210000000000002</v>
      </c>
      <c r="AB90" s="69">
        <v>17.655000000000001</v>
      </c>
      <c r="AC90" s="69">
        <v>8.6410000000000001E-2</v>
      </c>
      <c r="AE90" s="75">
        <v>85</v>
      </c>
      <c r="AF90" s="76">
        <v>110.3</v>
      </c>
      <c r="AG90" s="76">
        <v>115.8</v>
      </c>
      <c r="AH90" s="76">
        <v>121.3</v>
      </c>
      <c r="AI90" s="76">
        <v>126.8</v>
      </c>
      <c r="AJ90" s="77">
        <v>132.30000000000001</v>
      </c>
      <c r="AL90" s="75">
        <v>85</v>
      </c>
      <c r="AM90" s="76">
        <v>111.6</v>
      </c>
      <c r="AN90" s="76">
        <v>116.9</v>
      </c>
      <c r="AO90" s="76">
        <v>122.2</v>
      </c>
      <c r="AP90" s="76">
        <v>127.5</v>
      </c>
      <c r="AQ90" s="77">
        <v>132.80000000000001</v>
      </c>
    </row>
    <row r="91" spans="11:43">
      <c r="K91" s="71">
        <v>88</v>
      </c>
      <c r="L91" s="69">
        <v>-0.38329999999999997</v>
      </c>
      <c r="M91" s="69">
        <v>11.972</v>
      </c>
      <c r="N91" s="69">
        <v>8.8959999999999997E-2</v>
      </c>
      <c r="O91" s="70"/>
      <c r="P91" s="71">
        <v>88</v>
      </c>
      <c r="Q91" s="69">
        <v>-0.35210000000000002</v>
      </c>
      <c r="R91" s="69">
        <v>12.238200000000001</v>
      </c>
      <c r="S91" s="69">
        <v>8.0820000000000003E-2</v>
      </c>
      <c r="T91" s="70"/>
      <c r="U91" s="71">
        <v>108</v>
      </c>
      <c r="V91" s="69">
        <v>-0.38329999999999997</v>
      </c>
      <c r="W91" s="69">
        <v>17.840699999999998</v>
      </c>
      <c r="X91" s="69">
        <v>9.3520000000000006E-2</v>
      </c>
      <c r="Y91" s="70"/>
      <c r="Z91" s="71">
        <v>108</v>
      </c>
      <c r="AA91" s="69">
        <v>-0.35210000000000002</v>
      </c>
      <c r="AB91" s="69">
        <v>17.822600000000001</v>
      </c>
      <c r="AC91" s="69">
        <v>8.6730000000000002E-2</v>
      </c>
      <c r="AE91" s="75">
        <v>86</v>
      </c>
      <c r="AF91" s="76">
        <v>110.7</v>
      </c>
      <c r="AG91" s="76">
        <v>116.2</v>
      </c>
      <c r="AH91" s="76">
        <v>121.8</v>
      </c>
      <c r="AI91" s="76">
        <v>127.3</v>
      </c>
      <c r="AJ91" s="77">
        <v>132.80000000000001</v>
      </c>
      <c r="AL91" s="75">
        <v>86</v>
      </c>
      <c r="AM91" s="76">
        <v>112</v>
      </c>
      <c r="AN91" s="76">
        <v>117.3</v>
      </c>
      <c r="AO91" s="76">
        <v>122.7</v>
      </c>
      <c r="AP91" s="76">
        <v>128</v>
      </c>
      <c r="AQ91" s="77">
        <v>133.4</v>
      </c>
    </row>
    <row r="92" spans="11:43">
      <c r="K92" s="71">
        <v>88.5</v>
      </c>
      <c r="L92" s="69">
        <v>-0.38329999999999997</v>
      </c>
      <c r="M92" s="69">
        <v>12.0976</v>
      </c>
      <c r="N92" s="69">
        <v>8.8980000000000004E-2</v>
      </c>
      <c r="O92" s="70"/>
      <c r="P92" s="71">
        <v>88.5</v>
      </c>
      <c r="Q92" s="69">
        <v>-0.35210000000000002</v>
      </c>
      <c r="R92" s="69">
        <v>12.360300000000001</v>
      </c>
      <c r="S92" s="69">
        <v>8.0689999999999998E-2</v>
      </c>
      <c r="T92" s="70"/>
      <c r="U92" s="71">
        <v>108.5</v>
      </c>
      <c r="V92" s="69">
        <v>-0.38329999999999997</v>
      </c>
      <c r="W92" s="69">
        <v>18.027699999999999</v>
      </c>
      <c r="X92" s="69">
        <v>9.3710000000000002E-2</v>
      </c>
      <c r="Y92" s="70"/>
      <c r="Z92" s="71">
        <v>108.5</v>
      </c>
      <c r="AA92" s="69">
        <v>-0.35210000000000002</v>
      </c>
      <c r="AB92" s="69">
        <v>17.9924</v>
      </c>
      <c r="AC92" s="69">
        <v>8.7040000000000006E-2</v>
      </c>
      <c r="AE92" s="75">
        <v>87</v>
      </c>
      <c r="AF92" s="76">
        <v>111.1</v>
      </c>
      <c r="AG92" s="76">
        <v>116.7</v>
      </c>
      <c r="AH92" s="76">
        <v>122.2</v>
      </c>
      <c r="AI92" s="76">
        <v>127.8</v>
      </c>
      <c r="AJ92" s="77">
        <v>133.30000000000001</v>
      </c>
      <c r="AL92" s="75">
        <v>87</v>
      </c>
      <c r="AM92" s="76">
        <v>112.4</v>
      </c>
      <c r="AN92" s="76">
        <v>117.8</v>
      </c>
      <c r="AO92" s="76">
        <v>123.1</v>
      </c>
      <c r="AP92" s="76">
        <v>128.5</v>
      </c>
      <c r="AQ92" s="77">
        <v>133.9</v>
      </c>
    </row>
    <row r="93" spans="11:43">
      <c r="K93" s="71">
        <v>89</v>
      </c>
      <c r="L93" s="69">
        <v>-0.38329999999999997</v>
      </c>
      <c r="M93" s="69">
        <v>12.222899999999999</v>
      </c>
      <c r="N93" s="69">
        <v>8.8999999999999996E-2</v>
      </c>
      <c r="O93" s="70"/>
      <c r="P93" s="71">
        <v>89</v>
      </c>
      <c r="Q93" s="69">
        <v>-0.35210000000000002</v>
      </c>
      <c r="R93" s="69">
        <v>12.4815</v>
      </c>
      <c r="S93" s="69">
        <v>8.0579999999999999E-2</v>
      </c>
      <c r="T93" s="70"/>
      <c r="U93" s="71">
        <v>109</v>
      </c>
      <c r="V93" s="69">
        <v>-0.38329999999999997</v>
      </c>
      <c r="W93" s="69">
        <v>18.217400000000001</v>
      </c>
      <c r="X93" s="69">
        <v>9.3899999999999997E-2</v>
      </c>
      <c r="Y93" s="70"/>
      <c r="Z93" s="71">
        <v>109</v>
      </c>
      <c r="AA93" s="69">
        <v>-0.35210000000000002</v>
      </c>
      <c r="AB93" s="69">
        <v>18.1645</v>
      </c>
      <c r="AC93" s="69">
        <v>8.7359999999999993E-2</v>
      </c>
      <c r="AE93" s="75">
        <v>88</v>
      </c>
      <c r="AF93" s="76">
        <v>111.6</v>
      </c>
      <c r="AG93" s="76">
        <v>117.1</v>
      </c>
      <c r="AH93" s="76">
        <v>122.7</v>
      </c>
      <c r="AI93" s="76">
        <v>128.30000000000001</v>
      </c>
      <c r="AJ93" s="77">
        <v>133.9</v>
      </c>
      <c r="AL93" s="75">
        <v>88</v>
      </c>
      <c r="AM93" s="76">
        <v>112.8</v>
      </c>
      <c r="AN93" s="76">
        <v>118.2</v>
      </c>
      <c r="AO93" s="76">
        <v>123.6</v>
      </c>
      <c r="AP93" s="76">
        <v>129</v>
      </c>
      <c r="AQ93" s="77">
        <v>134.4</v>
      </c>
    </row>
    <row r="94" spans="11:43">
      <c r="K94" s="71">
        <v>89.5</v>
      </c>
      <c r="L94" s="69">
        <v>-0.38329999999999997</v>
      </c>
      <c r="M94" s="69">
        <v>12.3477</v>
      </c>
      <c r="N94" s="69">
        <v>8.9029999999999998E-2</v>
      </c>
      <c r="O94" s="70"/>
      <c r="P94" s="71">
        <v>89.5</v>
      </c>
      <c r="Q94" s="69">
        <v>-0.35210000000000002</v>
      </c>
      <c r="R94" s="69">
        <v>12.601699999999999</v>
      </c>
      <c r="S94" s="69">
        <v>8.0479999999999996E-2</v>
      </c>
      <c r="T94" s="70"/>
      <c r="U94" s="71">
        <v>109.5</v>
      </c>
      <c r="V94" s="69">
        <v>-0.38329999999999997</v>
      </c>
      <c r="W94" s="69">
        <v>18.409600000000001</v>
      </c>
      <c r="X94" s="69">
        <v>9.4089999999999993E-2</v>
      </c>
      <c r="Y94" s="70"/>
      <c r="Z94" s="71">
        <v>109.5</v>
      </c>
      <c r="AA94" s="69">
        <v>-0.35210000000000002</v>
      </c>
      <c r="AB94" s="69">
        <v>18.338999999999999</v>
      </c>
      <c r="AC94" s="69">
        <v>8.7679999999999994E-2</v>
      </c>
      <c r="AE94" s="75">
        <v>89</v>
      </c>
      <c r="AF94" s="76">
        <v>112</v>
      </c>
      <c r="AG94" s="76">
        <v>117.6</v>
      </c>
      <c r="AH94" s="76">
        <v>123.2</v>
      </c>
      <c r="AI94" s="76">
        <v>128.80000000000001</v>
      </c>
      <c r="AJ94" s="77">
        <v>134.4</v>
      </c>
      <c r="AL94" s="75">
        <v>89</v>
      </c>
      <c r="AM94" s="76">
        <v>113.2</v>
      </c>
      <c r="AN94" s="76">
        <v>118.6</v>
      </c>
      <c r="AO94" s="76">
        <v>124.1</v>
      </c>
      <c r="AP94" s="76">
        <v>129.5</v>
      </c>
      <c r="AQ94" s="77">
        <v>134.9</v>
      </c>
    </row>
    <row r="95" spans="11:43">
      <c r="K95" s="71">
        <v>90</v>
      </c>
      <c r="L95" s="69">
        <v>-0.38329999999999997</v>
      </c>
      <c r="M95" s="69">
        <v>12.472300000000001</v>
      </c>
      <c r="N95" s="69">
        <v>8.906E-2</v>
      </c>
      <c r="O95" s="70"/>
      <c r="P95" s="71">
        <v>90</v>
      </c>
      <c r="Q95" s="69">
        <v>-0.35210000000000002</v>
      </c>
      <c r="R95" s="69">
        <v>12.7209</v>
      </c>
      <c r="S95" s="69">
        <v>8.0409999999999995E-2</v>
      </c>
      <c r="T95" s="70"/>
      <c r="U95" s="71">
        <v>110</v>
      </c>
      <c r="V95" s="69">
        <v>-0.38329999999999997</v>
      </c>
      <c r="W95" s="69">
        <v>18.604299999999999</v>
      </c>
      <c r="X95" s="69">
        <v>9.4280000000000003E-2</v>
      </c>
      <c r="Y95" s="70"/>
      <c r="Z95" s="71">
        <v>110</v>
      </c>
      <c r="AA95" s="69">
        <v>-0.35210000000000002</v>
      </c>
      <c r="AB95" s="69">
        <v>18.515799999999999</v>
      </c>
      <c r="AC95" s="69">
        <v>8.7999999999999995E-2</v>
      </c>
      <c r="AE95" s="75">
        <v>90</v>
      </c>
      <c r="AF95" s="76">
        <v>112.4</v>
      </c>
      <c r="AG95" s="76">
        <v>118</v>
      </c>
      <c r="AH95" s="76">
        <v>123.7</v>
      </c>
      <c r="AI95" s="76">
        <v>129.30000000000001</v>
      </c>
      <c r="AJ95" s="77">
        <v>134.9</v>
      </c>
      <c r="AL95" s="75">
        <v>90</v>
      </c>
      <c r="AM95" s="76">
        <v>113.6</v>
      </c>
      <c r="AN95" s="76">
        <v>119.1</v>
      </c>
      <c r="AO95" s="76">
        <v>124.5</v>
      </c>
      <c r="AP95" s="76">
        <v>130</v>
      </c>
      <c r="AQ95" s="77">
        <v>135.5</v>
      </c>
    </row>
    <row r="96" spans="11:43">
      <c r="K96" s="71">
        <v>90.5</v>
      </c>
      <c r="L96" s="69">
        <v>-0.38329999999999997</v>
      </c>
      <c r="M96" s="69">
        <v>12.596500000000001</v>
      </c>
      <c r="N96" s="69">
        <v>8.9090000000000003E-2</v>
      </c>
      <c r="O96" s="70"/>
      <c r="P96" s="71">
        <v>90.5</v>
      </c>
      <c r="Q96" s="69">
        <v>-0.35210000000000002</v>
      </c>
      <c r="R96" s="69">
        <v>12.8392</v>
      </c>
      <c r="S96" s="69">
        <v>8.0339999999999995E-2</v>
      </c>
      <c r="T96" s="70"/>
      <c r="U96" s="71">
        <v>110.5</v>
      </c>
      <c r="V96" s="69">
        <v>-0.38329999999999997</v>
      </c>
      <c r="W96" s="69">
        <v>18.801500000000001</v>
      </c>
      <c r="X96" s="69">
        <v>9.4479999999999995E-2</v>
      </c>
      <c r="Y96" s="70"/>
      <c r="Z96" s="71">
        <v>110.5</v>
      </c>
      <c r="AA96" s="69">
        <v>-0.35210000000000002</v>
      </c>
      <c r="AB96" s="69">
        <v>18.694800000000001</v>
      </c>
      <c r="AC96" s="69">
        <v>8.8319999999999996E-2</v>
      </c>
      <c r="AE96" s="75">
        <v>91</v>
      </c>
      <c r="AF96" s="76">
        <v>112.8</v>
      </c>
      <c r="AG96" s="76">
        <v>118.5</v>
      </c>
      <c r="AH96" s="76">
        <v>124.1</v>
      </c>
      <c r="AI96" s="76">
        <v>129.80000000000001</v>
      </c>
      <c r="AJ96" s="77">
        <v>135.5</v>
      </c>
      <c r="AL96" s="75">
        <v>91</v>
      </c>
      <c r="AM96" s="76">
        <v>114</v>
      </c>
      <c r="AN96" s="76">
        <v>119.5</v>
      </c>
      <c r="AO96" s="76">
        <v>125</v>
      </c>
      <c r="AP96" s="76">
        <v>130.5</v>
      </c>
      <c r="AQ96" s="77">
        <v>136</v>
      </c>
    </row>
    <row r="97" spans="11:43">
      <c r="K97" s="71">
        <v>91</v>
      </c>
      <c r="L97" s="69">
        <v>-0.38329999999999997</v>
      </c>
      <c r="M97" s="69">
        <v>12.720499999999999</v>
      </c>
      <c r="N97" s="69">
        <v>8.9130000000000001E-2</v>
      </c>
      <c r="O97" s="70"/>
      <c r="P97" s="71">
        <v>91</v>
      </c>
      <c r="Q97" s="69">
        <v>-0.35210000000000002</v>
      </c>
      <c r="R97" s="69">
        <v>12.956899999999999</v>
      </c>
      <c r="S97" s="69">
        <v>8.0299999999999996E-2</v>
      </c>
      <c r="T97" s="70"/>
      <c r="U97" s="71">
        <v>111</v>
      </c>
      <c r="V97" s="69">
        <v>-0.38329999999999997</v>
      </c>
      <c r="W97" s="69">
        <v>19.000900000000001</v>
      </c>
      <c r="X97" s="69">
        <v>9.4670000000000004E-2</v>
      </c>
      <c r="Y97" s="70"/>
      <c r="Z97" s="71">
        <v>111</v>
      </c>
      <c r="AA97" s="69">
        <v>-0.35210000000000002</v>
      </c>
      <c r="AB97" s="69">
        <v>18.875900000000001</v>
      </c>
      <c r="AC97" s="69">
        <v>8.8639999999999997E-2</v>
      </c>
      <c r="AE97" s="75">
        <v>92</v>
      </c>
      <c r="AF97" s="76">
        <v>113.2</v>
      </c>
      <c r="AG97" s="76">
        <v>118.9</v>
      </c>
      <c r="AH97" s="76">
        <v>124.6</v>
      </c>
      <c r="AI97" s="76">
        <v>130.30000000000001</v>
      </c>
      <c r="AJ97" s="77">
        <v>136</v>
      </c>
      <c r="AL97" s="75">
        <v>92</v>
      </c>
      <c r="AM97" s="76">
        <v>114.4</v>
      </c>
      <c r="AN97" s="76">
        <v>119.9</v>
      </c>
      <c r="AO97" s="76">
        <v>125.5</v>
      </c>
      <c r="AP97" s="76">
        <v>131</v>
      </c>
      <c r="AQ97" s="77">
        <v>136.5</v>
      </c>
    </row>
    <row r="98" spans="11:43">
      <c r="K98" s="71">
        <v>91.5</v>
      </c>
      <c r="L98" s="69">
        <v>-0.38329999999999997</v>
      </c>
      <c r="M98" s="69">
        <v>12.8443</v>
      </c>
      <c r="N98" s="69">
        <v>8.9179999999999995E-2</v>
      </c>
      <c r="O98" s="70"/>
      <c r="P98" s="71">
        <v>91.5</v>
      </c>
      <c r="Q98" s="69">
        <v>-0.35210000000000002</v>
      </c>
      <c r="R98" s="69">
        <v>13.074199999999999</v>
      </c>
      <c r="S98" s="69">
        <v>8.0259999999999998E-2</v>
      </c>
      <c r="T98" s="70"/>
      <c r="U98" s="71">
        <v>111.5</v>
      </c>
      <c r="V98" s="69">
        <v>-0.38329999999999997</v>
      </c>
      <c r="W98" s="69">
        <v>19.202400000000001</v>
      </c>
      <c r="X98" s="69">
        <v>9.4869999999999996E-2</v>
      </c>
      <c r="Y98" s="70"/>
      <c r="Z98" s="71">
        <v>111.5</v>
      </c>
      <c r="AA98" s="69">
        <v>-0.35210000000000002</v>
      </c>
      <c r="AB98" s="69">
        <v>19.059000000000001</v>
      </c>
      <c r="AC98" s="69">
        <v>8.8959999999999997E-2</v>
      </c>
      <c r="AE98" s="75">
        <v>93</v>
      </c>
      <c r="AF98" s="76">
        <v>113.7</v>
      </c>
      <c r="AG98" s="76">
        <v>119.4</v>
      </c>
      <c r="AH98" s="76">
        <v>125.1</v>
      </c>
      <c r="AI98" s="76">
        <v>130.80000000000001</v>
      </c>
      <c r="AJ98" s="77">
        <v>136.5</v>
      </c>
      <c r="AL98" s="75">
        <v>93</v>
      </c>
      <c r="AM98" s="76">
        <v>114.8</v>
      </c>
      <c r="AN98" s="76">
        <v>120.4</v>
      </c>
      <c r="AO98" s="76">
        <v>125.9</v>
      </c>
      <c r="AP98" s="76">
        <v>131.5</v>
      </c>
      <c r="AQ98" s="77">
        <v>137</v>
      </c>
    </row>
    <row r="99" spans="11:43">
      <c r="K99" s="71">
        <v>92</v>
      </c>
      <c r="L99" s="69">
        <v>-0.38329999999999997</v>
      </c>
      <c r="M99" s="69">
        <v>12.9681</v>
      </c>
      <c r="N99" s="69">
        <v>8.9230000000000004E-2</v>
      </c>
      <c r="O99" s="70"/>
      <c r="P99" s="71">
        <v>92</v>
      </c>
      <c r="Q99" s="69">
        <v>-0.35210000000000002</v>
      </c>
      <c r="R99" s="69">
        <v>13.191000000000001</v>
      </c>
      <c r="S99" s="69">
        <v>8.0250000000000002E-2</v>
      </c>
      <c r="T99" s="70"/>
      <c r="U99" s="71">
        <v>112</v>
      </c>
      <c r="V99" s="69">
        <v>-0.38329999999999997</v>
      </c>
      <c r="W99" s="69">
        <v>19.405999999999999</v>
      </c>
      <c r="X99" s="69">
        <v>9.5070000000000002E-2</v>
      </c>
      <c r="Y99" s="70"/>
      <c r="Z99" s="71">
        <v>112</v>
      </c>
      <c r="AA99" s="69">
        <v>-0.35210000000000002</v>
      </c>
      <c r="AB99" s="69">
        <v>19.2439</v>
      </c>
      <c r="AC99" s="69">
        <v>8.9279999999999998E-2</v>
      </c>
      <c r="AE99" s="75">
        <v>94</v>
      </c>
      <c r="AF99" s="76">
        <v>114.1</v>
      </c>
      <c r="AG99" s="76">
        <v>119.8</v>
      </c>
      <c r="AH99" s="76">
        <v>125.6</v>
      </c>
      <c r="AI99" s="76">
        <v>131.30000000000001</v>
      </c>
      <c r="AJ99" s="77">
        <v>137.1</v>
      </c>
      <c r="AL99" s="75">
        <v>94</v>
      </c>
      <c r="AM99" s="76">
        <v>115.2</v>
      </c>
      <c r="AN99" s="76">
        <v>120.8</v>
      </c>
      <c r="AO99" s="76">
        <v>126.4</v>
      </c>
      <c r="AP99" s="76">
        <v>132</v>
      </c>
      <c r="AQ99" s="77">
        <v>137.5</v>
      </c>
    </row>
    <row r="100" spans="11:43">
      <c r="K100" s="71">
        <v>92.5</v>
      </c>
      <c r="L100" s="69">
        <v>-0.38329999999999997</v>
      </c>
      <c r="M100" s="69">
        <v>13.092000000000001</v>
      </c>
      <c r="N100" s="69">
        <v>8.9279999999999998E-2</v>
      </c>
      <c r="O100" s="70"/>
      <c r="P100" s="71">
        <v>92.5</v>
      </c>
      <c r="Q100" s="69">
        <v>-0.35210000000000002</v>
      </c>
      <c r="R100" s="69">
        <v>13.307499999999999</v>
      </c>
      <c r="S100" s="69">
        <v>8.0250000000000002E-2</v>
      </c>
      <c r="T100" s="70"/>
      <c r="U100" s="71">
        <v>112.5</v>
      </c>
      <c r="V100" s="69">
        <v>-0.38329999999999997</v>
      </c>
      <c r="W100" s="69">
        <v>19.611599999999999</v>
      </c>
      <c r="X100" s="69">
        <v>9.5269999999999994E-2</v>
      </c>
      <c r="Y100" s="70"/>
      <c r="Z100" s="71">
        <v>112.5</v>
      </c>
      <c r="AA100" s="69">
        <v>-0.35210000000000002</v>
      </c>
      <c r="AB100" s="69">
        <v>19.430399999999999</v>
      </c>
      <c r="AC100" s="69">
        <v>8.9599999999999999E-2</v>
      </c>
      <c r="AE100" s="75">
        <v>95</v>
      </c>
      <c r="AF100" s="76">
        <v>114.5</v>
      </c>
      <c r="AG100" s="76">
        <v>120.3</v>
      </c>
      <c r="AH100" s="76">
        <v>126.1</v>
      </c>
      <c r="AI100" s="76">
        <v>131.80000000000001</v>
      </c>
      <c r="AJ100" s="77">
        <v>137.6</v>
      </c>
      <c r="AL100" s="75">
        <v>95</v>
      </c>
      <c r="AM100" s="76">
        <v>115.6</v>
      </c>
      <c r="AN100" s="76">
        <v>121.2</v>
      </c>
      <c r="AO100" s="76">
        <v>126.8</v>
      </c>
      <c r="AP100" s="76">
        <v>132.4</v>
      </c>
      <c r="AQ100" s="77">
        <v>138.1</v>
      </c>
    </row>
    <row r="101" spans="11:43">
      <c r="K101" s="71">
        <v>93</v>
      </c>
      <c r="L101" s="69">
        <v>-0.38329999999999997</v>
      </c>
      <c r="M101" s="69">
        <v>13.2158</v>
      </c>
      <c r="N101" s="69">
        <v>8.9340000000000003E-2</v>
      </c>
      <c r="O101" s="70"/>
      <c r="P101" s="71">
        <v>93</v>
      </c>
      <c r="Q101" s="69">
        <v>-0.35210000000000002</v>
      </c>
      <c r="R101" s="69">
        <v>13.4239</v>
      </c>
      <c r="S101" s="69">
        <v>8.0259999999999998E-2</v>
      </c>
      <c r="T101" s="70"/>
      <c r="U101" s="71">
        <v>113</v>
      </c>
      <c r="V101" s="69">
        <v>-0.38329999999999997</v>
      </c>
      <c r="W101" s="69">
        <v>19.818999999999999</v>
      </c>
      <c r="X101" s="69">
        <v>9.5460000000000003E-2</v>
      </c>
      <c r="Y101" s="70"/>
      <c r="Z101" s="71">
        <v>113</v>
      </c>
      <c r="AA101" s="69">
        <v>-0.35210000000000002</v>
      </c>
      <c r="AB101" s="69">
        <v>19.618500000000001</v>
      </c>
      <c r="AC101" s="69">
        <v>8.9910000000000004E-2</v>
      </c>
      <c r="AE101" s="75">
        <v>96</v>
      </c>
      <c r="AF101" s="76">
        <v>115</v>
      </c>
      <c r="AG101" s="76">
        <v>120.8</v>
      </c>
      <c r="AH101" s="76">
        <v>126.6</v>
      </c>
      <c r="AI101" s="76">
        <v>132.4</v>
      </c>
      <c r="AJ101" s="77">
        <v>138.19999999999999</v>
      </c>
      <c r="AL101" s="75">
        <v>96</v>
      </c>
      <c r="AM101" s="76">
        <v>116</v>
      </c>
      <c r="AN101" s="76">
        <v>121.6</v>
      </c>
      <c r="AO101" s="76">
        <v>127.3</v>
      </c>
      <c r="AP101" s="76">
        <v>132.9</v>
      </c>
      <c r="AQ101" s="77">
        <v>138.6</v>
      </c>
    </row>
    <row r="102" spans="11:43">
      <c r="K102" s="71">
        <v>93.5</v>
      </c>
      <c r="L102" s="69">
        <v>-0.38329999999999997</v>
      </c>
      <c r="M102" s="69">
        <v>13.3399</v>
      </c>
      <c r="N102" s="69">
        <v>8.9410000000000003E-2</v>
      </c>
      <c r="O102" s="70"/>
      <c r="P102" s="71">
        <v>93.5</v>
      </c>
      <c r="Q102" s="69">
        <v>-0.35210000000000002</v>
      </c>
      <c r="R102" s="69">
        <v>13.5404</v>
      </c>
      <c r="S102" s="69">
        <v>8.029E-2</v>
      </c>
      <c r="T102" s="70"/>
      <c r="U102" s="71">
        <v>113.5</v>
      </c>
      <c r="V102" s="69">
        <v>-0.38329999999999997</v>
      </c>
      <c r="W102" s="69">
        <v>20.027999999999999</v>
      </c>
      <c r="X102" s="69">
        <v>9.5659999999999995E-2</v>
      </c>
      <c r="Y102" s="70"/>
      <c r="Z102" s="71">
        <v>113.5</v>
      </c>
      <c r="AA102" s="69">
        <v>-0.35210000000000002</v>
      </c>
      <c r="AB102" s="69">
        <v>19.8081</v>
      </c>
      <c r="AC102" s="69">
        <v>9.0219999999999995E-2</v>
      </c>
      <c r="AE102" s="75">
        <v>97</v>
      </c>
      <c r="AF102" s="76">
        <v>115.4</v>
      </c>
      <c r="AG102" s="76">
        <v>121.2</v>
      </c>
      <c r="AH102" s="76">
        <v>127</v>
      </c>
      <c r="AI102" s="76">
        <v>132.9</v>
      </c>
      <c r="AJ102" s="77">
        <v>138.69999999999999</v>
      </c>
      <c r="AL102" s="75">
        <v>97</v>
      </c>
      <c r="AM102" s="76">
        <v>116.4</v>
      </c>
      <c r="AN102" s="76">
        <v>122</v>
      </c>
      <c r="AO102" s="76">
        <v>127.7</v>
      </c>
      <c r="AP102" s="76">
        <v>133.4</v>
      </c>
      <c r="AQ102" s="77">
        <v>139.1</v>
      </c>
    </row>
    <row r="103" spans="11:43">
      <c r="K103" s="71">
        <v>94</v>
      </c>
      <c r="L103" s="69">
        <v>-0.38329999999999997</v>
      </c>
      <c r="M103" s="69">
        <v>13.4643</v>
      </c>
      <c r="N103" s="69">
        <v>8.9480000000000004E-2</v>
      </c>
      <c r="O103" s="70"/>
      <c r="P103" s="71">
        <v>94</v>
      </c>
      <c r="Q103" s="69">
        <v>-0.35210000000000002</v>
      </c>
      <c r="R103" s="69">
        <v>13.6572</v>
      </c>
      <c r="S103" s="69">
        <v>8.0339999999999995E-2</v>
      </c>
      <c r="T103" s="70"/>
      <c r="U103" s="71">
        <v>114</v>
      </c>
      <c r="V103" s="69">
        <v>-0.38329999999999997</v>
      </c>
      <c r="W103" s="69">
        <v>20.238499999999998</v>
      </c>
      <c r="X103" s="69">
        <v>9.5860000000000001E-2</v>
      </c>
      <c r="Y103" s="70"/>
      <c r="Z103" s="71">
        <v>114</v>
      </c>
      <c r="AA103" s="69">
        <v>-0.35210000000000002</v>
      </c>
      <c r="AB103" s="69">
        <v>19.998999999999999</v>
      </c>
      <c r="AC103" s="69">
        <v>9.0539999999999995E-2</v>
      </c>
      <c r="AE103" s="75">
        <v>98</v>
      </c>
      <c r="AF103" s="76">
        <v>115.8</v>
      </c>
      <c r="AG103" s="76">
        <v>121.7</v>
      </c>
      <c r="AH103" s="76">
        <v>127.5</v>
      </c>
      <c r="AI103" s="76">
        <v>133.4</v>
      </c>
      <c r="AJ103" s="77">
        <v>139.19999999999999</v>
      </c>
      <c r="AL103" s="75">
        <v>98</v>
      </c>
      <c r="AM103" s="76">
        <v>116.7</v>
      </c>
      <c r="AN103" s="76">
        <v>122.5</v>
      </c>
      <c r="AO103" s="76">
        <v>128.19999999999999</v>
      </c>
      <c r="AP103" s="76">
        <v>133.9</v>
      </c>
      <c r="AQ103" s="77">
        <v>139.6</v>
      </c>
    </row>
    <row r="104" spans="11:43">
      <c r="K104" s="71">
        <v>94.5</v>
      </c>
      <c r="L104" s="69">
        <v>-0.38329999999999997</v>
      </c>
      <c r="M104" s="69">
        <v>13.5892</v>
      </c>
      <c r="N104" s="69">
        <v>8.9550000000000005E-2</v>
      </c>
      <c r="O104" s="70"/>
      <c r="P104" s="71">
        <v>94.5</v>
      </c>
      <c r="Q104" s="69">
        <v>-0.35210000000000002</v>
      </c>
      <c r="R104" s="69">
        <v>13.7746</v>
      </c>
      <c r="S104" s="69">
        <v>8.0399999999999999E-2</v>
      </c>
      <c r="T104" s="70"/>
      <c r="U104" s="71">
        <v>114.5</v>
      </c>
      <c r="V104" s="69">
        <v>-0.38329999999999997</v>
      </c>
      <c r="W104" s="69">
        <v>20.450199999999999</v>
      </c>
      <c r="X104" s="69">
        <v>9.6060000000000006E-2</v>
      </c>
      <c r="Y104" s="70"/>
      <c r="Z104" s="71">
        <v>114.5</v>
      </c>
      <c r="AA104" s="69">
        <v>-0.35210000000000002</v>
      </c>
      <c r="AB104" s="69">
        <v>20.191199999999998</v>
      </c>
      <c r="AC104" s="69">
        <v>9.085E-2</v>
      </c>
      <c r="AE104" s="75">
        <v>99</v>
      </c>
      <c r="AF104" s="76">
        <v>116.3</v>
      </c>
      <c r="AG104" s="76">
        <v>122.1</v>
      </c>
      <c r="AH104" s="76">
        <v>128</v>
      </c>
      <c r="AI104" s="76">
        <v>133.9</v>
      </c>
      <c r="AJ104" s="77">
        <v>139.80000000000001</v>
      </c>
      <c r="AL104" s="75">
        <v>99</v>
      </c>
      <c r="AM104" s="76">
        <v>117.1</v>
      </c>
      <c r="AN104" s="76">
        <v>122.9</v>
      </c>
      <c r="AO104" s="76">
        <v>128.6</v>
      </c>
      <c r="AP104" s="76">
        <v>134.30000000000001</v>
      </c>
      <c r="AQ104" s="77">
        <v>140.1</v>
      </c>
    </row>
    <row r="105" spans="11:43">
      <c r="K105" s="71">
        <v>95</v>
      </c>
      <c r="L105" s="69">
        <v>-0.38329999999999997</v>
      </c>
      <c r="M105" s="69">
        <v>13.714600000000001</v>
      </c>
      <c r="N105" s="69">
        <v>8.9630000000000001E-2</v>
      </c>
      <c r="O105" s="70"/>
      <c r="P105" s="71">
        <v>95</v>
      </c>
      <c r="Q105" s="69">
        <v>-0.35210000000000002</v>
      </c>
      <c r="R105" s="69">
        <v>13.892799999999999</v>
      </c>
      <c r="S105" s="69">
        <v>8.047E-2</v>
      </c>
      <c r="T105" s="70"/>
      <c r="U105" s="71">
        <v>115</v>
      </c>
      <c r="V105" s="69">
        <v>-0.38329999999999997</v>
      </c>
      <c r="W105" s="69">
        <v>20.6629</v>
      </c>
      <c r="X105" s="69">
        <v>9.6259999999999998E-2</v>
      </c>
      <c r="Y105" s="70"/>
      <c r="Z105" s="71">
        <v>115</v>
      </c>
      <c r="AA105" s="69">
        <v>-0.35210000000000002</v>
      </c>
      <c r="AB105" s="69">
        <v>20.384599999999999</v>
      </c>
      <c r="AC105" s="69">
        <v>9.1160000000000005E-2</v>
      </c>
      <c r="AE105" s="75">
        <v>100</v>
      </c>
      <c r="AF105" s="76">
        <v>116.7</v>
      </c>
      <c r="AG105" s="76">
        <v>122.6</v>
      </c>
      <c r="AH105" s="76">
        <v>128.5</v>
      </c>
      <c r="AI105" s="76">
        <v>134.4</v>
      </c>
      <c r="AJ105" s="77">
        <v>140.30000000000001</v>
      </c>
      <c r="AL105" s="75">
        <v>100</v>
      </c>
      <c r="AM105" s="76">
        <v>117.5</v>
      </c>
      <c r="AN105" s="76">
        <v>123.3</v>
      </c>
      <c r="AO105" s="76">
        <v>129</v>
      </c>
      <c r="AP105" s="76">
        <v>134.80000000000001</v>
      </c>
      <c r="AQ105" s="77">
        <v>140.6</v>
      </c>
    </row>
    <row r="106" spans="11:43">
      <c r="K106" s="71">
        <v>95.5</v>
      </c>
      <c r="L106" s="69">
        <v>-0.38329999999999997</v>
      </c>
      <c r="M106" s="69">
        <v>13.8408</v>
      </c>
      <c r="N106" s="69">
        <v>8.9719999999999994E-2</v>
      </c>
      <c r="O106" s="70"/>
      <c r="P106" s="71">
        <v>95.5</v>
      </c>
      <c r="Q106" s="69">
        <v>-0.35210000000000002</v>
      </c>
      <c r="R106" s="69">
        <v>14.012</v>
      </c>
      <c r="S106" s="69">
        <v>8.0560000000000007E-2</v>
      </c>
      <c r="T106" s="70"/>
      <c r="U106" s="71">
        <v>115.5</v>
      </c>
      <c r="V106" s="69">
        <v>-0.38329999999999997</v>
      </c>
      <c r="W106" s="69">
        <v>20.8766</v>
      </c>
      <c r="X106" s="69">
        <v>9.6460000000000004E-2</v>
      </c>
      <c r="Y106" s="70"/>
      <c r="Z106" s="71">
        <v>115.5</v>
      </c>
      <c r="AA106" s="69">
        <v>-0.35210000000000002</v>
      </c>
      <c r="AB106" s="69">
        <v>20.578900000000001</v>
      </c>
      <c r="AC106" s="69">
        <v>9.1469999999999996E-2</v>
      </c>
      <c r="AE106" s="75">
        <v>101</v>
      </c>
      <c r="AF106" s="76">
        <v>117.1</v>
      </c>
      <c r="AG106" s="76">
        <v>123.1</v>
      </c>
      <c r="AH106" s="76">
        <v>129</v>
      </c>
      <c r="AI106" s="76">
        <v>134.9</v>
      </c>
      <c r="AJ106" s="77">
        <v>140.9</v>
      </c>
      <c r="AL106" s="75">
        <v>101</v>
      </c>
      <c r="AM106" s="76">
        <v>117.9</v>
      </c>
      <c r="AN106" s="76">
        <v>123.7</v>
      </c>
      <c r="AO106" s="76">
        <v>129.5</v>
      </c>
      <c r="AP106" s="76">
        <v>135.30000000000001</v>
      </c>
      <c r="AQ106" s="77">
        <v>141.1</v>
      </c>
    </row>
    <row r="107" spans="11:43">
      <c r="K107" s="71">
        <v>96</v>
      </c>
      <c r="L107" s="69">
        <v>-0.38329999999999997</v>
      </c>
      <c r="M107" s="69">
        <v>13.967599999999999</v>
      </c>
      <c r="N107" s="69">
        <v>8.9810000000000001E-2</v>
      </c>
      <c r="O107" s="70"/>
      <c r="P107" s="71">
        <v>96</v>
      </c>
      <c r="Q107" s="69">
        <v>-0.35210000000000002</v>
      </c>
      <c r="R107" s="69">
        <v>14.1325</v>
      </c>
      <c r="S107" s="69">
        <v>8.0670000000000006E-2</v>
      </c>
      <c r="T107" s="70"/>
      <c r="U107" s="71">
        <v>116</v>
      </c>
      <c r="V107" s="69">
        <v>-0.38329999999999997</v>
      </c>
      <c r="W107" s="69">
        <v>21.090900000000001</v>
      </c>
      <c r="X107" s="69">
        <v>9.6659999999999996E-2</v>
      </c>
      <c r="Y107" s="70"/>
      <c r="Z107" s="71">
        <v>116</v>
      </c>
      <c r="AA107" s="69">
        <v>-0.35210000000000002</v>
      </c>
      <c r="AB107" s="69">
        <v>20.774100000000001</v>
      </c>
      <c r="AC107" s="69">
        <v>9.1770000000000004E-2</v>
      </c>
      <c r="AE107" s="75">
        <v>102</v>
      </c>
      <c r="AF107" s="76">
        <v>117.6</v>
      </c>
      <c r="AG107" s="76">
        <v>123.5</v>
      </c>
      <c r="AH107" s="76">
        <v>129.5</v>
      </c>
      <c r="AI107" s="76">
        <v>135.5</v>
      </c>
      <c r="AJ107" s="77">
        <v>141.4</v>
      </c>
      <c r="AL107" s="75">
        <v>102</v>
      </c>
      <c r="AM107" s="76">
        <v>118.3</v>
      </c>
      <c r="AN107" s="76">
        <v>124.1</v>
      </c>
      <c r="AO107" s="76">
        <v>129.9</v>
      </c>
      <c r="AP107" s="76">
        <v>135.80000000000001</v>
      </c>
      <c r="AQ107" s="77">
        <v>141.6</v>
      </c>
    </row>
    <row r="108" spans="11:43">
      <c r="K108" s="71">
        <v>96.5</v>
      </c>
      <c r="L108" s="69">
        <v>-0.38329999999999997</v>
      </c>
      <c r="M108" s="69">
        <v>14.0953</v>
      </c>
      <c r="N108" s="69">
        <v>8.9899999999999994E-2</v>
      </c>
      <c r="O108" s="70"/>
      <c r="P108" s="71">
        <v>96.5</v>
      </c>
      <c r="Q108" s="69">
        <v>-0.35210000000000002</v>
      </c>
      <c r="R108" s="69">
        <v>14.2544</v>
      </c>
      <c r="S108" s="69">
        <v>8.0780000000000005E-2</v>
      </c>
      <c r="T108" s="70"/>
      <c r="U108" s="71">
        <v>116.5</v>
      </c>
      <c r="V108" s="69">
        <v>-0.38329999999999997</v>
      </c>
      <c r="W108" s="69">
        <v>21.305900000000001</v>
      </c>
      <c r="X108" s="69">
        <v>9.6860000000000002E-2</v>
      </c>
      <c r="Y108" s="70"/>
      <c r="Z108" s="71">
        <v>116.5</v>
      </c>
      <c r="AA108" s="69">
        <v>-0.35210000000000002</v>
      </c>
      <c r="AB108" s="69">
        <v>20.97</v>
      </c>
      <c r="AC108" s="69">
        <v>9.2079999999999995E-2</v>
      </c>
      <c r="AE108" s="75">
        <v>103</v>
      </c>
      <c r="AF108" s="76">
        <v>118</v>
      </c>
      <c r="AG108" s="76">
        <v>124</v>
      </c>
      <c r="AH108" s="76">
        <v>130</v>
      </c>
      <c r="AI108" s="76">
        <v>136</v>
      </c>
      <c r="AJ108" s="77">
        <v>142</v>
      </c>
      <c r="AL108" s="75">
        <v>103</v>
      </c>
      <c r="AM108" s="76">
        <v>118.7</v>
      </c>
      <c r="AN108" s="76">
        <v>124.5</v>
      </c>
      <c r="AO108" s="76">
        <v>130.4</v>
      </c>
      <c r="AP108" s="76">
        <v>136.19999999999999</v>
      </c>
      <c r="AQ108" s="77">
        <v>142.1</v>
      </c>
    </row>
    <row r="109" spans="11:43">
      <c r="K109" s="71">
        <v>97</v>
      </c>
      <c r="L109" s="69">
        <v>-0.38329999999999997</v>
      </c>
      <c r="M109" s="69">
        <v>14.2239</v>
      </c>
      <c r="N109" s="69">
        <v>0.09</v>
      </c>
      <c r="O109" s="70"/>
      <c r="P109" s="71">
        <v>97</v>
      </c>
      <c r="Q109" s="69">
        <v>-0.35210000000000002</v>
      </c>
      <c r="R109" s="69">
        <v>14.3782</v>
      </c>
      <c r="S109" s="69">
        <v>8.0920000000000006E-2</v>
      </c>
      <c r="T109" s="70"/>
      <c r="U109" s="71">
        <v>117</v>
      </c>
      <c r="V109" s="69">
        <v>-0.38329999999999997</v>
      </c>
      <c r="W109" s="69">
        <v>21.5213</v>
      </c>
      <c r="X109" s="69">
        <v>9.7070000000000004E-2</v>
      </c>
      <c r="Y109" s="70"/>
      <c r="Z109" s="71">
        <v>117</v>
      </c>
      <c r="AA109" s="69">
        <v>-0.35210000000000002</v>
      </c>
      <c r="AB109" s="69">
        <v>21.166599999999999</v>
      </c>
      <c r="AC109" s="69">
        <v>9.239E-2</v>
      </c>
      <c r="AE109" s="75">
        <v>104</v>
      </c>
      <c r="AF109" s="76">
        <v>118.5</v>
      </c>
      <c r="AG109" s="76">
        <v>124.5</v>
      </c>
      <c r="AH109" s="76">
        <v>130.5</v>
      </c>
      <c r="AI109" s="76">
        <v>136.5</v>
      </c>
      <c r="AJ109" s="77">
        <v>142.5</v>
      </c>
      <c r="AL109" s="75">
        <v>104</v>
      </c>
      <c r="AM109" s="76">
        <v>119</v>
      </c>
      <c r="AN109" s="76">
        <v>124.9</v>
      </c>
      <c r="AO109" s="76">
        <v>130.80000000000001</v>
      </c>
      <c r="AP109" s="76">
        <v>136.69999999999999</v>
      </c>
      <c r="AQ109" s="77">
        <v>142.6</v>
      </c>
    </row>
    <row r="110" spans="11:43">
      <c r="K110" s="71">
        <v>97.5</v>
      </c>
      <c r="L110" s="69">
        <v>-0.38329999999999997</v>
      </c>
      <c r="M110" s="69">
        <v>14.3537</v>
      </c>
      <c r="N110" s="69">
        <v>9.01E-2</v>
      </c>
      <c r="O110" s="70"/>
      <c r="P110" s="71">
        <v>97.5</v>
      </c>
      <c r="Q110" s="69">
        <v>-0.35210000000000002</v>
      </c>
      <c r="R110" s="69">
        <v>14.5038</v>
      </c>
      <c r="S110" s="69">
        <v>8.1059999999999993E-2</v>
      </c>
      <c r="T110" s="70"/>
      <c r="U110" s="71">
        <v>117.5</v>
      </c>
      <c r="V110" s="69">
        <v>-0.38329999999999997</v>
      </c>
      <c r="W110" s="69">
        <v>21.736999999999998</v>
      </c>
      <c r="X110" s="69">
        <v>9.7269999999999995E-2</v>
      </c>
      <c r="Y110" s="70"/>
      <c r="Z110" s="71">
        <v>117.5</v>
      </c>
      <c r="AA110" s="69">
        <v>-0.35210000000000002</v>
      </c>
      <c r="AB110" s="69">
        <v>21.363600000000002</v>
      </c>
      <c r="AC110" s="69">
        <v>9.2700000000000005E-2</v>
      </c>
      <c r="AE110" s="75">
        <v>105</v>
      </c>
      <c r="AF110" s="76">
        <v>118.9</v>
      </c>
      <c r="AG110" s="76">
        <v>125</v>
      </c>
      <c r="AH110" s="76">
        <v>131</v>
      </c>
      <c r="AI110" s="76">
        <v>137</v>
      </c>
      <c r="AJ110" s="77">
        <v>143.1</v>
      </c>
      <c r="AL110" s="75">
        <v>105</v>
      </c>
      <c r="AM110" s="76">
        <v>119.4</v>
      </c>
      <c r="AN110" s="76">
        <v>125.3</v>
      </c>
      <c r="AO110" s="76">
        <v>131.30000000000001</v>
      </c>
      <c r="AP110" s="76">
        <v>137.19999999999999</v>
      </c>
      <c r="AQ110" s="77">
        <v>143.1</v>
      </c>
    </row>
    <row r="111" spans="11:43">
      <c r="K111" s="71">
        <v>98</v>
      </c>
      <c r="L111" s="69">
        <v>-0.38329999999999997</v>
      </c>
      <c r="M111" s="69">
        <v>14.4848</v>
      </c>
      <c r="N111" s="69">
        <v>9.0209999999999999E-2</v>
      </c>
      <c r="O111" s="70"/>
      <c r="P111" s="71">
        <v>98</v>
      </c>
      <c r="Q111" s="69">
        <v>-0.35210000000000002</v>
      </c>
      <c r="R111" s="69">
        <v>14.631600000000001</v>
      </c>
      <c r="S111" s="69">
        <v>8.1220000000000001E-2</v>
      </c>
      <c r="T111" s="70"/>
      <c r="U111" s="71">
        <v>118</v>
      </c>
      <c r="V111" s="69">
        <v>-0.38329999999999997</v>
      </c>
      <c r="W111" s="69">
        <v>21.9529</v>
      </c>
      <c r="X111" s="69">
        <v>9.7470000000000001E-2</v>
      </c>
      <c r="Y111" s="70"/>
      <c r="Z111" s="71">
        <v>118</v>
      </c>
      <c r="AA111" s="69">
        <v>-0.35210000000000002</v>
      </c>
      <c r="AB111" s="69">
        <v>21.5611</v>
      </c>
      <c r="AC111" s="69">
        <v>9.2999999999999999E-2</v>
      </c>
      <c r="AE111" s="75">
        <v>106</v>
      </c>
      <c r="AF111" s="76">
        <v>119.4</v>
      </c>
      <c r="AG111" s="76">
        <v>125.4</v>
      </c>
      <c r="AH111" s="76">
        <v>131.5</v>
      </c>
      <c r="AI111" s="76">
        <v>137.5</v>
      </c>
      <c r="AJ111" s="77">
        <v>143.6</v>
      </c>
      <c r="AL111" s="75">
        <v>106</v>
      </c>
      <c r="AM111" s="76">
        <v>119.8</v>
      </c>
      <c r="AN111" s="76">
        <v>125.7</v>
      </c>
      <c r="AO111" s="76">
        <v>131.69999999999999</v>
      </c>
      <c r="AP111" s="76">
        <v>137.6</v>
      </c>
      <c r="AQ111" s="77">
        <v>143.6</v>
      </c>
    </row>
    <row r="112" spans="11:43">
      <c r="K112" s="71">
        <v>98.5</v>
      </c>
      <c r="L112" s="69">
        <v>-0.38329999999999997</v>
      </c>
      <c r="M112" s="69">
        <v>14.6174</v>
      </c>
      <c r="N112" s="69">
        <v>9.0329999999999994E-2</v>
      </c>
      <c r="O112" s="70"/>
      <c r="P112" s="71">
        <v>98.5</v>
      </c>
      <c r="Q112" s="69">
        <v>-0.35210000000000002</v>
      </c>
      <c r="R112" s="69">
        <v>14.7614</v>
      </c>
      <c r="S112" s="69">
        <v>8.1390000000000004E-2</v>
      </c>
      <c r="T112" s="70"/>
      <c r="U112" s="71">
        <v>118.5</v>
      </c>
      <c r="V112" s="69">
        <v>-0.38329999999999997</v>
      </c>
      <c r="W112" s="69">
        <v>22.169</v>
      </c>
      <c r="X112" s="69">
        <v>9.7670000000000007E-2</v>
      </c>
      <c r="Y112" s="70"/>
      <c r="Z112" s="71">
        <v>118.5</v>
      </c>
      <c r="AA112" s="69">
        <v>-0.35210000000000002</v>
      </c>
      <c r="AB112" s="69">
        <v>21.758800000000001</v>
      </c>
      <c r="AC112" s="69">
        <v>9.3310000000000004E-2</v>
      </c>
      <c r="AE112" s="75">
        <v>107</v>
      </c>
      <c r="AF112" s="76">
        <v>119.8</v>
      </c>
      <c r="AG112" s="76">
        <v>125.9</v>
      </c>
      <c r="AH112" s="76">
        <v>132</v>
      </c>
      <c r="AI112" s="76">
        <v>138.1</v>
      </c>
      <c r="AJ112" s="77">
        <v>144.19999999999999</v>
      </c>
      <c r="AL112" s="75">
        <v>107</v>
      </c>
      <c r="AM112" s="76">
        <v>120.2</v>
      </c>
      <c r="AN112" s="76">
        <v>126.1</v>
      </c>
      <c r="AO112" s="76">
        <v>132.1</v>
      </c>
      <c r="AP112" s="76">
        <v>138.1</v>
      </c>
      <c r="AQ112" s="77">
        <v>144.1</v>
      </c>
    </row>
    <row r="113" spans="11:43">
      <c r="K113" s="71">
        <v>99</v>
      </c>
      <c r="L113" s="69">
        <v>-0.38329999999999997</v>
      </c>
      <c r="M113" s="69">
        <v>14.751899999999999</v>
      </c>
      <c r="N113" s="69">
        <v>9.0440000000000006E-2</v>
      </c>
      <c r="O113" s="70"/>
      <c r="P113" s="71">
        <v>99</v>
      </c>
      <c r="Q113" s="69">
        <v>-0.35210000000000002</v>
      </c>
      <c r="R113" s="69">
        <v>14.8934</v>
      </c>
      <c r="S113" s="69">
        <v>8.1570000000000004E-2</v>
      </c>
      <c r="T113" s="70"/>
      <c r="U113" s="71">
        <v>119</v>
      </c>
      <c r="V113" s="69">
        <v>-0.38329999999999997</v>
      </c>
      <c r="W113" s="69">
        <v>22.385100000000001</v>
      </c>
      <c r="X113" s="69">
        <v>9.7879999999999995E-2</v>
      </c>
      <c r="Y113" s="70"/>
      <c r="Z113" s="71">
        <v>119</v>
      </c>
      <c r="AA113" s="69">
        <v>-0.35210000000000002</v>
      </c>
      <c r="AB113" s="69">
        <v>21.956800000000001</v>
      </c>
      <c r="AC113" s="69">
        <v>9.3619999999999995E-2</v>
      </c>
      <c r="AE113" s="75">
        <v>108</v>
      </c>
      <c r="AF113" s="76">
        <v>120.3</v>
      </c>
      <c r="AG113" s="76">
        <v>126.4</v>
      </c>
      <c r="AH113" s="76">
        <v>132.5</v>
      </c>
      <c r="AI113" s="76">
        <v>138.6</v>
      </c>
      <c r="AJ113" s="77">
        <v>144.69999999999999</v>
      </c>
      <c r="AL113" s="75">
        <v>108</v>
      </c>
      <c r="AM113" s="76">
        <v>120.5</v>
      </c>
      <c r="AN113" s="76">
        <v>126.6</v>
      </c>
      <c r="AO113" s="76">
        <v>132.6</v>
      </c>
      <c r="AP113" s="76">
        <v>138.6</v>
      </c>
      <c r="AQ113" s="77">
        <v>144.6</v>
      </c>
    </row>
    <row r="114" spans="11:43">
      <c r="K114" s="71">
        <v>99.5</v>
      </c>
      <c r="L114" s="69">
        <v>-0.38329999999999997</v>
      </c>
      <c r="M114" s="69">
        <v>14.888199999999999</v>
      </c>
      <c r="N114" s="69">
        <v>9.0569999999999998E-2</v>
      </c>
      <c r="O114" s="70"/>
      <c r="P114" s="71">
        <v>99.5</v>
      </c>
      <c r="Q114" s="69">
        <v>-0.35210000000000002</v>
      </c>
      <c r="R114" s="69">
        <v>15.0275</v>
      </c>
      <c r="S114" s="69">
        <v>8.1769999999999995E-2</v>
      </c>
      <c r="T114" s="70"/>
      <c r="U114" s="71">
        <v>119.5</v>
      </c>
      <c r="V114" s="69">
        <v>-0.38329999999999997</v>
      </c>
      <c r="W114" s="69">
        <v>22.601199999999999</v>
      </c>
      <c r="X114" s="69">
        <v>9.8080000000000001E-2</v>
      </c>
      <c r="Y114" s="70"/>
      <c r="Z114" s="71">
        <v>119.5</v>
      </c>
      <c r="AA114" s="69">
        <v>-0.35210000000000002</v>
      </c>
      <c r="AB114" s="69">
        <v>22.154900000000001</v>
      </c>
      <c r="AC114" s="69">
        <v>9.393E-2</v>
      </c>
      <c r="AE114" s="75">
        <v>109</v>
      </c>
      <c r="AF114" s="76">
        <v>120.7</v>
      </c>
      <c r="AG114" s="76">
        <v>126.9</v>
      </c>
      <c r="AH114" s="76">
        <v>133</v>
      </c>
      <c r="AI114" s="76">
        <v>139.1</v>
      </c>
      <c r="AJ114" s="77">
        <v>145.30000000000001</v>
      </c>
      <c r="AL114" s="75">
        <v>109</v>
      </c>
      <c r="AM114" s="76">
        <v>120.9</v>
      </c>
      <c r="AN114" s="76">
        <v>127</v>
      </c>
      <c r="AO114" s="76">
        <v>133</v>
      </c>
      <c r="AP114" s="76">
        <v>139</v>
      </c>
      <c r="AQ114" s="77">
        <v>145.1</v>
      </c>
    </row>
    <row r="115" spans="11:43">
      <c r="K115" s="71">
        <v>100</v>
      </c>
      <c r="L115" s="69">
        <v>-0.38329999999999997</v>
      </c>
      <c r="M115" s="69">
        <v>15.0267</v>
      </c>
      <c r="N115" s="69">
        <v>9.0690000000000007E-2</v>
      </c>
      <c r="O115" s="70"/>
      <c r="P115" s="71">
        <v>100</v>
      </c>
      <c r="Q115" s="69">
        <v>-0.35210000000000002</v>
      </c>
      <c r="R115" s="69">
        <v>15.1637</v>
      </c>
      <c r="S115" s="69">
        <v>8.1979999999999997E-2</v>
      </c>
      <c r="T115" s="70"/>
      <c r="U115" s="71">
        <v>120</v>
      </c>
      <c r="V115" s="69">
        <v>-0.38329999999999997</v>
      </c>
      <c r="W115" s="69">
        <v>22.817299999999999</v>
      </c>
      <c r="X115" s="69">
        <v>9.8280000000000006E-2</v>
      </c>
      <c r="Y115" s="70"/>
      <c r="Z115" s="71">
        <v>120</v>
      </c>
      <c r="AA115" s="69">
        <v>-0.35210000000000002</v>
      </c>
      <c r="AB115" s="69">
        <v>22.353000000000002</v>
      </c>
      <c r="AC115" s="69">
        <v>9.4240000000000004E-2</v>
      </c>
      <c r="AE115" s="75">
        <v>110</v>
      </c>
      <c r="AF115" s="76">
        <v>121.2</v>
      </c>
      <c r="AG115" s="76">
        <v>127.3</v>
      </c>
      <c r="AH115" s="76">
        <v>133.5</v>
      </c>
      <c r="AI115" s="76">
        <v>139.69999999999999</v>
      </c>
      <c r="AJ115" s="77">
        <v>145.80000000000001</v>
      </c>
      <c r="AL115" s="75">
        <v>110</v>
      </c>
      <c r="AM115" s="76">
        <v>121.3</v>
      </c>
      <c r="AN115" s="76">
        <v>127.4</v>
      </c>
      <c r="AO115" s="76">
        <v>133.4</v>
      </c>
      <c r="AP115" s="76">
        <v>139.5</v>
      </c>
      <c r="AQ115" s="77">
        <v>145.6</v>
      </c>
    </row>
    <row r="116" spans="11:43">
      <c r="K116" s="71">
        <v>100.5</v>
      </c>
      <c r="L116" s="69">
        <v>-0.38329999999999997</v>
      </c>
      <c r="M116" s="69">
        <v>15.1676</v>
      </c>
      <c r="N116" s="69">
        <v>9.0829999999999994E-2</v>
      </c>
      <c r="O116" s="70"/>
      <c r="P116" s="71">
        <v>100.5</v>
      </c>
      <c r="Q116" s="69">
        <v>-0.35210000000000002</v>
      </c>
      <c r="R116" s="69">
        <v>15.3018</v>
      </c>
      <c r="S116" s="69">
        <v>8.2199999999999995E-2</v>
      </c>
      <c r="T116" s="70"/>
      <c r="U116" s="70"/>
      <c r="V116" s="70"/>
      <c r="W116" s="70"/>
      <c r="X116" s="70"/>
      <c r="Y116" s="70"/>
      <c r="Z116" s="70"/>
      <c r="AA116" s="70"/>
      <c r="AB116" s="70"/>
      <c r="AC116" s="70"/>
      <c r="AE116" s="75">
        <v>111</v>
      </c>
      <c r="AF116" s="76">
        <v>121.6</v>
      </c>
      <c r="AG116" s="76">
        <v>127.8</v>
      </c>
      <c r="AH116" s="76">
        <v>134</v>
      </c>
      <c r="AI116" s="76">
        <v>140.19999999999999</v>
      </c>
      <c r="AJ116" s="77">
        <v>146.4</v>
      </c>
      <c r="AL116" s="75">
        <v>111</v>
      </c>
      <c r="AM116" s="76">
        <v>121.7</v>
      </c>
      <c r="AN116" s="76">
        <v>127.8</v>
      </c>
      <c r="AO116" s="76">
        <v>133.9</v>
      </c>
      <c r="AP116" s="76">
        <v>140</v>
      </c>
      <c r="AQ116" s="77">
        <v>146.1</v>
      </c>
    </row>
    <row r="117" spans="11:43">
      <c r="K117" s="71">
        <v>101</v>
      </c>
      <c r="L117" s="69">
        <v>-0.38329999999999997</v>
      </c>
      <c r="M117" s="69">
        <v>15.3108</v>
      </c>
      <c r="N117" s="69">
        <v>9.0959999999999999E-2</v>
      </c>
      <c r="O117" s="70"/>
      <c r="P117" s="71">
        <v>101</v>
      </c>
      <c r="Q117" s="69">
        <v>-0.35210000000000002</v>
      </c>
      <c r="R117" s="69">
        <v>15.4419</v>
      </c>
      <c r="S117" s="69">
        <v>8.2430000000000003E-2</v>
      </c>
      <c r="T117" s="70"/>
      <c r="U117" s="70"/>
      <c r="V117" s="70"/>
      <c r="W117" s="70"/>
      <c r="X117" s="70"/>
      <c r="Y117" s="70"/>
      <c r="Z117" s="70"/>
      <c r="AA117" s="70"/>
      <c r="AB117" s="70"/>
      <c r="AC117" s="70"/>
      <c r="AE117" s="75">
        <v>112</v>
      </c>
      <c r="AF117" s="76">
        <v>122.1</v>
      </c>
      <c r="AG117" s="76">
        <v>128.30000000000001</v>
      </c>
      <c r="AH117" s="76">
        <v>134.5</v>
      </c>
      <c r="AI117" s="76">
        <v>140.69999999999999</v>
      </c>
      <c r="AJ117" s="77">
        <v>146.9</v>
      </c>
      <c r="AL117" s="75">
        <v>112</v>
      </c>
      <c r="AM117" s="76">
        <v>122</v>
      </c>
      <c r="AN117" s="76">
        <v>128.19999999999999</v>
      </c>
      <c r="AO117" s="76">
        <v>134.30000000000001</v>
      </c>
      <c r="AP117" s="76">
        <v>140.4</v>
      </c>
      <c r="AQ117" s="77">
        <v>146.6</v>
      </c>
    </row>
    <row r="118" spans="11:43">
      <c r="K118" s="71">
        <v>101.5</v>
      </c>
      <c r="L118" s="69">
        <v>-0.38329999999999997</v>
      </c>
      <c r="M118" s="69">
        <v>15.4564</v>
      </c>
      <c r="N118" s="69">
        <v>9.11E-2</v>
      </c>
      <c r="O118" s="70"/>
      <c r="P118" s="71">
        <v>101.5</v>
      </c>
      <c r="Q118" s="69">
        <v>-0.35210000000000002</v>
      </c>
      <c r="R118" s="69">
        <v>15.5838</v>
      </c>
      <c r="S118" s="69">
        <v>8.2669999999999993E-2</v>
      </c>
      <c r="T118" s="70"/>
      <c r="U118" s="70"/>
      <c r="V118" s="70"/>
      <c r="W118" s="70"/>
      <c r="X118" s="70"/>
      <c r="Y118" s="70"/>
      <c r="Z118" s="70"/>
      <c r="AA118" s="70"/>
      <c r="AB118" s="70"/>
      <c r="AC118" s="70"/>
      <c r="AE118" s="75">
        <v>113</v>
      </c>
      <c r="AF118" s="76">
        <v>122.6</v>
      </c>
      <c r="AG118" s="76">
        <v>128.80000000000001</v>
      </c>
      <c r="AH118" s="76">
        <v>135</v>
      </c>
      <c r="AI118" s="76">
        <v>141.30000000000001</v>
      </c>
      <c r="AJ118" s="77">
        <v>147.5</v>
      </c>
      <c r="AL118" s="75">
        <v>113</v>
      </c>
      <c r="AM118" s="76">
        <v>122.4</v>
      </c>
      <c r="AN118" s="76">
        <v>128.6</v>
      </c>
      <c r="AO118" s="76">
        <v>134.69999999999999</v>
      </c>
      <c r="AP118" s="76">
        <v>140.9</v>
      </c>
      <c r="AQ118" s="77">
        <v>147.1</v>
      </c>
    </row>
    <row r="119" spans="11:43">
      <c r="K119" s="71">
        <v>102</v>
      </c>
      <c r="L119" s="69">
        <v>-0.38329999999999997</v>
      </c>
      <c r="M119" s="69">
        <v>15.6046</v>
      </c>
      <c r="N119" s="69">
        <v>9.1249999999999998E-2</v>
      </c>
      <c r="O119" s="70"/>
      <c r="P119" s="71">
        <v>102</v>
      </c>
      <c r="Q119" s="69">
        <v>-0.35210000000000002</v>
      </c>
      <c r="R119" s="69">
        <v>15.727600000000001</v>
      </c>
      <c r="S119" s="69">
        <v>8.2919999999999994E-2</v>
      </c>
      <c r="T119" s="70"/>
      <c r="U119" s="70"/>
      <c r="V119" s="70"/>
      <c r="W119" s="70"/>
      <c r="X119" s="70"/>
      <c r="Y119" s="70"/>
      <c r="Z119" s="70"/>
      <c r="AA119" s="70"/>
      <c r="AB119" s="70"/>
      <c r="AC119" s="70"/>
      <c r="AE119" s="75">
        <v>114</v>
      </c>
      <c r="AF119" s="76">
        <v>123</v>
      </c>
      <c r="AG119" s="76">
        <v>129.30000000000001</v>
      </c>
      <c r="AH119" s="76">
        <v>135.5</v>
      </c>
      <c r="AI119" s="76">
        <v>141.80000000000001</v>
      </c>
      <c r="AJ119" s="77">
        <v>148.1</v>
      </c>
      <c r="AL119" s="75">
        <v>114</v>
      </c>
      <c r="AM119" s="76">
        <v>122.8</v>
      </c>
      <c r="AN119" s="76">
        <v>129</v>
      </c>
      <c r="AO119" s="76">
        <v>135.19999999999999</v>
      </c>
      <c r="AP119" s="76">
        <v>141.4</v>
      </c>
      <c r="AQ119" s="77">
        <v>147.6</v>
      </c>
    </row>
    <row r="120" spans="11:43">
      <c r="K120" s="71">
        <v>102.5</v>
      </c>
      <c r="L120" s="69">
        <v>-0.38329999999999997</v>
      </c>
      <c r="M120" s="69">
        <v>15.7553</v>
      </c>
      <c r="N120" s="69">
        <v>9.1389999999999999E-2</v>
      </c>
      <c r="O120" s="70"/>
      <c r="P120" s="71">
        <v>102.5</v>
      </c>
      <c r="Q120" s="69">
        <v>-0.35210000000000002</v>
      </c>
      <c r="R120" s="69">
        <v>15.873200000000001</v>
      </c>
      <c r="S120" s="69">
        <v>8.3169999999999994E-2</v>
      </c>
      <c r="T120" s="70"/>
      <c r="U120" s="70"/>
      <c r="V120" s="70"/>
      <c r="W120" s="70"/>
      <c r="X120" s="70"/>
      <c r="Y120" s="70"/>
      <c r="Z120" s="70"/>
      <c r="AA120" s="70"/>
      <c r="AB120" s="70"/>
      <c r="AC120" s="70"/>
      <c r="AE120" s="75">
        <v>115</v>
      </c>
      <c r="AF120" s="76">
        <v>123.5</v>
      </c>
      <c r="AG120" s="76">
        <v>129.80000000000001</v>
      </c>
      <c r="AH120" s="76">
        <v>136.1</v>
      </c>
      <c r="AI120" s="76">
        <v>142.30000000000001</v>
      </c>
      <c r="AJ120" s="77">
        <v>148.6</v>
      </c>
      <c r="AL120" s="75">
        <v>115</v>
      </c>
      <c r="AM120" s="76">
        <v>123.2</v>
      </c>
      <c r="AN120" s="76">
        <v>129.4</v>
      </c>
      <c r="AO120" s="76">
        <v>135.6</v>
      </c>
      <c r="AP120" s="76">
        <v>141.80000000000001</v>
      </c>
      <c r="AQ120" s="77">
        <v>148.1</v>
      </c>
    </row>
    <row r="121" spans="11:43">
      <c r="K121" s="71">
        <v>103</v>
      </c>
      <c r="L121" s="69">
        <v>-0.38329999999999997</v>
      </c>
      <c r="M121" s="69">
        <v>15.9087</v>
      </c>
      <c r="N121" s="69">
        <v>9.1550000000000006E-2</v>
      </c>
      <c r="O121" s="70"/>
      <c r="P121" s="71">
        <v>103</v>
      </c>
      <c r="Q121" s="69">
        <v>-0.35210000000000002</v>
      </c>
      <c r="R121" s="69">
        <v>16.020600000000002</v>
      </c>
      <c r="S121" s="69">
        <v>8.3430000000000004E-2</v>
      </c>
      <c r="T121" s="70"/>
      <c r="U121" s="70"/>
      <c r="V121" s="70"/>
      <c r="W121" s="70"/>
      <c r="X121" s="70"/>
      <c r="Y121" s="70"/>
      <c r="Z121" s="70"/>
      <c r="AA121" s="70"/>
      <c r="AB121" s="70"/>
      <c r="AC121" s="70"/>
      <c r="AE121" s="75">
        <v>116</v>
      </c>
      <c r="AF121" s="76">
        <v>124</v>
      </c>
      <c r="AG121" s="76">
        <v>130.30000000000001</v>
      </c>
      <c r="AH121" s="76">
        <v>136.6</v>
      </c>
      <c r="AI121" s="76">
        <v>142.9</v>
      </c>
      <c r="AJ121" s="77">
        <v>149.19999999999999</v>
      </c>
      <c r="AL121" s="75">
        <v>116</v>
      </c>
      <c r="AM121" s="76">
        <v>123.5</v>
      </c>
      <c r="AN121" s="76">
        <v>129.80000000000001</v>
      </c>
      <c r="AO121" s="76">
        <v>136.1</v>
      </c>
      <c r="AP121" s="76">
        <v>142.30000000000001</v>
      </c>
      <c r="AQ121" s="77">
        <v>148.6</v>
      </c>
    </row>
    <row r="122" spans="11:43">
      <c r="K122" s="71">
        <v>103.5</v>
      </c>
      <c r="L122" s="69">
        <v>-0.38329999999999997</v>
      </c>
      <c r="M122" s="69">
        <v>16.064499999999999</v>
      </c>
      <c r="N122" s="69">
        <v>9.1700000000000004E-2</v>
      </c>
      <c r="O122" s="70"/>
      <c r="P122" s="71">
        <v>103.5</v>
      </c>
      <c r="Q122" s="69">
        <v>-0.35210000000000002</v>
      </c>
      <c r="R122" s="69">
        <v>16.169699999999999</v>
      </c>
      <c r="S122" s="69">
        <v>8.3699999999999997E-2</v>
      </c>
      <c r="T122" s="70"/>
      <c r="U122" s="70"/>
      <c r="V122" s="70"/>
      <c r="W122" s="70"/>
      <c r="X122" s="70"/>
      <c r="Y122" s="70"/>
      <c r="Z122" s="70"/>
      <c r="AA122" s="70"/>
      <c r="AB122" s="70"/>
      <c r="AC122" s="70"/>
      <c r="AE122" s="75">
        <v>117</v>
      </c>
      <c r="AF122" s="76">
        <v>124.4</v>
      </c>
      <c r="AG122" s="76">
        <v>130.80000000000001</v>
      </c>
      <c r="AH122" s="76">
        <v>137.1</v>
      </c>
      <c r="AI122" s="76">
        <v>143.4</v>
      </c>
      <c r="AJ122" s="77">
        <v>149.69999999999999</v>
      </c>
      <c r="AL122" s="75">
        <v>117</v>
      </c>
      <c r="AM122" s="76">
        <v>123.9</v>
      </c>
      <c r="AN122" s="76">
        <v>130.19999999999999</v>
      </c>
      <c r="AO122" s="76">
        <v>136.5</v>
      </c>
      <c r="AP122" s="76">
        <v>142.80000000000001</v>
      </c>
      <c r="AQ122" s="77">
        <v>149.1</v>
      </c>
    </row>
    <row r="123" spans="11:43">
      <c r="K123" s="71">
        <v>104</v>
      </c>
      <c r="L123" s="69">
        <v>-0.38329999999999997</v>
      </c>
      <c r="M123" s="69">
        <v>16.222899999999999</v>
      </c>
      <c r="N123" s="69">
        <v>9.1859999999999997E-2</v>
      </c>
      <c r="O123" s="70"/>
      <c r="P123" s="71">
        <v>104</v>
      </c>
      <c r="Q123" s="69">
        <v>-0.35210000000000002</v>
      </c>
      <c r="R123" s="69">
        <v>16.320399999999999</v>
      </c>
      <c r="S123" s="69">
        <v>8.3970000000000003E-2</v>
      </c>
      <c r="T123" s="70"/>
      <c r="U123" s="70"/>
      <c r="V123" s="70"/>
      <c r="W123" s="70"/>
      <c r="X123" s="70"/>
      <c r="Y123" s="70"/>
      <c r="Z123" s="70"/>
      <c r="AA123" s="70"/>
      <c r="AB123" s="70"/>
      <c r="AC123" s="70"/>
      <c r="AE123" s="75">
        <v>118</v>
      </c>
      <c r="AF123" s="76">
        <v>124.9</v>
      </c>
      <c r="AG123" s="76">
        <v>131.19999999999999</v>
      </c>
      <c r="AH123" s="76">
        <v>137.6</v>
      </c>
      <c r="AI123" s="76">
        <v>144</v>
      </c>
      <c r="AJ123" s="77">
        <v>150.30000000000001</v>
      </c>
      <c r="AL123" s="75">
        <v>118</v>
      </c>
      <c r="AM123" s="76">
        <v>124.3</v>
      </c>
      <c r="AN123" s="76">
        <v>130.6</v>
      </c>
      <c r="AO123" s="76">
        <v>136.9</v>
      </c>
      <c r="AP123" s="76">
        <v>143.19999999999999</v>
      </c>
      <c r="AQ123" s="77">
        <v>149.5</v>
      </c>
    </row>
    <row r="124" spans="11:43">
      <c r="K124" s="71">
        <v>104.5</v>
      </c>
      <c r="L124" s="69">
        <v>-0.38329999999999997</v>
      </c>
      <c r="M124" s="69">
        <v>16.383700000000001</v>
      </c>
      <c r="N124" s="69">
        <v>9.2030000000000001E-2</v>
      </c>
      <c r="O124" s="70"/>
      <c r="P124" s="71">
        <v>104.5</v>
      </c>
      <c r="Q124" s="69">
        <v>-0.35210000000000002</v>
      </c>
      <c r="R124" s="69">
        <v>16.472799999999999</v>
      </c>
      <c r="S124" s="69">
        <v>8.4250000000000005E-2</v>
      </c>
      <c r="T124" s="70"/>
      <c r="U124" s="70"/>
      <c r="V124" s="70"/>
      <c r="W124" s="70"/>
      <c r="X124" s="70"/>
      <c r="Y124" s="70"/>
      <c r="Z124" s="70"/>
      <c r="AA124" s="70"/>
      <c r="AB124" s="70"/>
      <c r="AC124" s="70"/>
      <c r="AE124" s="75">
        <v>119</v>
      </c>
      <c r="AF124" s="76">
        <v>125.4</v>
      </c>
      <c r="AG124" s="76">
        <v>131.69999999999999</v>
      </c>
      <c r="AH124" s="76">
        <v>138.1</v>
      </c>
      <c r="AI124" s="76">
        <v>144.5</v>
      </c>
      <c r="AJ124" s="77">
        <v>150.9</v>
      </c>
      <c r="AL124" s="75">
        <v>119</v>
      </c>
      <c r="AM124" s="76">
        <v>124.7</v>
      </c>
      <c r="AN124" s="76">
        <v>131</v>
      </c>
      <c r="AO124" s="76">
        <v>137.30000000000001</v>
      </c>
      <c r="AP124" s="76">
        <v>143.69999999999999</v>
      </c>
      <c r="AQ124" s="77">
        <v>150</v>
      </c>
    </row>
    <row r="125" spans="11:43">
      <c r="K125" s="71">
        <v>105</v>
      </c>
      <c r="L125" s="69">
        <v>-0.38329999999999997</v>
      </c>
      <c r="M125" s="69">
        <v>16.547000000000001</v>
      </c>
      <c r="N125" s="69">
        <v>9.2189999999999994E-2</v>
      </c>
      <c r="O125" s="70"/>
      <c r="P125" s="71">
        <v>105</v>
      </c>
      <c r="Q125" s="69">
        <v>-0.35210000000000002</v>
      </c>
      <c r="R125" s="69">
        <v>16.626799999999999</v>
      </c>
      <c r="S125" s="69">
        <v>8.4529999999999994E-2</v>
      </c>
      <c r="T125" s="70"/>
      <c r="U125" s="70"/>
      <c r="V125" s="70"/>
      <c r="W125" s="70"/>
      <c r="X125" s="70"/>
      <c r="Y125" s="70"/>
      <c r="Z125" s="70"/>
      <c r="AA125" s="70"/>
      <c r="AB125" s="70"/>
      <c r="AC125" s="70"/>
      <c r="AE125" s="75">
        <v>120</v>
      </c>
      <c r="AF125" s="76">
        <v>125.8</v>
      </c>
      <c r="AG125" s="76">
        <v>132.19999999999999</v>
      </c>
      <c r="AH125" s="76">
        <v>138.6</v>
      </c>
      <c r="AI125" s="76">
        <v>145</v>
      </c>
      <c r="AJ125" s="77">
        <v>151.4</v>
      </c>
      <c r="AL125" s="75">
        <v>120</v>
      </c>
      <c r="AM125" s="76">
        <v>125</v>
      </c>
      <c r="AN125" s="76">
        <v>131.4</v>
      </c>
      <c r="AO125" s="76">
        <v>137.80000000000001</v>
      </c>
      <c r="AP125" s="76">
        <v>144.19999999999999</v>
      </c>
      <c r="AQ125" s="77">
        <v>150.5</v>
      </c>
    </row>
    <row r="126" spans="11:43">
      <c r="K126" s="71">
        <v>105.5</v>
      </c>
      <c r="L126" s="69">
        <v>-0.38329999999999997</v>
      </c>
      <c r="M126" s="69">
        <v>16.712900000000001</v>
      </c>
      <c r="N126" s="69">
        <v>9.2359999999999998E-2</v>
      </c>
      <c r="O126" s="70"/>
      <c r="P126" s="71">
        <v>105.5</v>
      </c>
      <c r="Q126" s="69">
        <v>-0.35210000000000002</v>
      </c>
      <c r="R126" s="69">
        <v>16.782599999999999</v>
      </c>
      <c r="S126" s="69">
        <v>8.4809999999999997E-2</v>
      </c>
      <c r="T126" s="70"/>
      <c r="U126" s="70"/>
      <c r="V126" s="70"/>
      <c r="W126" s="70"/>
      <c r="X126" s="70"/>
      <c r="Y126" s="70"/>
      <c r="Z126" s="70"/>
      <c r="AA126" s="70"/>
      <c r="AB126" s="70"/>
      <c r="AC126" s="70"/>
      <c r="AE126" s="75">
        <v>121</v>
      </c>
      <c r="AF126" s="76">
        <v>126.3</v>
      </c>
      <c r="AG126" s="76">
        <v>132.69999999999999</v>
      </c>
      <c r="AH126" s="76">
        <v>139.19999999999999</v>
      </c>
      <c r="AI126" s="76">
        <v>145.6</v>
      </c>
      <c r="AJ126" s="77">
        <v>152</v>
      </c>
      <c r="AL126" s="75">
        <v>121</v>
      </c>
      <c r="AM126" s="76">
        <v>125.4</v>
      </c>
      <c r="AN126" s="76">
        <v>131.80000000000001</v>
      </c>
      <c r="AO126" s="76">
        <v>138.19999999999999</v>
      </c>
      <c r="AP126" s="76">
        <v>144.6</v>
      </c>
      <c r="AQ126" s="77">
        <v>151</v>
      </c>
    </row>
    <row r="127" spans="11:43">
      <c r="K127" s="71">
        <v>106</v>
      </c>
      <c r="L127" s="69">
        <v>-0.38329999999999997</v>
      </c>
      <c r="M127" s="69">
        <v>16.881399999999999</v>
      </c>
      <c r="N127" s="69">
        <v>9.2539999999999997E-2</v>
      </c>
      <c r="O127" s="70"/>
      <c r="P127" s="71">
        <v>106</v>
      </c>
      <c r="Q127" s="69">
        <v>-0.35210000000000002</v>
      </c>
      <c r="R127" s="69">
        <v>16.940100000000001</v>
      </c>
      <c r="S127" s="69">
        <v>8.5099999999999995E-2</v>
      </c>
      <c r="T127" s="70"/>
      <c r="U127" s="70"/>
      <c r="V127" s="70"/>
      <c r="W127" s="70"/>
      <c r="X127" s="70"/>
      <c r="Y127" s="70"/>
      <c r="Z127" s="70"/>
      <c r="AA127" s="70"/>
      <c r="AB127" s="70"/>
      <c r="AC127" s="70"/>
      <c r="AE127" s="75">
        <v>122</v>
      </c>
      <c r="AF127" s="76">
        <v>126.8</v>
      </c>
      <c r="AG127" s="76">
        <v>133.19999999999999</v>
      </c>
      <c r="AH127" s="76">
        <v>139.69999999999999</v>
      </c>
      <c r="AI127" s="76">
        <v>146.1</v>
      </c>
      <c r="AJ127" s="77">
        <v>152.6</v>
      </c>
      <c r="AL127" s="75">
        <v>122</v>
      </c>
      <c r="AM127" s="76">
        <v>125.8</v>
      </c>
      <c r="AN127" s="76">
        <v>132.19999999999999</v>
      </c>
      <c r="AO127" s="76">
        <v>138.6</v>
      </c>
      <c r="AP127" s="76">
        <v>145.1</v>
      </c>
      <c r="AQ127" s="77">
        <v>151.5</v>
      </c>
    </row>
    <row r="128" spans="11:43">
      <c r="K128" s="71">
        <v>106.5</v>
      </c>
      <c r="L128" s="69">
        <v>-0.38329999999999997</v>
      </c>
      <c r="M128" s="69">
        <v>17.052700000000002</v>
      </c>
      <c r="N128" s="69">
        <v>9.2710000000000001E-2</v>
      </c>
      <c r="O128" s="70"/>
      <c r="P128" s="71">
        <v>106.5</v>
      </c>
      <c r="Q128" s="69">
        <v>-0.35210000000000002</v>
      </c>
      <c r="R128" s="69">
        <v>17.099499999999999</v>
      </c>
      <c r="S128" s="69">
        <v>8.5389999999999994E-2</v>
      </c>
      <c r="T128" s="70"/>
      <c r="U128" s="70"/>
      <c r="V128" s="70"/>
      <c r="W128" s="70"/>
      <c r="X128" s="70"/>
      <c r="Y128" s="70"/>
      <c r="Z128" s="70"/>
      <c r="AA128" s="70"/>
      <c r="AB128" s="70"/>
      <c r="AC128" s="70"/>
      <c r="AE128" s="75">
        <v>123</v>
      </c>
      <c r="AF128" s="76">
        <v>127.3</v>
      </c>
      <c r="AG128" s="76">
        <v>133.69999999999999</v>
      </c>
      <c r="AH128" s="76">
        <v>140.19999999999999</v>
      </c>
      <c r="AI128" s="76">
        <v>146.69999999999999</v>
      </c>
      <c r="AJ128" s="77">
        <v>153.1</v>
      </c>
      <c r="AL128" s="75">
        <v>123</v>
      </c>
      <c r="AM128" s="76">
        <v>126.2</v>
      </c>
      <c r="AN128" s="76">
        <v>132.6</v>
      </c>
      <c r="AO128" s="76">
        <v>139.1</v>
      </c>
      <c r="AP128" s="76">
        <v>145.5</v>
      </c>
      <c r="AQ128" s="77">
        <v>152</v>
      </c>
    </row>
    <row r="129" spans="1:43">
      <c r="K129" s="71">
        <v>107</v>
      </c>
      <c r="L129" s="69">
        <v>-0.38329999999999997</v>
      </c>
      <c r="M129" s="69">
        <v>17.226900000000001</v>
      </c>
      <c r="N129" s="69">
        <v>9.289E-2</v>
      </c>
      <c r="O129" s="70"/>
      <c r="P129" s="71">
        <v>107</v>
      </c>
      <c r="Q129" s="69">
        <v>-0.35210000000000002</v>
      </c>
      <c r="R129" s="69">
        <v>17.2607</v>
      </c>
      <c r="S129" s="69">
        <v>8.5680000000000006E-2</v>
      </c>
      <c r="T129" s="70"/>
      <c r="U129" s="70"/>
      <c r="V129" s="70"/>
      <c r="W129" s="70"/>
      <c r="X129" s="70"/>
      <c r="Y129" s="70"/>
      <c r="Z129" s="70"/>
      <c r="AA129" s="70"/>
      <c r="AB129" s="70"/>
      <c r="AC129" s="70"/>
      <c r="AE129" s="75">
        <v>124</v>
      </c>
      <c r="AF129" s="76">
        <v>127.8</v>
      </c>
      <c r="AG129" s="76">
        <v>134.19999999999999</v>
      </c>
      <c r="AH129" s="76">
        <v>140.69999999999999</v>
      </c>
      <c r="AI129" s="76">
        <v>147.19999999999999</v>
      </c>
      <c r="AJ129" s="77">
        <v>153.69999999999999</v>
      </c>
      <c r="AL129" s="75">
        <v>124</v>
      </c>
      <c r="AM129" s="76">
        <v>126.5</v>
      </c>
      <c r="AN129" s="76">
        <v>133</v>
      </c>
      <c r="AO129" s="76">
        <v>139.5</v>
      </c>
      <c r="AP129" s="76">
        <v>146</v>
      </c>
      <c r="AQ129" s="77">
        <v>152.5</v>
      </c>
    </row>
    <row r="130" spans="1:43">
      <c r="K130" s="71">
        <v>107.5</v>
      </c>
      <c r="L130" s="69">
        <v>-0.38329999999999997</v>
      </c>
      <c r="M130" s="69">
        <v>17.4039</v>
      </c>
      <c r="N130" s="69">
        <v>9.307E-2</v>
      </c>
      <c r="O130" s="70"/>
      <c r="P130" s="71">
        <v>107.5</v>
      </c>
      <c r="Q130" s="69">
        <v>-0.35210000000000002</v>
      </c>
      <c r="R130" s="69">
        <v>17.4237</v>
      </c>
      <c r="S130" s="69">
        <v>8.5989999999999997E-2</v>
      </c>
      <c r="T130" s="70"/>
      <c r="U130" s="70"/>
      <c r="V130" s="70"/>
      <c r="W130" s="70"/>
      <c r="X130" s="70"/>
      <c r="Y130" s="70"/>
      <c r="Z130" s="70"/>
      <c r="AA130" s="70"/>
      <c r="AB130" s="70"/>
      <c r="AC130" s="70"/>
      <c r="AE130" s="75">
        <v>125</v>
      </c>
      <c r="AF130" s="76">
        <v>128.19999999999999</v>
      </c>
      <c r="AG130" s="76">
        <v>134.80000000000001</v>
      </c>
      <c r="AH130" s="76">
        <v>141.30000000000001</v>
      </c>
      <c r="AI130" s="76">
        <v>147.80000000000001</v>
      </c>
      <c r="AJ130" s="77">
        <v>154.30000000000001</v>
      </c>
      <c r="AL130" s="75">
        <v>125</v>
      </c>
      <c r="AM130" s="76">
        <v>126.9</v>
      </c>
      <c r="AN130" s="76">
        <v>133.4</v>
      </c>
      <c r="AO130" s="76">
        <v>140</v>
      </c>
      <c r="AP130" s="76">
        <v>146.5</v>
      </c>
      <c r="AQ130" s="77">
        <v>153</v>
      </c>
    </row>
    <row r="131" spans="1:43">
      <c r="K131" s="71">
        <v>108</v>
      </c>
      <c r="L131" s="69">
        <v>-0.38329999999999997</v>
      </c>
      <c r="M131" s="69">
        <v>17.5839</v>
      </c>
      <c r="N131" s="69">
        <v>9.3259999999999996E-2</v>
      </c>
      <c r="O131" s="70"/>
      <c r="P131" s="71">
        <v>108</v>
      </c>
      <c r="Q131" s="69">
        <v>-0.35210000000000002</v>
      </c>
      <c r="R131" s="69">
        <v>17.5885</v>
      </c>
      <c r="S131" s="69">
        <v>8.6290000000000006E-2</v>
      </c>
      <c r="T131" s="70"/>
      <c r="U131" s="70"/>
      <c r="V131" s="70"/>
      <c r="W131" s="70"/>
      <c r="X131" s="70"/>
      <c r="Y131" s="70"/>
      <c r="Z131" s="70"/>
      <c r="AA131" s="70"/>
      <c r="AB131" s="70"/>
      <c r="AC131" s="70"/>
      <c r="AE131" s="75">
        <v>126</v>
      </c>
      <c r="AF131" s="76">
        <v>128.69999999999999</v>
      </c>
      <c r="AG131" s="76">
        <v>135.30000000000001</v>
      </c>
      <c r="AH131" s="76">
        <v>141.80000000000001</v>
      </c>
      <c r="AI131" s="76">
        <v>148.30000000000001</v>
      </c>
      <c r="AJ131" s="77">
        <v>154.80000000000001</v>
      </c>
      <c r="AL131" s="75">
        <v>126</v>
      </c>
      <c r="AM131" s="76">
        <v>127.3</v>
      </c>
      <c r="AN131" s="76">
        <v>133.80000000000001</v>
      </c>
      <c r="AO131" s="76">
        <v>140.4</v>
      </c>
      <c r="AP131" s="76">
        <v>146.9</v>
      </c>
      <c r="AQ131" s="77">
        <v>153.5</v>
      </c>
    </row>
    <row r="132" spans="1:43">
      <c r="K132" s="71">
        <v>108.5</v>
      </c>
      <c r="L132" s="69">
        <v>-0.38329999999999997</v>
      </c>
      <c r="M132" s="69">
        <v>17.7668</v>
      </c>
      <c r="N132" s="69">
        <v>9.3439999999999995E-2</v>
      </c>
      <c r="O132" s="70"/>
      <c r="P132" s="71">
        <v>108.5</v>
      </c>
      <c r="Q132" s="69">
        <v>-0.35210000000000002</v>
      </c>
      <c r="R132" s="69">
        <v>17.755299999999998</v>
      </c>
      <c r="S132" s="69">
        <v>8.6599999999999996E-2</v>
      </c>
      <c r="T132" s="70"/>
      <c r="U132" s="70"/>
      <c r="V132" s="70"/>
      <c r="W132" s="70"/>
      <c r="X132" s="70"/>
      <c r="Y132" s="70"/>
      <c r="Z132" s="70"/>
      <c r="AA132" s="70"/>
      <c r="AB132" s="70"/>
      <c r="AC132" s="70"/>
      <c r="AE132" s="75">
        <v>127</v>
      </c>
      <c r="AF132" s="76">
        <v>129.19999999999999</v>
      </c>
      <c r="AG132" s="76">
        <v>135.80000000000001</v>
      </c>
      <c r="AH132" s="76">
        <v>142.30000000000001</v>
      </c>
      <c r="AI132" s="76">
        <v>148.9</v>
      </c>
      <c r="AJ132" s="77">
        <v>155.4</v>
      </c>
      <c r="AL132" s="75">
        <v>127</v>
      </c>
      <c r="AM132" s="76">
        <v>127.7</v>
      </c>
      <c r="AN132" s="76">
        <v>134.30000000000001</v>
      </c>
      <c r="AO132" s="76">
        <v>140.80000000000001</v>
      </c>
      <c r="AP132" s="76">
        <v>147.4</v>
      </c>
      <c r="AQ132" s="77">
        <v>154</v>
      </c>
    </row>
    <row r="133" spans="1:43">
      <c r="K133" s="71">
        <v>109</v>
      </c>
      <c r="L133" s="69">
        <v>-0.38329999999999997</v>
      </c>
      <c r="M133" s="69">
        <v>17.9526</v>
      </c>
      <c r="N133" s="69">
        <v>9.3630000000000005E-2</v>
      </c>
      <c r="O133" s="70"/>
      <c r="P133" s="71">
        <v>109</v>
      </c>
      <c r="Q133" s="69">
        <v>-0.35210000000000002</v>
      </c>
      <c r="R133" s="69">
        <v>17.924199999999999</v>
      </c>
      <c r="S133" s="69">
        <v>8.6910000000000001E-2</v>
      </c>
      <c r="T133" s="70"/>
      <c r="U133" s="70"/>
      <c r="V133" s="70"/>
      <c r="W133" s="70"/>
      <c r="X133" s="70"/>
      <c r="Y133" s="70"/>
      <c r="Z133" s="70"/>
      <c r="AA133" s="70"/>
      <c r="AB133" s="70"/>
      <c r="AC133" s="70"/>
      <c r="AE133" s="75">
        <v>128</v>
      </c>
      <c r="AF133" s="76">
        <v>129.69999999999999</v>
      </c>
      <c r="AG133" s="76">
        <v>136.30000000000001</v>
      </c>
      <c r="AH133" s="76">
        <v>142.9</v>
      </c>
      <c r="AI133" s="76">
        <v>149.4</v>
      </c>
      <c r="AJ133" s="77">
        <v>156</v>
      </c>
      <c r="AL133" s="75">
        <v>128</v>
      </c>
      <c r="AM133" s="76">
        <v>128.1</v>
      </c>
      <c r="AN133" s="76">
        <v>134.69999999999999</v>
      </c>
      <c r="AO133" s="76">
        <v>141.30000000000001</v>
      </c>
      <c r="AP133" s="76">
        <v>147.9</v>
      </c>
      <c r="AQ133" s="77">
        <v>154.5</v>
      </c>
    </row>
    <row r="134" spans="1:43">
      <c r="K134" s="71">
        <v>109.5</v>
      </c>
      <c r="L134" s="69">
        <v>-0.38329999999999997</v>
      </c>
      <c r="M134" s="69">
        <v>18.141200000000001</v>
      </c>
      <c r="N134" s="69">
        <v>9.3820000000000001E-2</v>
      </c>
      <c r="O134" s="70"/>
      <c r="P134" s="71">
        <v>109.5</v>
      </c>
      <c r="Q134" s="69">
        <v>-0.35210000000000002</v>
      </c>
      <c r="R134" s="69">
        <v>18.095400000000001</v>
      </c>
      <c r="S134" s="69">
        <v>8.7230000000000002E-2</v>
      </c>
      <c r="T134" s="70"/>
      <c r="U134" s="70"/>
      <c r="V134" s="70"/>
      <c r="W134" s="70"/>
      <c r="X134" s="70"/>
      <c r="Y134" s="70"/>
      <c r="Z134" s="70"/>
      <c r="AA134" s="70"/>
      <c r="AB134" s="70"/>
      <c r="AC134" s="70"/>
      <c r="AE134" s="75">
        <v>129</v>
      </c>
      <c r="AF134" s="76">
        <v>130.19999999999999</v>
      </c>
      <c r="AG134" s="76">
        <v>136.80000000000001</v>
      </c>
      <c r="AH134" s="76">
        <v>143.4</v>
      </c>
      <c r="AI134" s="76">
        <v>150</v>
      </c>
      <c r="AJ134" s="77">
        <v>156.6</v>
      </c>
      <c r="AL134" s="75">
        <v>129</v>
      </c>
      <c r="AM134" s="76">
        <v>128.5</v>
      </c>
      <c r="AN134" s="76">
        <v>135.1</v>
      </c>
      <c r="AO134" s="76">
        <v>141.69999999999999</v>
      </c>
      <c r="AP134" s="76">
        <v>148.4</v>
      </c>
      <c r="AQ134" s="77">
        <v>155</v>
      </c>
    </row>
    <row r="135" spans="1:43">
      <c r="K135" s="71">
        <v>110</v>
      </c>
      <c r="L135" s="69">
        <v>-0.38329999999999997</v>
      </c>
      <c r="M135" s="69">
        <v>18.3324</v>
      </c>
      <c r="N135" s="69">
        <v>9.4009999999999996E-2</v>
      </c>
      <c r="O135" s="70"/>
      <c r="P135" s="71">
        <v>110</v>
      </c>
      <c r="Q135" s="69">
        <v>-0.35210000000000002</v>
      </c>
      <c r="R135" s="69">
        <v>18.268899999999999</v>
      </c>
      <c r="S135" s="69">
        <v>8.7550000000000003E-2</v>
      </c>
      <c r="T135" s="70"/>
      <c r="U135" s="70"/>
      <c r="V135" s="70"/>
      <c r="W135" s="70"/>
      <c r="X135" s="70"/>
      <c r="Y135" s="70"/>
      <c r="Z135" s="70"/>
      <c r="AA135" s="70"/>
      <c r="AB135" s="70"/>
      <c r="AC135" s="70"/>
      <c r="AE135" s="75">
        <v>130</v>
      </c>
      <c r="AF135" s="76">
        <v>130.69999999999999</v>
      </c>
      <c r="AG135" s="76">
        <v>137.30000000000001</v>
      </c>
      <c r="AH135" s="76">
        <v>143.9</v>
      </c>
      <c r="AI135" s="76">
        <v>150.5</v>
      </c>
      <c r="AJ135" s="77">
        <v>157.1</v>
      </c>
      <c r="AL135" s="75">
        <v>130</v>
      </c>
      <c r="AM135" s="76">
        <v>128.80000000000001</v>
      </c>
      <c r="AN135" s="76">
        <v>135.5</v>
      </c>
      <c r="AO135" s="76">
        <v>142.19999999999999</v>
      </c>
      <c r="AP135" s="76">
        <v>148.9</v>
      </c>
      <c r="AQ135" s="77">
        <v>155.5</v>
      </c>
    </row>
    <row r="136" spans="1:43">
      <c r="AE136" s="75">
        <v>131</v>
      </c>
      <c r="AF136" s="76">
        <v>131.19999999999999</v>
      </c>
      <c r="AG136" s="76">
        <v>137.80000000000001</v>
      </c>
      <c r="AH136" s="76">
        <v>144.5</v>
      </c>
      <c r="AI136" s="76">
        <v>151.1</v>
      </c>
      <c r="AJ136" s="77">
        <v>157.69999999999999</v>
      </c>
      <c r="AL136" s="75">
        <v>131</v>
      </c>
      <c r="AM136" s="76">
        <v>129.19999999999999</v>
      </c>
      <c r="AN136" s="76">
        <v>135.9</v>
      </c>
      <c r="AO136" s="76">
        <v>142.69999999999999</v>
      </c>
      <c r="AP136" s="76">
        <v>149.4</v>
      </c>
      <c r="AQ136" s="77">
        <v>156.1</v>
      </c>
    </row>
    <row r="137" spans="1:43">
      <c r="AE137" s="75">
        <v>132</v>
      </c>
      <c r="AF137" s="76">
        <v>131.69999999999999</v>
      </c>
      <c r="AG137" s="76">
        <v>138.30000000000001</v>
      </c>
      <c r="AH137" s="76">
        <v>145</v>
      </c>
      <c r="AI137" s="76">
        <v>151.6</v>
      </c>
      <c r="AJ137" s="77">
        <v>158.30000000000001</v>
      </c>
      <c r="AL137" s="75">
        <v>132</v>
      </c>
      <c r="AM137" s="76">
        <v>129.69999999999999</v>
      </c>
      <c r="AN137" s="76">
        <v>136.4</v>
      </c>
      <c r="AO137" s="76">
        <v>143.1</v>
      </c>
      <c r="AP137" s="76">
        <v>149.80000000000001</v>
      </c>
      <c r="AQ137" s="77">
        <v>156.6</v>
      </c>
    </row>
    <row r="138" spans="1:43" ht="21.75" customHeight="1">
      <c r="A138" s="152" t="s">
        <v>573</v>
      </c>
      <c r="B138" s="152"/>
      <c r="C138" s="152"/>
      <c r="D138" s="152"/>
      <c r="E138" s="152"/>
      <c r="F138" s="152"/>
      <c r="G138" s="152"/>
      <c r="H138" s="152"/>
      <c r="I138" s="152"/>
      <c r="J138" s="152"/>
      <c r="K138" s="152"/>
      <c r="L138" s="152"/>
      <c r="M138" s="152"/>
      <c r="N138" s="152"/>
      <c r="O138" s="152"/>
      <c r="P138" s="152"/>
      <c r="Q138" s="152"/>
      <c r="R138" s="152"/>
      <c r="S138" s="152"/>
      <c r="T138" s="152"/>
      <c r="U138" s="152"/>
      <c r="V138" s="152"/>
      <c r="W138" s="152"/>
      <c r="X138" s="152"/>
      <c r="Y138" s="152"/>
      <c r="Z138" s="152"/>
      <c r="AA138" s="152"/>
      <c r="AB138" s="152"/>
      <c r="AC138" s="152"/>
      <c r="AE138" s="75">
        <v>133</v>
      </c>
      <c r="AF138" s="76">
        <v>132.19999999999999</v>
      </c>
      <c r="AG138" s="76">
        <v>138.9</v>
      </c>
      <c r="AH138" s="76">
        <v>145.5</v>
      </c>
      <c r="AI138" s="76">
        <v>152.19999999999999</v>
      </c>
      <c r="AJ138" s="77">
        <v>158.9</v>
      </c>
      <c r="AL138" s="75">
        <v>133</v>
      </c>
      <c r="AM138" s="76">
        <v>130.1</v>
      </c>
      <c r="AN138" s="76">
        <v>136.80000000000001</v>
      </c>
      <c r="AO138" s="76">
        <v>143.6</v>
      </c>
      <c r="AP138" s="76">
        <v>150.30000000000001</v>
      </c>
      <c r="AQ138" s="77">
        <v>157.1</v>
      </c>
    </row>
    <row r="139" spans="1:43" ht="30">
      <c r="A139" s="26" t="s">
        <v>574</v>
      </c>
      <c r="B139" s="26" t="s">
        <v>234</v>
      </c>
      <c r="C139" s="26" t="s">
        <v>575</v>
      </c>
      <c r="D139" s="26" t="s">
        <v>286</v>
      </c>
      <c r="E139" s="26" t="s">
        <v>576</v>
      </c>
      <c r="AE139" s="75">
        <v>134</v>
      </c>
      <c r="AF139" s="76">
        <v>132.69999999999999</v>
      </c>
      <c r="AG139" s="76">
        <v>139.4</v>
      </c>
      <c r="AH139" s="76">
        <v>146.1</v>
      </c>
      <c r="AI139" s="76">
        <v>152.69999999999999</v>
      </c>
      <c r="AJ139" s="77">
        <v>159.4</v>
      </c>
      <c r="AL139" s="75">
        <v>134</v>
      </c>
      <c r="AM139" s="76">
        <v>130.5</v>
      </c>
      <c r="AN139" s="76">
        <v>137.30000000000001</v>
      </c>
      <c r="AO139" s="76">
        <v>144.1</v>
      </c>
      <c r="AP139" s="76">
        <v>150.80000000000001</v>
      </c>
      <c r="AQ139" s="77">
        <v>157.6</v>
      </c>
    </row>
    <row r="140" spans="1:43" ht="210">
      <c r="A140" s="56" t="s">
        <v>120</v>
      </c>
      <c r="B140" s="56" t="s">
        <v>577</v>
      </c>
      <c r="C140" s="56" t="s">
        <v>578</v>
      </c>
      <c r="D140" s="56" t="s">
        <v>579</v>
      </c>
      <c r="E140" s="56" t="s">
        <v>580</v>
      </c>
      <c r="AE140" s="75">
        <v>135</v>
      </c>
      <c r="AF140" s="76">
        <v>133.19999999999999</v>
      </c>
      <c r="AG140" s="76">
        <v>139.9</v>
      </c>
      <c r="AH140" s="76">
        <v>146.6</v>
      </c>
      <c r="AI140" s="76">
        <v>153.30000000000001</v>
      </c>
      <c r="AJ140" s="77">
        <v>160</v>
      </c>
      <c r="AL140" s="75">
        <v>135</v>
      </c>
      <c r="AM140" s="76">
        <v>130.9</v>
      </c>
      <c r="AN140" s="76">
        <v>137.69999999999999</v>
      </c>
      <c r="AO140" s="76">
        <v>144.5</v>
      </c>
      <c r="AP140" s="76">
        <v>151.30000000000001</v>
      </c>
      <c r="AQ140" s="77">
        <v>158.19999999999999</v>
      </c>
    </row>
    <row r="141" spans="1:43" ht="210">
      <c r="A141" s="56" t="s">
        <v>120</v>
      </c>
      <c r="B141" s="56" t="s">
        <v>581</v>
      </c>
      <c r="C141" s="56" t="s">
        <v>582</v>
      </c>
      <c r="D141" s="56" t="s">
        <v>583</v>
      </c>
      <c r="E141" s="56" t="s">
        <v>580</v>
      </c>
      <c r="AE141" s="75">
        <v>136</v>
      </c>
      <c r="AF141" s="76">
        <v>133.69999999999999</v>
      </c>
      <c r="AG141" s="76">
        <v>140.4</v>
      </c>
      <c r="AH141" s="76">
        <v>147.1</v>
      </c>
      <c r="AI141" s="76">
        <v>153.80000000000001</v>
      </c>
      <c r="AJ141" s="77">
        <v>160.6</v>
      </c>
      <c r="AL141" s="75">
        <v>136</v>
      </c>
      <c r="AM141" s="76">
        <v>131.30000000000001</v>
      </c>
      <c r="AN141" s="76">
        <v>138.19999999999999</v>
      </c>
      <c r="AO141" s="76">
        <v>145</v>
      </c>
      <c r="AP141" s="76">
        <v>151.9</v>
      </c>
      <c r="AQ141" s="77">
        <v>158.69999999999999</v>
      </c>
    </row>
    <row r="142" spans="1:43" ht="225">
      <c r="A142" s="56" t="s">
        <v>584</v>
      </c>
      <c r="B142" s="56" t="s">
        <v>585</v>
      </c>
      <c r="C142" s="56" t="s">
        <v>586</v>
      </c>
      <c r="D142" s="56" t="s">
        <v>587</v>
      </c>
      <c r="E142" s="56" t="s">
        <v>580</v>
      </c>
      <c r="AE142" s="75">
        <v>137</v>
      </c>
      <c r="AF142" s="76">
        <v>134.19999999999999</v>
      </c>
      <c r="AG142" s="76">
        <v>140.9</v>
      </c>
      <c r="AH142" s="76">
        <v>147.69999999999999</v>
      </c>
      <c r="AI142" s="76">
        <v>154.4</v>
      </c>
      <c r="AJ142" s="77">
        <v>161.1</v>
      </c>
      <c r="AL142" s="75">
        <v>137</v>
      </c>
      <c r="AM142" s="76">
        <v>131.69999999999999</v>
      </c>
      <c r="AN142" s="76">
        <v>138.6</v>
      </c>
      <c r="AO142" s="76">
        <v>145.5</v>
      </c>
      <c r="AP142" s="76">
        <v>152.4</v>
      </c>
      <c r="AQ142" s="77">
        <v>159.30000000000001</v>
      </c>
    </row>
    <row r="143" spans="1:43" ht="225">
      <c r="A143" s="56" t="s">
        <v>584</v>
      </c>
      <c r="B143" s="56" t="s">
        <v>588</v>
      </c>
      <c r="C143" s="56" t="s">
        <v>589</v>
      </c>
      <c r="D143" s="56" t="s">
        <v>590</v>
      </c>
      <c r="E143" s="56" t="s">
        <v>580</v>
      </c>
      <c r="AE143" s="75">
        <v>138</v>
      </c>
      <c r="AF143" s="76">
        <v>134.69999999999999</v>
      </c>
      <c r="AG143" s="76">
        <v>141.4</v>
      </c>
      <c r="AH143" s="76">
        <v>148.19999999999999</v>
      </c>
      <c r="AI143" s="76">
        <v>154.9</v>
      </c>
      <c r="AJ143" s="77">
        <v>161.69999999999999</v>
      </c>
      <c r="AL143" s="75">
        <v>138</v>
      </c>
      <c r="AM143" s="76">
        <v>132.19999999999999</v>
      </c>
      <c r="AN143" s="76">
        <v>139.1</v>
      </c>
      <c r="AO143" s="76">
        <v>146</v>
      </c>
      <c r="AP143" s="76">
        <v>152.9</v>
      </c>
      <c r="AQ143" s="77">
        <v>159.80000000000001</v>
      </c>
    </row>
    <row r="144" spans="1:43" ht="225">
      <c r="A144" s="56" t="s">
        <v>591</v>
      </c>
      <c r="B144" s="56" t="s">
        <v>592</v>
      </c>
      <c r="C144" s="56" t="s">
        <v>593</v>
      </c>
      <c r="D144" s="56" t="s">
        <v>594</v>
      </c>
      <c r="E144" s="56" t="s">
        <v>580</v>
      </c>
      <c r="AE144" s="75">
        <v>139</v>
      </c>
      <c r="AF144" s="76">
        <v>135.19999999999999</v>
      </c>
      <c r="AG144" s="76">
        <v>141.9</v>
      </c>
      <c r="AH144" s="76">
        <v>148.69999999999999</v>
      </c>
      <c r="AI144" s="76">
        <v>155.5</v>
      </c>
      <c r="AJ144" s="77">
        <v>162.19999999999999</v>
      </c>
      <c r="AL144" s="75">
        <v>139</v>
      </c>
      <c r="AM144" s="76">
        <v>132.6</v>
      </c>
      <c r="AN144" s="76">
        <v>139.6</v>
      </c>
      <c r="AO144" s="76">
        <v>146.5</v>
      </c>
      <c r="AP144" s="76">
        <v>153.4</v>
      </c>
      <c r="AQ144" s="77">
        <v>160.4</v>
      </c>
    </row>
    <row r="145" spans="1:43" ht="225">
      <c r="A145" s="56" t="s">
        <v>591</v>
      </c>
      <c r="B145" s="56" t="s">
        <v>595</v>
      </c>
      <c r="C145" s="56" t="s">
        <v>596</v>
      </c>
      <c r="D145" s="56" t="s">
        <v>597</v>
      </c>
      <c r="E145" s="56" t="s">
        <v>580</v>
      </c>
      <c r="AE145" s="75">
        <v>140</v>
      </c>
      <c r="AF145" s="76">
        <v>135.69999999999999</v>
      </c>
      <c r="AG145" s="76">
        <v>142.4</v>
      </c>
      <c r="AH145" s="76">
        <v>149.19999999999999</v>
      </c>
      <c r="AI145" s="76">
        <v>156</v>
      </c>
      <c r="AJ145" s="77">
        <v>162.80000000000001</v>
      </c>
      <c r="AL145" s="75">
        <v>140</v>
      </c>
      <c r="AM145" s="76">
        <v>133.1</v>
      </c>
      <c r="AN145" s="76">
        <v>140</v>
      </c>
      <c r="AO145" s="76">
        <v>147</v>
      </c>
      <c r="AP145" s="76">
        <v>154</v>
      </c>
      <c r="AQ145" s="77">
        <v>160.9</v>
      </c>
    </row>
    <row r="146" spans="1:43">
      <c r="AE146" s="75">
        <v>141</v>
      </c>
      <c r="AF146" s="76">
        <v>136.1</v>
      </c>
      <c r="AG146" s="76">
        <v>142.9</v>
      </c>
      <c r="AH146" s="76">
        <v>149.69999999999999</v>
      </c>
      <c r="AI146" s="76">
        <v>156.5</v>
      </c>
      <c r="AJ146" s="77">
        <v>163.30000000000001</v>
      </c>
      <c r="AL146" s="75">
        <v>141</v>
      </c>
      <c r="AM146" s="76">
        <v>133.5</v>
      </c>
      <c r="AN146" s="76">
        <v>140.5</v>
      </c>
      <c r="AO146" s="76">
        <v>147.5</v>
      </c>
      <c r="AP146" s="76">
        <v>154.5</v>
      </c>
      <c r="AQ146" s="77">
        <v>161.5</v>
      </c>
    </row>
    <row r="147" spans="1:43">
      <c r="AE147" s="75">
        <v>142</v>
      </c>
      <c r="AF147" s="76">
        <v>136.6</v>
      </c>
      <c r="AG147" s="76">
        <v>143.4</v>
      </c>
      <c r="AH147" s="76">
        <v>150.19999999999999</v>
      </c>
      <c r="AI147" s="76">
        <v>157.1</v>
      </c>
      <c r="AJ147" s="77">
        <v>163.9</v>
      </c>
      <c r="AL147" s="75">
        <v>142</v>
      </c>
      <c r="AM147" s="76">
        <v>134</v>
      </c>
      <c r="AN147" s="76">
        <v>141</v>
      </c>
      <c r="AO147" s="76">
        <v>148</v>
      </c>
      <c r="AP147" s="76">
        <v>155</v>
      </c>
      <c r="AQ147" s="77">
        <v>162.1</v>
      </c>
    </row>
    <row r="148" spans="1:43">
      <c r="AE148" s="75">
        <v>143</v>
      </c>
      <c r="AF148" s="76">
        <v>137.1</v>
      </c>
      <c r="AG148" s="76">
        <v>143.9</v>
      </c>
      <c r="AH148" s="76">
        <v>150.69999999999999</v>
      </c>
      <c r="AI148" s="76">
        <v>157.6</v>
      </c>
      <c r="AJ148" s="77">
        <v>164.4</v>
      </c>
      <c r="AL148" s="75">
        <v>143</v>
      </c>
      <c r="AM148" s="76">
        <v>134.4</v>
      </c>
      <c r="AN148" s="76">
        <v>141.5</v>
      </c>
      <c r="AO148" s="76">
        <v>148.5</v>
      </c>
      <c r="AP148" s="76">
        <v>155.6</v>
      </c>
      <c r="AQ148" s="77">
        <v>162.69999999999999</v>
      </c>
    </row>
    <row r="149" spans="1:43">
      <c r="AE149" s="75">
        <v>144</v>
      </c>
      <c r="AF149" s="76">
        <v>137.6</v>
      </c>
      <c r="AG149" s="76">
        <v>144.4</v>
      </c>
      <c r="AH149" s="76">
        <v>151.19999999999999</v>
      </c>
      <c r="AI149" s="76">
        <v>158.1</v>
      </c>
      <c r="AJ149" s="77">
        <v>164.9</v>
      </c>
      <c r="AL149" s="75">
        <v>144</v>
      </c>
      <c r="AM149" s="76">
        <v>134.9</v>
      </c>
      <c r="AN149" s="76">
        <v>142</v>
      </c>
      <c r="AO149" s="76">
        <v>149.1</v>
      </c>
      <c r="AP149" s="76">
        <v>156.19999999999999</v>
      </c>
      <c r="AQ149" s="77">
        <v>163.30000000000001</v>
      </c>
    </row>
    <row r="150" spans="1:43">
      <c r="AE150" s="75">
        <v>145</v>
      </c>
      <c r="AF150" s="76">
        <v>138</v>
      </c>
      <c r="AG150" s="76">
        <v>144.9</v>
      </c>
      <c r="AH150" s="76">
        <v>151.69999999999999</v>
      </c>
      <c r="AI150" s="76">
        <v>158.6</v>
      </c>
      <c r="AJ150" s="77">
        <v>165.4</v>
      </c>
      <c r="AL150" s="75">
        <v>145</v>
      </c>
      <c r="AM150" s="76">
        <v>135.4</v>
      </c>
      <c r="AN150" s="76">
        <v>142.5</v>
      </c>
      <c r="AO150" s="76">
        <v>149.6</v>
      </c>
      <c r="AP150" s="76">
        <v>156.69999999999999</v>
      </c>
      <c r="AQ150" s="77">
        <v>163.9</v>
      </c>
    </row>
    <row r="151" spans="1:43">
      <c r="AE151" s="75">
        <v>146</v>
      </c>
      <c r="AF151" s="76">
        <v>138.5</v>
      </c>
      <c r="AG151" s="76">
        <v>145.30000000000001</v>
      </c>
      <c r="AH151" s="76">
        <v>152.19999999999999</v>
      </c>
      <c r="AI151" s="76">
        <v>159.1</v>
      </c>
      <c r="AJ151" s="77">
        <v>165.9</v>
      </c>
      <c r="AL151" s="75">
        <v>146</v>
      </c>
      <c r="AM151" s="76">
        <v>135.9</v>
      </c>
      <c r="AN151" s="76">
        <v>143</v>
      </c>
      <c r="AO151" s="76">
        <v>150.19999999999999</v>
      </c>
      <c r="AP151" s="76">
        <v>157.30000000000001</v>
      </c>
      <c r="AQ151" s="77">
        <v>164.5</v>
      </c>
    </row>
    <row r="152" spans="1:43">
      <c r="AE152" s="75">
        <v>147</v>
      </c>
      <c r="AF152" s="76">
        <v>138.9</v>
      </c>
      <c r="AG152" s="76">
        <v>145.80000000000001</v>
      </c>
      <c r="AH152" s="76">
        <v>152.69999999999999</v>
      </c>
      <c r="AI152" s="76">
        <v>159.5</v>
      </c>
      <c r="AJ152" s="77">
        <v>166.4</v>
      </c>
      <c r="AL152" s="75">
        <v>147</v>
      </c>
      <c r="AM152" s="76">
        <v>136.4</v>
      </c>
      <c r="AN152" s="76">
        <v>143.6</v>
      </c>
      <c r="AO152" s="76">
        <v>150.69999999999999</v>
      </c>
      <c r="AP152" s="76">
        <v>157.9</v>
      </c>
      <c r="AQ152" s="77">
        <v>165.1</v>
      </c>
    </row>
    <row r="153" spans="1:43">
      <c r="AE153" s="75">
        <v>148</v>
      </c>
      <c r="AF153" s="76">
        <v>139.30000000000001</v>
      </c>
      <c r="AG153" s="76">
        <v>146.19999999999999</v>
      </c>
      <c r="AH153" s="76">
        <v>153.1</v>
      </c>
      <c r="AI153" s="76">
        <v>160</v>
      </c>
      <c r="AJ153" s="77">
        <v>166.9</v>
      </c>
      <c r="AL153" s="75">
        <v>148</v>
      </c>
      <c r="AM153" s="76">
        <v>136.9</v>
      </c>
      <c r="AN153" s="76">
        <v>144.1</v>
      </c>
      <c r="AO153" s="76">
        <v>151.30000000000001</v>
      </c>
      <c r="AP153" s="76">
        <v>158.5</v>
      </c>
      <c r="AQ153" s="77">
        <v>165.7</v>
      </c>
    </row>
    <row r="154" spans="1:43">
      <c r="AE154" s="75">
        <v>149</v>
      </c>
      <c r="AF154" s="76">
        <v>139.80000000000001</v>
      </c>
      <c r="AG154" s="76">
        <v>146.69999999999999</v>
      </c>
      <c r="AH154" s="76">
        <v>153.6</v>
      </c>
      <c r="AI154" s="76">
        <v>160.5</v>
      </c>
      <c r="AJ154" s="77">
        <v>167.4</v>
      </c>
      <c r="AL154" s="75">
        <v>149</v>
      </c>
      <c r="AM154" s="76">
        <v>137.4</v>
      </c>
      <c r="AN154" s="76">
        <v>144.6</v>
      </c>
      <c r="AO154" s="76">
        <v>151.9</v>
      </c>
      <c r="AP154" s="76">
        <v>159.1</v>
      </c>
      <c r="AQ154" s="77">
        <v>166.3</v>
      </c>
    </row>
    <row r="155" spans="1:43">
      <c r="AE155" s="75">
        <v>150</v>
      </c>
      <c r="AF155" s="76">
        <v>140.19999999999999</v>
      </c>
      <c r="AG155" s="76">
        <v>147.1</v>
      </c>
      <c r="AH155" s="76">
        <v>154</v>
      </c>
      <c r="AI155" s="76">
        <v>160.9</v>
      </c>
      <c r="AJ155" s="77">
        <v>167.8</v>
      </c>
      <c r="AL155" s="75">
        <v>150</v>
      </c>
      <c r="AM155" s="76">
        <v>137.9</v>
      </c>
      <c r="AN155" s="76">
        <v>145.19999999999999</v>
      </c>
      <c r="AO155" s="76">
        <v>152.4</v>
      </c>
      <c r="AP155" s="76">
        <v>159.69999999999999</v>
      </c>
      <c r="AQ155" s="77">
        <v>167</v>
      </c>
    </row>
    <row r="156" spans="1:43">
      <c r="AE156" s="75">
        <v>151</v>
      </c>
      <c r="AF156" s="76">
        <v>140.6</v>
      </c>
      <c r="AG156" s="76">
        <v>147.5</v>
      </c>
      <c r="AH156" s="76">
        <v>154.4</v>
      </c>
      <c r="AI156" s="76">
        <v>161.30000000000001</v>
      </c>
      <c r="AJ156" s="77">
        <v>168.3</v>
      </c>
      <c r="AL156" s="75">
        <v>151</v>
      </c>
      <c r="AM156" s="76">
        <v>138.5</v>
      </c>
      <c r="AN156" s="76">
        <v>145.69999999999999</v>
      </c>
      <c r="AO156" s="76">
        <v>153</v>
      </c>
      <c r="AP156" s="76">
        <v>160.30000000000001</v>
      </c>
      <c r="AQ156" s="77">
        <v>167.6</v>
      </c>
    </row>
    <row r="157" spans="1:43">
      <c r="AE157" s="75">
        <v>152</v>
      </c>
      <c r="AF157" s="76">
        <v>141</v>
      </c>
      <c r="AG157" s="76">
        <v>147.9</v>
      </c>
      <c r="AH157" s="76">
        <v>154.80000000000001</v>
      </c>
      <c r="AI157" s="76">
        <v>161.80000000000001</v>
      </c>
      <c r="AJ157" s="77">
        <v>168.7</v>
      </c>
      <c r="AL157" s="75">
        <v>152</v>
      </c>
      <c r="AM157" s="76">
        <v>139</v>
      </c>
      <c r="AN157" s="76">
        <v>146.30000000000001</v>
      </c>
      <c r="AO157" s="76">
        <v>153.6</v>
      </c>
      <c r="AP157" s="76">
        <v>160.9</v>
      </c>
      <c r="AQ157" s="77">
        <v>168.3</v>
      </c>
    </row>
    <row r="158" spans="1:43">
      <c r="AE158" s="75">
        <v>153</v>
      </c>
      <c r="AF158" s="76">
        <v>141.4</v>
      </c>
      <c r="AG158" s="76">
        <v>148.30000000000001</v>
      </c>
      <c r="AH158" s="76">
        <v>155.19999999999999</v>
      </c>
      <c r="AI158" s="76">
        <v>162.19999999999999</v>
      </c>
      <c r="AJ158" s="77">
        <v>169.1</v>
      </c>
      <c r="AL158" s="75">
        <v>153</v>
      </c>
      <c r="AM158" s="76">
        <v>139.5</v>
      </c>
      <c r="AN158" s="76">
        <v>146.9</v>
      </c>
      <c r="AO158" s="76">
        <v>154.19999999999999</v>
      </c>
      <c r="AP158" s="76">
        <v>161.6</v>
      </c>
      <c r="AQ158" s="77">
        <v>168.9</v>
      </c>
    </row>
    <row r="159" spans="1:43">
      <c r="AE159" s="75">
        <v>154</v>
      </c>
      <c r="AF159" s="76">
        <v>141.80000000000001</v>
      </c>
      <c r="AG159" s="76">
        <v>148.69999999999999</v>
      </c>
      <c r="AH159" s="76">
        <v>155.6</v>
      </c>
      <c r="AI159" s="76">
        <v>162.6</v>
      </c>
      <c r="AJ159" s="77">
        <v>169.5</v>
      </c>
      <c r="AL159" s="75">
        <v>154</v>
      </c>
      <c r="AM159" s="76">
        <v>140.1</v>
      </c>
      <c r="AN159" s="76">
        <v>147.5</v>
      </c>
      <c r="AO159" s="76">
        <v>154.80000000000001</v>
      </c>
      <c r="AP159" s="76">
        <v>162.19999999999999</v>
      </c>
      <c r="AQ159" s="77">
        <v>169.6</v>
      </c>
    </row>
    <row r="160" spans="1:43">
      <c r="AE160" s="75">
        <v>155</v>
      </c>
      <c r="AF160" s="76">
        <v>142.1</v>
      </c>
      <c r="AG160" s="76">
        <v>149.1</v>
      </c>
      <c r="AH160" s="76">
        <v>156</v>
      </c>
      <c r="AI160" s="76">
        <v>162.9</v>
      </c>
      <c r="AJ160" s="77">
        <v>169.9</v>
      </c>
      <c r="AL160" s="75">
        <v>155</v>
      </c>
      <c r="AM160" s="76">
        <v>140.6</v>
      </c>
      <c r="AN160" s="76">
        <v>148</v>
      </c>
      <c r="AO160" s="76">
        <v>155.4</v>
      </c>
      <c r="AP160" s="76">
        <v>162.80000000000001</v>
      </c>
      <c r="AQ160" s="77">
        <v>170.2</v>
      </c>
    </row>
    <row r="161" spans="31:43">
      <c r="AE161" s="75">
        <v>156</v>
      </c>
      <c r="AF161" s="76">
        <v>142.5</v>
      </c>
      <c r="AG161" s="76">
        <v>149.4</v>
      </c>
      <c r="AH161" s="76">
        <v>156.4</v>
      </c>
      <c r="AI161" s="76">
        <v>163.30000000000001</v>
      </c>
      <c r="AJ161" s="77">
        <v>170.3</v>
      </c>
      <c r="AL161" s="75">
        <v>156</v>
      </c>
      <c r="AM161" s="76">
        <v>141.19999999999999</v>
      </c>
      <c r="AN161" s="76">
        <v>148.6</v>
      </c>
      <c r="AO161" s="76">
        <v>156</v>
      </c>
      <c r="AP161" s="76">
        <v>163.5</v>
      </c>
      <c r="AQ161" s="77">
        <v>170.9</v>
      </c>
    </row>
    <row r="162" spans="31:43">
      <c r="AE162" s="75">
        <v>157</v>
      </c>
      <c r="AF162" s="76">
        <v>142.80000000000001</v>
      </c>
      <c r="AG162" s="76">
        <v>149.80000000000001</v>
      </c>
      <c r="AH162" s="76">
        <v>156.69999999999999</v>
      </c>
      <c r="AI162" s="76">
        <v>163.69999999999999</v>
      </c>
      <c r="AJ162" s="77">
        <v>170.6</v>
      </c>
      <c r="AL162" s="75">
        <v>157</v>
      </c>
      <c r="AM162" s="76">
        <v>141.69999999999999</v>
      </c>
      <c r="AN162" s="76">
        <v>149.19999999999999</v>
      </c>
      <c r="AO162" s="76">
        <v>156.69999999999999</v>
      </c>
      <c r="AP162" s="76">
        <v>164.1</v>
      </c>
      <c r="AQ162" s="77">
        <v>171.6</v>
      </c>
    </row>
    <row r="163" spans="31:43">
      <c r="AE163" s="75">
        <v>158</v>
      </c>
      <c r="AF163" s="76">
        <v>143.19999999999999</v>
      </c>
      <c r="AG163" s="76">
        <v>150.1</v>
      </c>
      <c r="AH163" s="76">
        <v>157.1</v>
      </c>
      <c r="AI163" s="76">
        <v>164</v>
      </c>
      <c r="AJ163" s="77">
        <v>171</v>
      </c>
      <c r="AL163" s="75">
        <v>158</v>
      </c>
      <c r="AM163" s="76">
        <v>142.30000000000001</v>
      </c>
      <c r="AN163" s="76">
        <v>149.80000000000001</v>
      </c>
      <c r="AO163" s="76">
        <v>157.30000000000001</v>
      </c>
      <c r="AP163" s="76">
        <v>164.7</v>
      </c>
      <c r="AQ163" s="77">
        <v>172.2</v>
      </c>
    </row>
    <row r="164" spans="31:43">
      <c r="AE164" s="75">
        <v>159</v>
      </c>
      <c r="AF164" s="76">
        <v>143.5</v>
      </c>
      <c r="AG164" s="76">
        <v>150.4</v>
      </c>
      <c r="AH164" s="76">
        <v>157.4</v>
      </c>
      <c r="AI164" s="76">
        <v>164.3</v>
      </c>
      <c r="AJ164" s="77">
        <v>171.3</v>
      </c>
      <c r="AL164" s="75">
        <v>159</v>
      </c>
      <c r="AM164" s="76">
        <v>142.9</v>
      </c>
      <c r="AN164" s="76">
        <v>150.4</v>
      </c>
      <c r="AO164" s="76">
        <v>157.9</v>
      </c>
      <c r="AP164" s="76">
        <v>165.4</v>
      </c>
      <c r="AQ164" s="77">
        <v>172.9</v>
      </c>
    </row>
    <row r="165" spans="31:43">
      <c r="AE165" s="75">
        <v>160</v>
      </c>
      <c r="AF165" s="76">
        <v>143.80000000000001</v>
      </c>
      <c r="AG165" s="76">
        <v>150.80000000000001</v>
      </c>
      <c r="AH165" s="76">
        <v>157.69999999999999</v>
      </c>
      <c r="AI165" s="76">
        <v>164.7</v>
      </c>
      <c r="AJ165" s="77">
        <v>171.6</v>
      </c>
      <c r="AL165" s="75">
        <v>160</v>
      </c>
      <c r="AM165" s="76">
        <v>143.4</v>
      </c>
      <c r="AN165" s="76">
        <v>151</v>
      </c>
      <c r="AO165" s="76">
        <v>158.5</v>
      </c>
      <c r="AP165" s="76">
        <v>166</v>
      </c>
      <c r="AQ165" s="77">
        <v>173.5</v>
      </c>
    </row>
    <row r="166" spans="31:43">
      <c r="AE166" s="75">
        <v>161</v>
      </c>
      <c r="AF166" s="76">
        <v>144.1</v>
      </c>
      <c r="AG166" s="76">
        <v>151.1</v>
      </c>
      <c r="AH166" s="76">
        <v>158</v>
      </c>
      <c r="AI166" s="76">
        <v>165</v>
      </c>
      <c r="AJ166" s="77">
        <v>171.9</v>
      </c>
      <c r="AL166" s="75">
        <v>161</v>
      </c>
      <c r="AM166" s="76">
        <v>144</v>
      </c>
      <c r="AN166" s="76">
        <v>151.5</v>
      </c>
      <c r="AO166" s="76">
        <v>159.1</v>
      </c>
      <c r="AP166" s="76">
        <v>166.6</v>
      </c>
      <c r="AQ166" s="77">
        <v>174.2</v>
      </c>
    </row>
    <row r="167" spans="31:43">
      <c r="AE167" s="75">
        <v>162</v>
      </c>
      <c r="AF167" s="76">
        <v>144.4</v>
      </c>
      <c r="AG167" s="76">
        <v>151.30000000000001</v>
      </c>
      <c r="AH167" s="76">
        <v>158.30000000000001</v>
      </c>
      <c r="AI167" s="76">
        <v>165.3</v>
      </c>
      <c r="AJ167" s="77">
        <v>172.2</v>
      </c>
      <c r="AL167" s="75">
        <v>162</v>
      </c>
      <c r="AM167" s="76">
        <v>144.5</v>
      </c>
      <c r="AN167" s="76">
        <v>152.1</v>
      </c>
      <c r="AO167" s="76">
        <v>159.69999999999999</v>
      </c>
      <c r="AP167" s="76">
        <v>167.3</v>
      </c>
      <c r="AQ167" s="77">
        <v>174.8</v>
      </c>
    </row>
    <row r="168" spans="31:43">
      <c r="AE168" s="75">
        <v>163</v>
      </c>
      <c r="AF168" s="76">
        <v>144.69999999999999</v>
      </c>
      <c r="AG168" s="76">
        <v>151.6</v>
      </c>
      <c r="AH168" s="76">
        <v>158.6</v>
      </c>
      <c r="AI168" s="76">
        <v>165.5</v>
      </c>
      <c r="AJ168" s="77">
        <v>172.5</v>
      </c>
      <c r="AL168" s="75">
        <v>163</v>
      </c>
      <c r="AM168" s="76">
        <v>145.1</v>
      </c>
      <c r="AN168" s="76">
        <v>152.69999999999999</v>
      </c>
      <c r="AO168" s="76">
        <v>160.30000000000001</v>
      </c>
      <c r="AP168" s="76">
        <v>167.9</v>
      </c>
      <c r="AQ168" s="77">
        <v>175.5</v>
      </c>
    </row>
    <row r="169" spans="31:43">
      <c r="AE169" s="75">
        <v>164</v>
      </c>
      <c r="AF169" s="76">
        <v>144.9</v>
      </c>
      <c r="AG169" s="76">
        <v>151.9</v>
      </c>
      <c r="AH169" s="76">
        <v>158.80000000000001</v>
      </c>
      <c r="AI169" s="76">
        <v>165.8</v>
      </c>
      <c r="AJ169" s="77">
        <v>172.7</v>
      </c>
      <c r="AL169" s="75">
        <v>164</v>
      </c>
      <c r="AM169" s="76">
        <v>145.69999999999999</v>
      </c>
      <c r="AN169" s="76">
        <v>153.30000000000001</v>
      </c>
      <c r="AO169" s="76">
        <v>160.9</v>
      </c>
      <c r="AP169" s="76">
        <v>168.5</v>
      </c>
      <c r="AQ169" s="77">
        <v>176.1</v>
      </c>
    </row>
    <row r="170" spans="31:43">
      <c r="AE170" s="75">
        <v>165</v>
      </c>
      <c r="AF170" s="76">
        <v>145.19999999999999</v>
      </c>
      <c r="AG170" s="76">
        <v>152.1</v>
      </c>
      <c r="AH170" s="76">
        <v>159.1</v>
      </c>
      <c r="AI170" s="76">
        <v>166</v>
      </c>
      <c r="AJ170" s="77">
        <v>173</v>
      </c>
      <c r="AL170" s="75">
        <v>165</v>
      </c>
      <c r="AM170" s="76">
        <v>146.19999999999999</v>
      </c>
      <c r="AN170" s="76">
        <v>153.80000000000001</v>
      </c>
      <c r="AO170" s="76">
        <v>161.5</v>
      </c>
      <c r="AP170" s="76">
        <v>169.1</v>
      </c>
      <c r="AQ170" s="77">
        <v>176.7</v>
      </c>
    </row>
    <row r="171" spans="31:43">
      <c r="AE171" s="75">
        <v>166</v>
      </c>
      <c r="AF171" s="76">
        <v>145.4</v>
      </c>
      <c r="AG171" s="76">
        <v>152.4</v>
      </c>
      <c r="AH171" s="76">
        <v>159.30000000000001</v>
      </c>
      <c r="AI171" s="76">
        <v>166.3</v>
      </c>
      <c r="AJ171" s="77">
        <v>173.2</v>
      </c>
      <c r="AL171" s="75">
        <v>166</v>
      </c>
      <c r="AM171" s="76">
        <v>146.69999999999999</v>
      </c>
      <c r="AN171" s="76">
        <v>154.4</v>
      </c>
      <c r="AO171" s="76">
        <v>162.1</v>
      </c>
      <c r="AP171" s="76">
        <v>169.7</v>
      </c>
      <c r="AQ171" s="77">
        <v>177.4</v>
      </c>
    </row>
    <row r="172" spans="31:43">
      <c r="AE172" s="75">
        <v>167</v>
      </c>
      <c r="AF172" s="76">
        <v>145.69999999999999</v>
      </c>
      <c r="AG172" s="76">
        <v>152.6</v>
      </c>
      <c r="AH172" s="76">
        <v>159.6</v>
      </c>
      <c r="AI172" s="76">
        <v>166.5</v>
      </c>
      <c r="AJ172" s="77">
        <v>173.5</v>
      </c>
      <c r="AL172" s="75">
        <v>167</v>
      </c>
      <c r="AM172" s="76">
        <v>147.30000000000001</v>
      </c>
      <c r="AN172" s="76">
        <v>154.9</v>
      </c>
      <c r="AO172" s="76">
        <v>162.6</v>
      </c>
      <c r="AP172" s="76">
        <v>170.3</v>
      </c>
      <c r="AQ172" s="77">
        <v>178</v>
      </c>
    </row>
    <row r="173" spans="31:43">
      <c r="AE173" s="75">
        <v>168</v>
      </c>
      <c r="AF173" s="76">
        <v>145.9</v>
      </c>
      <c r="AG173" s="76">
        <v>152.80000000000001</v>
      </c>
      <c r="AH173" s="76">
        <v>159.80000000000001</v>
      </c>
      <c r="AI173" s="76">
        <v>166.7</v>
      </c>
      <c r="AJ173" s="77">
        <v>173.7</v>
      </c>
      <c r="AL173" s="75">
        <v>168</v>
      </c>
      <c r="AM173" s="76">
        <v>147.80000000000001</v>
      </c>
      <c r="AN173" s="76">
        <v>155.5</v>
      </c>
      <c r="AO173" s="76">
        <v>163.19999999999999</v>
      </c>
      <c r="AP173" s="76">
        <v>170.9</v>
      </c>
      <c r="AQ173" s="77">
        <v>178.6</v>
      </c>
    </row>
    <row r="174" spans="31:43">
      <c r="AE174" s="75">
        <v>169</v>
      </c>
      <c r="AF174" s="76">
        <v>146.1</v>
      </c>
      <c r="AG174" s="76">
        <v>153.1</v>
      </c>
      <c r="AH174" s="76">
        <v>160</v>
      </c>
      <c r="AI174" s="76">
        <v>166.9</v>
      </c>
      <c r="AJ174" s="77">
        <v>173.9</v>
      </c>
      <c r="AL174" s="75">
        <v>169</v>
      </c>
      <c r="AM174" s="76">
        <v>148.30000000000001</v>
      </c>
      <c r="AN174" s="76">
        <v>156</v>
      </c>
      <c r="AO174" s="76">
        <v>163.69999999999999</v>
      </c>
      <c r="AP174" s="76">
        <v>171.4</v>
      </c>
      <c r="AQ174" s="77">
        <v>179.1</v>
      </c>
    </row>
    <row r="175" spans="31:43">
      <c r="AE175" s="75">
        <v>170</v>
      </c>
      <c r="AF175" s="76">
        <v>146.30000000000001</v>
      </c>
      <c r="AG175" s="76">
        <v>153.30000000000001</v>
      </c>
      <c r="AH175" s="76">
        <v>160.19999999999999</v>
      </c>
      <c r="AI175" s="76">
        <v>167.1</v>
      </c>
      <c r="AJ175" s="77">
        <v>174.1</v>
      </c>
      <c r="AL175" s="75">
        <v>170</v>
      </c>
      <c r="AM175" s="76">
        <v>148.80000000000001</v>
      </c>
      <c r="AN175" s="76">
        <v>156.5</v>
      </c>
      <c r="AO175" s="76">
        <v>164.3</v>
      </c>
      <c r="AP175" s="76">
        <v>172</v>
      </c>
      <c r="AQ175" s="77">
        <v>179.7</v>
      </c>
    </row>
    <row r="176" spans="31:43">
      <c r="AE176" s="75">
        <v>171</v>
      </c>
      <c r="AF176" s="76">
        <v>146.5</v>
      </c>
      <c r="AG176" s="76">
        <v>153.5</v>
      </c>
      <c r="AH176" s="76">
        <v>160.4</v>
      </c>
      <c r="AI176" s="76">
        <v>167.3</v>
      </c>
      <c r="AJ176" s="77">
        <v>174.2</v>
      </c>
      <c r="AL176" s="75">
        <v>171</v>
      </c>
      <c r="AM176" s="76">
        <v>149.30000000000001</v>
      </c>
      <c r="AN176" s="76">
        <v>157.1</v>
      </c>
      <c r="AO176" s="76">
        <v>164.8</v>
      </c>
      <c r="AP176" s="76">
        <v>172.5</v>
      </c>
      <c r="AQ176" s="77">
        <v>180.3</v>
      </c>
    </row>
    <row r="177" spans="31:43">
      <c r="AE177" s="75">
        <v>172</v>
      </c>
      <c r="AF177" s="76">
        <v>146.69999999999999</v>
      </c>
      <c r="AG177" s="76">
        <v>153.6</v>
      </c>
      <c r="AH177" s="76">
        <v>160.6</v>
      </c>
      <c r="AI177" s="76">
        <v>167.5</v>
      </c>
      <c r="AJ177" s="77">
        <v>174.4</v>
      </c>
      <c r="AL177" s="75">
        <v>172</v>
      </c>
      <c r="AM177" s="76">
        <v>149.80000000000001</v>
      </c>
      <c r="AN177" s="76">
        <v>157.6</v>
      </c>
      <c r="AO177" s="76">
        <v>165.3</v>
      </c>
      <c r="AP177" s="76">
        <v>173.1</v>
      </c>
      <c r="AQ177" s="77">
        <v>180.8</v>
      </c>
    </row>
    <row r="178" spans="31:43">
      <c r="AE178" s="75">
        <v>173</v>
      </c>
      <c r="AF178" s="76">
        <v>146.9</v>
      </c>
      <c r="AG178" s="76">
        <v>153.80000000000001</v>
      </c>
      <c r="AH178" s="76">
        <v>160.69999999999999</v>
      </c>
      <c r="AI178" s="76">
        <v>167.7</v>
      </c>
      <c r="AJ178" s="77">
        <v>174.6</v>
      </c>
      <c r="AL178" s="75">
        <v>173</v>
      </c>
      <c r="AM178" s="76">
        <v>150.30000000000001</v>
      </c>
      <c r="AN178" s="76">
        <v>158.1</v>
      </c>
      <c r="AO178" s="76">
        <v>165.8</v>
      </c>
      <c r="AP178" s="76">
        <v>173.6</v>
      </c>
      <c r="AQ178" s="77">
        <v>181.3</v>
      </c>
    </row>
    <row r="179" spans="31:43">
      <c r="AE179" s="75">
        <v>174</v>
      </c>
      <c r="AF179" s="76">
        <v>147.1</v>
      </c>
      <c r="AG179" s="76">
        <v>154</v>
      </c>
      <c r="AH179" s="76">
        <v>160.9</v>
      </c>
      <c r="AI179" s="76">
        <v>167.8</v>
      </c>
      <c r="AJ179" s="77">
        <v>174.7</v>
      </c>
      <c r="AL179" s="75">
        <v>174</v>
      </c>
      <c r="AM179" s="76">
        <v>150.80000000000001</v>
      </c>
      <c r="AN179" s="76">
        <v>158.5</v>
      </c>
      <c r="AO179" s="76">
        <v>166.3</v>
      </c>
      <c r="AP179" s="76">
        <v>174.1</v>
      </c>
      <c r="AQ179" s="77">
        <v>181.8</v>
      </c>
    </row>
    <row r="180" spans="31:43">
      <c r="AE180" s="75">
        <v>175</v>
      </c>
      <c r="AF180" s="76">
        <v>147.19999999999999</v>
      </c>
      <c r="AG180" s="76">
        <v>154.1</v>
      </c>
      <c r="AH180" s="76">
        <v>161</v>
      </c>
      <c r="AI180" s="76">
        <v>168</v>
      </c>
      <c r="AJ180" s="77">
        <v>174.9</v>
      </c>
      <c r="AL180" s="75">
        <v>175</v>
      </c>
      <c r="AM180" s="76">
        <v>151.19999999999999</v>
      </c>
      <c r="AN180" s="76">
        <v>159</v>
      </c>
      <c r="AO180" s="76">
        <v>166.8</v>
      </c>
      <c r="AP180" s="76">
        <v>174.6</v>
      </c>
      <c r="AQ180" s="77">
        <v>182.3</v>
      </c>
    </row>
    <row r="181" spans="31:43">
      <c r="AE181" s="75">
        <v>176</v>
      </c>
      <c r="AF181" s="76">
        <v>147.4</v>
      </c>
      <c r="AG181" s="76">
        <v>154.30000000000001</v>
      </c>
      <c r="AH181" s="76">
        <v>161.19999999999999</v>
      </c>
      <c r="AI181" s="76">
        <v>168.1</v>
      </c>
      <c r="AJ181" s="77">
        <v>175</v>
      </c>
      <c r="AL181" s="75">
        <v>176</v>
      </c>
      <c r="AM181" s="76">
        <v>151.69999999999999</v>
      </c>
      <c r="AN181" s="76">
        <v>159.5</v>
      </c>
      <c r="AO181" s="76">
        <v>167.2</v>
      </c>
      <c r="AP181" s="76">
        <v>175</v>
      </c>
      <c r="AQ181" s="77">
        <v>182.8</v>
      </c>
    </row>
    <row r="182" spans="31:43">
      <c r="AE182" s="75">
        <v>177</v>
      </c>
      <c r="AF182" s="76">
        <v>147.5</v>
      </c>
      <c r="AG182" s="76">
        <v>154.4</v>
      </c>
      <c r="AH182" s="76">
        <v>161.30000000000001</v>
      </c>
      <c r="AI182" s="76">
        <v>168.2</v>
      </c>
      <c r="AJ182" s="77">
        <v>175.1</v>
      </c>
      <c r="AL182" s="75">
        <v>177</v>
      </c>
      <c r="AM182" s="76">
        <v>152.1</v>
      </c>
      <c r="AN182" s="76">
        <v>159.9</v>
      </c>
      <c r="AO182" s="76">
        <v>167.7</v>
      </c>
      <c r="AP182" s="76">
        <v>175.5</v>
      </c>
      <c r="AQ182" s="77">
        <v>183.3</v>
      </c>
    </row>
    <row r="183" spans="31:43">
      <c r="AE183" s="75">
        <v>178</v>
      </c>
      <c r="AF183" s="76">
        <v>147.69999999999999</v>
      </c>
      <c r="AG183" s="76">
        <v>154.5</v>
      </c>
      <c r="AH183" s="76">
        <v>161.4</v>
      </c>
      <c r="AI183" s="76">
        <v>168.3</v>
      </c>
      <c r="AJ183" s="77">
        <v>175.2</v>
      </c>
      <c r="AL183" s="75">
        <v>178</v>
      </c>
      <c r="AM183" s="76">
        <v>152.5</v>
      </c>
      <c r="AN183" s="76">
        <v>160.30000000000001</v>
      </c>
      <c r="AO183" s="76">
        <v>168.1</v>
      </c>
      <c r="AP183" s="76">
        <v>175.9</v>
      </c>
      <c r="AQ183" s="77">
        <v>183.7</v>
      </c>
    </row>
    <row r="184" spans="31:43">
      <c r="AE184" s="75">
        <v>179</v>
      </c>
      <c r="AF184" s="76">
        <v>147.80000000000001</v>
      </c>
      <c r="AG184" s="76">
        <v>154.69999999999999</v>
      </c>
      <c r="AH184" s="76">
        <v>161.6</v>
      </c>
      <c r="AI184" s="76">
        <v>168.4</v>
      </c>
      <c r="AJ184" s="77">
        <v>175.3</v>
      </c>
      <c r="AL184" s="75">
        <v>179</v>
      </c>
      <c r="AM184" s="76">
        <v>152.9</v>
      </c>
      <c r="AN184" s="76">
        <v>160.69999999999999</v>
      </c>
      <c r="AO184" s="76">
        <v>168.5</v>
      </c>
      <c r="AP184" s="76">
        <v>176.3</v>
      </c>
      <c r="AQ184" s="77">
        <v>184.1</v>
      </c>
    </row>
    <row r="185" spans="31:43">
      <c r="AE185" s="75">
        <v>180</v>
      </c>
      <c r="AF185" s="76">
        <v>147.9</v>
      </c>
      <c r="AG185" s="76">
        <v>154.80000000000001</v>
      </c>
      <c r="AH185" s="76">
        <v>161.69999999999999</v>
      </c>
      <c r="AI185" s="76">
        <v>168.5</v>
      </c>
      <c r="AJ185" s="77">
        <v>175.4</v>
      </c>
      <c r="AL185" s="75">
        <v>180</v>
      </c>
      <c r="AM185" s="76">
        <v>153.4</v>
      </c>
      <c r="AN185" s="76">
        <v>161.19999999999999</v>
      </c>
      <c r="AO185" s="76">
        <v>169</v>
      </c>
      <c r="AP185" s="76">
        <v>176.8</v>
      </c>
      <c r="AQ185" s="77">
        <v>184.6</v>
      </c>
    </row>
    <row r="186" spans="31:43">
      <c r="AE186" s="75">
        <v>181</v>
      </c>
      <c r="AF186" s="76">
        <v>148</v>
      </c>
      <c r="AG186" s="76">
        <v>154.9</v>
      </c>
      <c r="AH186" s="76">
        <v>161.80000000000001</v>
      </c>
      <c r="AI186" s="76">
        <v>168.6</v>
      </c>
      <c r="AJ186" s="77">
        <v>175.5</v>
      </c>
      <c r="AL186" s="75">
        <v>181</v>
      </c>
      <c r="AM186" s="76">
        <v>153.69999999999999</v>
      </c>
      <c r="AN186" s="76">
        <v>161.5</v>
      </c>
      <c r="AO186" s="76">
        <v>169.4</v>
      </c>
      <c r="AP186" s="76">
        <v>177.2</v>
      </c>
      <c r="AQ186" s="77">
        <v>185</v>
      </c>
    </row>
    <row r="187" spans="31:43">
      <c r="AE187" s="75">
        <v>182</v>
      </c>
      <c r="AF187" s="76">
        <v>148.1</v>
      </c>
      <c r="AG187" s="76">
        <v>155</v>
      </c>
      <c r="AH187" s="76">
        <v>161.9</v>
      </c>
      <c r="AI187" s="76">
        <v>168.7</v>
      </c>
      <c r="AJ187" s="77">
        <v>175.6</v>
      </c>
      <c r="AL187" s="75">
        <v>182</v>
      </c>
      <c r="AM187" s="76">
        <v>154.1</v>
      </c>
      <c r="AN187" s="76">
        <v>161.9</v>
      </c>
      <c r="AO187" s="76">
        <v>169.7</v>
      </c>
      <c r="AP187" s="76">
        <v>177.5</v>
      </c>
      <c r="AQ187" s="77">
        <v>185.4</v>
      </c>
    </row>
    <row r="188" spans="31:43">
      <c r="AE188" s="75">
        <v>183</v>
      </c>
      <c r="AF188" s="76">
        <v>148.19999999999999</v>
      </c>
      <c r="AG188" s="76">
        <v>155.1</v>
      </c>
      <c r="AH188" s="76">
        <v>162</v>
      </c>
      <c r="AI188" s="76">
        <v>168.8</v>
      </c>
      <c r="AJ188" s="77">
        <v>175.7</v>
      </c>
      <c r="AL188" s="75">
        <v>183</v>
      </c>
      <c r="AM188" s="76">
        <v>154.5</v>
      </c>
      <c r="AN188" s="76">
        <v>162.30000000000001</v>
      </c>
      <c r="AO188" s="76">
        <v>170.1</v>
      </c>
      <c r="AP188" s="76">
        <v>177.9</v>
      </c>
      <c r="AQ188" s="77">
        <v>185.7</v>
      </c>
    </row>
    <row r="189" spans="31:43">
      <c r="AE189" s="75">
        <v>184</v>
      </c>
      <c r="AF189" s="76">
        <v>148.30000000000001</v>
      </c>
      <c r="AG189" s="76">
        <v>155.19999999999999</v>
      </c>
      <c r="AH189" s="76">
        <v>162</v>
      </c>
      <c r="AI189" s="76">
        <v>168.9</v>
      </c>
      <c r="AJ189" s="77">
        <v>175.7</v>
      </c>
      <c r="AL189" s="75">
        <v>184</v>
      </c>
      <c r="AM189" s="76">
        <v>154.9</v>
      </c>
      <c r="AN189" s="76">
        <v>162.69999999999999</v>
      </c>
      <c r="AO189" s="76">
        <v>170.5</v>
      </c>
      <c r="AP189" s="76">
        <v>178.3</v>
      </c>
      <c r="AQ189" s="77">
        <v>186.1</v>
      </c>
    </row>
    <row r="190" spans="31:43">
      <c r="AE190" s="75">
        <v>185</v>
      </c>
      <c r="AF190" s="76">
        <v>148.4</v>
      </c>
      <c r="AG190" s="76">
        <v>155.30000000000001</v>
      </c>
      <c r="AH190" s="76">
        <v>162.1</v>
      </c>
      <c r="AI190" s="76">
        <v>169</v>
      </c>
      <c r="AJ190" s="77">
        <v>175.8</v>
      </c>
      <c r="AL190" s="75">
        <v>185</v>
      </c>
      <c r="AM190" s="76">
        <v>155.19999999999999</v>
      </c>
      <c r="AN190" s="76">
        <v>163</v>
      </c>
      <c r="AO190" s="76">
        <v>170.8</v>
      </c>
      <c r="AP190" s="76">
        <v>178.6</v>
      </c>
      <c r="AQ190" s="77">
        <v>186.4</v>
      </c>
    </row>
    <row r="191" spans="31:43">
      <c r="AE191" s="75">
        <v>186</v>
      </c>
      <c r="AF191" s="76">
        <v>148.5</v>
      </c>
      <c r="AG191" s="76">
        <v>155.4</v>
      </c>
      <c r="AH191" s="76">
        <v>162.19999999999999</v>
      </c>
      <c r="AI191" s="76">
        <v>169</v>
      </c>
      <c r="AJ191" s="77">
        <v>175.9</v>
      </c>
      <c r="AL191" s="75">
        <v>186</v>
      </c>
      <c r="AM191" s="76">
        <v>155.5</v>
      </c>
      <c r="AN191" s="76">
        <v>163.30000000000001</v>
      </c>
      <c r="AO191" s="76">
        <v>171.1</v>
      </c>
      <c r="AP191" s="76">
        <v>178.9</v>
      </c>
      <c r="AQ191" s="77">
        <v>186.8</v>
      </c>
    </row>
    <row r="192" spans="31:43">
      <c r="AE192" s="75">
        <v>187</v>
      </c>
      <c r="AF192" s="76">
        <v>148.6</v>
      </c>
      <c r="AG192" s="76">
        <v>155.4</v>
      </c>
      <c r="AH192" s="76">
        <v>162.30000000000001</v>
      </c>
      <c r="AI192" s="76">
        <v>169.1</v>
      </c>
      <c r="AJ192" s="77">
        <v>175.9</v>
      </c>
      <c r="AL192" s="75">
        <v>187</v>
      </c>
      <c r="AM192" s="76">
        <v>155.9</v>
      </c>
      <c r="AN192" s="76">
        <v>163.69999999999999</v>
      </c>
      <c r="AO192" s="76">
        <v>171.5</v>
      </c>
      <c r="AP192" s="76">
        <v>179.3</v>
      </c>
      <c r="AQ192" s="77">
        <v>187.1</v>
      </c>
    </row>
    <row r="193" spans="31:43">
      <c r="AE193" s="75">
        <v>188</v>
      </c>
      <c r="AF193" s="76">
        <v>148.69999999999999</v>
      </c>
      <c r="AG193" s="76">
        <v>155.5</v>
      </c>
      <c r="AH193" s="76">
        <v>162.30000000000001</v>
      </c>
      <c r="AI193" s="76">
        <v>169.1</v>
      </c>
      <c r="AJ193" s="77">
        <v>176</v>
      </c>
      <c r="AL193" s="75">
        <v>188</v>
      </c>
      <c r="AM193" s="76">
        <v>156.19999999999999</v>
      </c>
      <c r="AN193" s="76">
        <v>164</v>
      </c>
      <c r="AO193" s="76">
        <v>171.8</v>
      </c>
      <c r="AP193" s="76">
        <v>179.6</v>
      </c>
      <c r="AQ193" s="77">
        <v>187.4</v>
      </c>
    </row>
    <row r="194" spans="31:43">
      <c r="AE194" s="75">
        <v>189</v>
      </c>
      <c r="AF194" s="76">
        <v>148.69999999999999</v>
      </c>
      <c r="AG194" s="76">
        <v>155.6</v>
      </c>
      <c r="AH194" s="76">
        <v>162.4</v>
      </c>
      <c r="AI194" s="76">
        <v>169.2</v>
      </c>
      <c r="AJ194" s="77">
        <v>176</v>
      </c>
      <c r="AL194" s="75">
        <v>189</v>
      </c>
      <c r="AM194" s="76">
        <v>156.5</v>
      </c>
      <c r="AN194" s="76">
        <v>164.3</v>
      </c>
      <c r="AO194" s="76">
        <v>172.1</v>
      </c>
      <c r="AP194" s="76">
        <v>179.9</v>
      </c>
      <c r="AQ194" s="77">
        <v>187.7</v>
      </c>
    </row>
    <row r="195" spans="31:43">
      <c r="AE195" s="75">
        <v>190</v>
      </c>
      <c r="AF195" s="76">
        <v>148.80000000000001</v>
      </c>
      <c r="AG195" s="76">
        <v>155.6</v>
      </c>
      <c r="AH195" s="76">
        <v>162.4</v>
      </c>
      <c r="AI195" s="76">
        <v>169.2</v>
      </c>
      <c r="AJ195" s="77">
        <v>176</v>
      </c>
      <c r="AL195" s="75">
        <v>190</v>
      </c>
      <c r="AM195" s="76">
        <v>156.80000000000001</v>
      </c>
      <c r="AN195" s="76">
        <v>164.6</v>
      </c>
      <c r="AO195" s="76">
        <v>172.4</v>
      </c>
      <c r="AP195" s="76">
        <v>180.1</v>
      </c>
      <c r="AQ195" s="77">
        <v>187.9</v>
      </c>
    </row>
    <row r="196" spans="31:43">
      <c r="AE196" s="75">
        <v>191</v>
      </c>
      <c r="AF196" s="76">
        <v>148.9</v>
      </c>
      <c r="AG196" s="76">
        <v>155.69999999999999</v>
      </c>
      <c r="AH196" s="76">
        <v>162.5</v>
      </c>
      <c r="AI196" s="76">
        <v>169.3</v>
      </c>
      <c r="AJ196" s="77">
        <v>176.1</v>
      </c>
      <c r="AL196" s="75">
        <v>191</v>
      </c>
      <c r="AM196" s="76">
        <v>157.1</v>
      </c>
      <c r="AN196" s="76">
        <v>164.9</v>
      </c>
      <c r="AO196" s="76">
        <v>172.6</v>
      </c>
      <c r="AP196" s="76">
        <v>180.4</v>
      </c>
      <c r="AQ196" s="77">
        <v>188.2</v>
      </c>
    </row>
    <row r="197" spans="31:43">
      <c r="AE197" s="75">
        <v>192</v>
      </c>
      <c r="AF197" s="76">
        <v>148.9</v>
      </c>
      <c r="AG197" s="76">
        <v>155.69999999999999</v>
      </c>
      <c r="AH197" s="76">
        <v>162.5</v>
      </c>
      <c r="AI197" s="76">
        <v>169.3</v>
      </c>
      <c r="AJ197" s="77">
        <v>176.1</v>
      </c>
      <c r="AL197" s="75">
        <v>192</v>
      </c>
      <c r="AM197" s="76">
        <v>157.4</v>
      </c>
      <c r="AN197" s="76">
        <v>165.1</v>
      </c>
      <c r="AO197" s="76">
        <v>172.9</v>
      </c>
      <c r="AP197" s="76">
        <v>180.7</v>
      </c>
      <c r="AQ197" s="77">
        <v>188.4</v>
      </c>
    </row>
    <row r="198" spans="31:43">
      <c r="AE198" s="75">
        <v>193</v>
      </c>
      <c r="AF198" s="76">
        <v>149</v>
      </c>
      <c r="AG198" s="76">
        <v>155.80000000000001</v>
      </c>
      <c r="AH198" s="76">
        <v>162.6</v>
      </c>
      <c r="AI198" s="76">
        <v>169.3</v>
      </c>
      <c r="AJ198" s="77">
        <v>176.1</v>
      </c>
      <c r="AL198" s="75">
        <v>193</v>
      </c>
      <c r="AM198" s="76">
        <v>157.6</v>
      </c>
      <c r="AN198" s="76">
        <v>165.4</v>
      </c>
      <c r="AO198" s="76">
        <v>173.1</v>
      </c>
      <c r="AP198" s="76">
        <v>180.9</v>
      </c>
      <c r="AQ198" s="77">
        <v>188.7</v>
      </c>
    </row>
    <row r="199" spans="31:43">
      <c r="AE199" s="75">
        <v>194</v>
      </c>
      <c r="AF199" s="76">
        <v>149.1</v>
      </c>
      <c r="AG199" s="76">
        <v>155.80000000000001</v>
      </c>
      <c r="AH199" s="76">
        <v>162.6</v>
      </c>
      <c r="AI199" s="76">
        <v>169.4</v>
      </c>
      <c r="AJ199" s="77">
        <v>176.1</v>
      </c>
      <c r="AL199" s="75">
        <v>194</v>
      </c>
      <c r="AM199" s="76">
        <v>157.9</v>
      </c>
      <c r="AN199" s="76">
        <v>165.6</v>
      </c>
      <c r="AO199" s="76">
        <v>173.4</v>
      </c>
      <c r="AP199" s="76">
        <v>181.1</v>
      </c>
      <c r="AQ199" s="77">
        <v>188.9</v>
      </c>
    </row>
    <row r="200" spans="31:43">
      <c r="AE200" s="75">
        <v>195</v>
      </c>
      <c r="AF200" s="76">
        <v>149.1</v>
      </c>
      <c r="AG200" s="76">
        <v>155.9</v>
      </c>
      <c r="AH200" s="76">
        <v>162.6</v>
      </c>
      <c r="AI200" s="76">
        <v>169.4</v>
      </c>
      <c r="AJ200" s="77">
        <v>176.2</v>
      </c>
      <c r="AL200" s="75">
        <v>195</v>
      </c>
      <c r="AM200" s="76">
        <v>158.1</v>
      </c>
      <c r="AN200" s="76">
        <v>165.9</v>
      </c>
      <c r="AO200" s="76">
        <v>173.6</v>
      </c>
      <c r="AP200" s="76">
        <v>181.4</v>
      </c>
      <c r="AQ200" s="77">
        <v>189.1</v>
      </c>
    </row>
    <row r="201" spans="31:43">
      <c r="AE201" s="75">
        <v>196</v>
      </c>
      <c r="AF201" s="76">
        <v>149.19999999999999</v>
      </c>
      <c r="AG201" s="76">
        <v>155.9</v>
      </c>
      <c r="AH201" s="76">
        <v>162.69999999999999</v>
      </c>
      <c r="AI201" s="76">
        <v>169.4</v>
      </c>
      <c r="AJ201" s="77">
        <v>176.2</v>
      </c>
      <c r="AL201" s="75">
        <v>196</v>
      </c>
      <c r="AM201" s="76">
        <v>158.4</v>
      </c>
      <c r="AN201" s="76">
        <v>166.1</v>
      </c>
      <c r="AO201" s="76">
        <v>173.8</v>
      </c>
      <c r="AP201" s="76">
        <v>181.6</v>
      </c>
      <c r="AQ201" s="77">
        <v>189.3</v>
      </c>
    </row>
    <row r="202" spans="31:43">
      <c r="AE202" s="75">
        <v>197</v>
      </c>
      <c r="AF202" s="76">
        <v>149.19999999999999</v>
      </c>
      <c r="AG202" s="76">
        <v>155.9</v>
      </c>
      <c r="AH202" s="76">
        <v>162.69999999999999</v>
      </c>
      <c r="AI202" s="76">
        <v>169.4</v>
      </c>
      <c r="AJ202" s="77">
        <v>176.2</v>
      </c>
      <c r="AL202" s="75">
        <v>197</v>
      </c>
      <c r="AM202" s="76">
        <v>158.6</v>
      </c>
      <c r="AN202" s="76">
        <v>166.3</v>
      </c>
      <c r="AO202" s="76">
        <v>174</v>
      </c>
      <c r="AP202" s="76">
        <v>181.8</v>
      </c>
      <c r="AQ202" s="77">
        <v>189.5</v>
      </c>
    </row>
    <row r="203" spans="31:43">
      <c r="AE203" s="75">
        <v>198</v>
      </c>
      <c r="AF203" s="76">
        <v>149.19999999999999</v>
      </c>
      <c r="AG203" s="76">
        <v>156</v>
      </c>
      <c r="AH203" s="76">
        <v>162.69999999999999</v>
      </c>
      <c r="AI203" s="76">
        <v>169.5</v>
      </c>
      <c r="AJ203" s="77">
        <v>176.2</v>
      </c>
      <c r="AL203" s="75">
        <v>198</v>
      </c>
      <c r="AM203" s="76">
        <v>158.80000000000001</v>
      </c>
      <c r="AN203" s="76">
        <v>166.5</v>
      </c>
      <c r="AO203" s="76">
        <v>174.2</v>
      </c>
      <c r="AP203" s="76">
        <v>181.9</v>
      </c>
      <c r="AQ203" s="77">
        <v>189.7</v>
      </c>
    </row>
    <row r="204" spans="31:43">
      <c r="AE204" s="75">
        <v>199</v>
      </c>
      <c r="AF204" s="76">
        <v>149.30000000000001</v>
      </c>
      <c r="AG204" s="76">
        <v>156</v>
      </c>
      <c r="AH204" s="76">
        <v>162.69999999999999</v>
      </c>
      <c r="AI204" s="76">
        <v>169.5</v>
      </c>
      <c r="AJ204" s="77">
        <v>176.2</v>
      </c>
      <c r="AL204" s="75">
        <v>199</v>
      </c>
      <c r="AM204" s="76">
        <v>159</v>
      </c>
      <c r="AN204" s="76">
        <v>166.7</v>
      </c>
      <c r="AO204" s="76">
        <v>174.4</v>
      </c>
      <c r="AP204" s="76">
        <v>182.1</v>
      </c>
      <c r="AQ204" s="77">
        <v>189.8</v>
      </c>
    </row>
    <row r="205" spans="31:43">
      <c r="AE205" s="75">
        <v>200</v>
      </c>
      <c r="AF205" s="76">
        <v>149.30000000000001</v>
      </c>
      <c r="AG205" s="76">
        <v>156</v>
      </c>
      <c r="AH205" s="76">
        <v>162.80000000000001</v>
      </c>
      <c r="AI205" s="76">
        <v>169.5</v>
      </c>
      <c r="AJ205" s="77">
        <v>176.2</v>
      </c>
      <c r="AL205" s="75">
        <v>200</v>
      </c>
      <c r="AM205" s="76">
        <v>159.19999999999999</v>
      </c>
      <c r="AN205" s="76">
        <v>166.9</v>
      </c>
      <c r="AO205" s="76">
        <v>174.6</v>
      </c>
      <c r="AP205" s="76">
        <v>182.3</v>
      </c>
      <c r="AQ205" s="77">
        <v>190</v>
      </c>
    </row>
    <row r="206" spans="31:43">
      <c r="AE206" s="75">
        <v>201</v>
      </c>
      <c r="AF206" s="76">
        <v>149.4</v>
      </c>
      <c r="AG206" s="76">
        <v>156.1</v>
      </c>
      <c r="AH206" s="76">
        <v>162.80000000000001</v>
      </c>
      <c r="AI206" s="76">
        <v>169.5</v>
      </c>
      <c r="AJ206" s="77">
        <v>176.2</v>
      </c>
      <c r="AL206" s="75">
        <v>201</v>
      </c>
      <c r="AM206" s="76">
        <v>159.4</v>
      </c>
      <c r="AN206" s="76">
        <v>167.1</v>
      </c>
      <c r="AO206" s="76">
        <v>174.7</v>
      </c>
      <c r="AP206" s="76">
        <v>182.4</v>
      </c>
      <c r="AQ206" s="77">
        <v>190.1</v>
      </c>
    </row>
    <row r="207" spans="31:43">
      <c r="AE207" s="75">
        <v>202</v>
      </c>
      <c r="AF207" s="76">
        <v>149.4</v>
      </c>
      <c r="AG207" s="76">
        <v>156.1</v>
      </c>
      <c r="AH207" s="76">
        <v>162.80000000000001</v>
      </c>
      <c r="AI207" s="76">
        <v>169.5</v>
      </c>
      <c r="AJ207" s="77">
        <v>176.2</v>
      </c>
      <c r="AL207" s="75">
        <v>202</v>
      </c>
      <c r="AM207" s="76">
        <v>159.6</v>
      </c>
      <c r="AN207" s="76">
        <v>167.2</v>
      </c>
      <c r="AO207" s="76">
        <v>174.9</v>
      </c>
      <c r="AP207" s="76">
        <v>182.6</v>
      </c>
      <c r="AQ207" s="77">
        <v>190.2</v>
      </c>
    </row>
    <row r="208" spans="31:43">
      <c r="AE208" s="75">
        <v>203</v>
      </c>
      <c r="AF208" s="76">
        <v>149.4</v>
      </c>
      <c r="AG208" s="76">
        <v>156.1</v>
      </c>
      <c r="AH208" s="76">
        <v>162.80000000000001</v>
      </c>
      <c r="AI208" s="76">
        <v>169.5</v>
      </c>
      <c r="AJ208" s="77">
        <v>176.2</v>
      </c>
      <c r="AL208" s="75">
        <v>203</v>
      </c>
      <c r="AM208" s="76">
        <v>159.69999999999999</v>
      </c>
      <c r="AN208" s="76">
        <v>167.4</v>
      </c>
      <c r="AO208" s="76">
        <v>175</v>
      </c>
      <c r="AP208" s="76">
        <v>182.7</v>
      </c>
      <c r="AQ208" s="77">
        <v>190.3</v>
      </c>
    </row>
    <row r="209" spans="31:43">
      <c r="AE209" s="75">
        <v>204</v>
      </c>
      <c r="AF209" s="76">
        <v>149.5</v>
      </c>
      <c r="AG209" s="76">
        <v>156.19999999999999</v>
      </c>
      <c r="AH209" s="76">
        <v>162.9</v>
      </c>
      <c r="AI209" s="76">
        <v>169.5</v>
      </c>
      <c r="AJ209" s="77">
        <v>176.2</v>
      </c>
      <c r="AL209" s="75">
        <v>204</v>
      </c>
      <c r="AM209" s="76">
        <v>159.9</v>
      </c>
      <c r="AN209" s="76">
        <v>167.5</v>
      </c>
      <c r="AO209" s="76">
        <v>175.2</v>
      </c>
      <c r="AP209" s="76">
        <v>182.8</v>
      </c>
      <c r="AQ209" s="77">
        <v>190.4</v>
      </c>
    </row>
    <row r="210" spans="31:43">
      <c r="AE210" s="75">
        <v>205</v>
      </c>
      <c r="AF210" s="76">
        <v>149.5</v>
      </c>
      <c r="AG210" s="76">
        <v>156.19999999999999</v>
      </c>
      <c r="AH210" s="76">
        <v>162.9</v>
      </c>
      <c r="AI210" s="76">
        <v>169.6</v>
      </c>
      <c r="AJ210" s="77">
        <v>176.2</v>
      </c>
      <c r="AL210" s="75">
        <v>205</v>
      </c>
      <c r="AM210" s="76">
        <v>160</v>
      </c>
      <c r="AN210" s="76">
        <v>167.7</v>
      </c>
      <c r="AO210" s="76">
        <v>175.3</v>
      </c>
      <c r="AP210" s="76">
        <v>182.9</v>
      </c>
      <c r="AQ210" s="77">
        <v>190.5</v>
      </c>
    </row>
    <row r="211" spans="31:43">
      <c r="AE211" s="75">
        <v>206</v>
      </c>
      <c r="AF211" s="76">
        <v>149.5</v>
      </c>
      <c r="AG211" s="76">
        <v>156.19999999999999</v>
      </c>
      <c r="AH211" s="76">
        <v>162.9</v>
      </c>
      <c r="AI211" s="76">
        <v>169.6</v>
      </c>
      <c r="AJ211" s="77">
        <v>176.2</v>
      </c>
      <c r="AL211" s="75">
        <v>206</v>
      </c>
      <c r="AM211" s="76">
        <v>160.19999999999999</v>
      </c>
      <c r="AN211" s="76">
        <v>167.8</v>
      </c>
      <c r="AO211" s="76">
        <v>175.4</v>
      </c>
      <c r="AP211" s="76">
        <v>183</v>
      </c>
      <c r="AQ211" s="77">
        <v>190.6</v>
      </c>
    </row>
    <row r="212" spans="31:43">
      <c r="AE212" s="75">
        <v>207</v>
      </c>
      <c r="AF212" s="76">
        <v>149.6</v>
      </c>
      <c r="AG212" s="76">
        <v>156.19999999999999</v>
      </c>
      <c r="AH212" s="76">
        <v>162.9</v>
      </c>
      <c r="AI212" s="76">
        <v>169.6</v>
      </c>
      <c r="AJ212" s="77">
        <v>176.3</v>
      </c>
      <c r="AL212" s="75">
        <v>207</v>
      </c>
      <c r="AM212" s="76">
        <v>160.30000000000001</v>
      </c>
      <c r="AN212" s="76">
        <v>167.9</v>
      </c>
      <c r="AO212" s="76">
        <v>175.5</v>
      </c>
      <c r="AP212" s="76">
        <v>183.1</v>
      </c>
      <c r="AQ212" s="77">
        <v>190.7</v>
      </c>
    </row>
    <row r="213" spans="31:43">
      <c r="AE213" s="75">
        <v>208</v>
      </c>
      <c r="AF213" s="76">
        <v>149.6</v>
      </c>
      <c r="AG213" s="76">
        <v>156.30000000000001</v>
      </c>
      <c r="AH213" s="76">
        <v>162.9</v>
      </c>
      <c r="AI213" s="76">
        <v>169.6</v>
      </c>
      <c r="AJ213" s="77">
        <v>176.3</v>
      </c>
      <c r="AL213" s="75">
        <v>208</v>
      </c>
      <c r="AM213" s="76">
        <v>160.4</v>
      </c>
      <c r="AN213" s="76">
        <v>168</v>
      </c>
      <c r="AO213" s="76">
        <v>175.6</v>
      </c>
      <c r="AP213" s="76">
        <v>183.2</v>
      </c>
      <c r="AQ213" s="77">
        <v>190.8</v>
      </c>
    </row>
    <row r="214" spans="31:43">
      <c r="AE214" s="75">
        <v>209</v>
      </c>
      <c r="AF214" s="76">
        <v>149.6</v>
      </c>
      <c r="AG214" s="76">
        <v>156.30000000000001</v>
      </c>
      <c r="AH214" s="76">
        <v>162.9</v>
      </c>
      <c r="AI214" s="76">
        <v>169.6</v>
      </c>
      <c r="AJ214" s="77">
        <v>176.3</v>
      </c>
      <c r="AL214" s="75">
        <v>209</v>
      </c>
      <c r="AM214" s="76">
        <v>160.5</v>
      </c>
      <c r="AN214" s="76">
        <v>168.1</v>
      </c>
      <c r="AO214" s="76">
        <v>175.7</v>
      </c>
      <c r="AP214" s="76">
        <v>183.3</v>
      </c>
      <c r="AQ214" s="77">
        <v>190.8</v>
      </c>
    </row>
    <row r="215" spans="31:43">
      <c r="AE215" s="75">
        <v>210</v>
      </c>
      <c r="AF215" s="76">
        <v>149.69999999999999</v>
      </c>
      <c r="AG215" s="76">
        <v>156.30000000000001</v>
      </c>
      <c r="AH215" s="76">
        <v>163</v>
      </c>
      <c r="AI215" s="76">
        <v>169.6</v>
      </c>
      <c r="AJ215" s="77">
        <v>176.3</v>
      </c>
      <c r="AL215" s="75">
        <v>210</v>
      </c>
      <c r="AM215" s="76">
        <v>160.6</v>
      </c>
      <c r="AN215" s="76">
        <v>168.2</v>
      </c>
      <c r="AO215" s="76">
        <v>175.8</v>
      </c>
      <c r="AP215" s="76">
        <v>183.3</v>
      </c>
      <c r="AQ215" s="77">
        <v>190.9</v>
      </c>
    </row>
    <row r="216" spans="31:43">
      <c r="AE216" s="75">
        <v>211</v>
      </c>
      <c r="AF216" s="76">
        <v>149.69999999999999</v>
      </c>
      <c r="AG216" s="76">
        <v>156.30000000000001</v>
      </c>
      <c r="AH216" s="76">
        <v>163</v>
      </c>
      <c r="AI216" s="76">
        <v>169.6</v>
      </c>
      <c r="AJ216" s="77">
        <v>176.3</v>
      </c>
      <c r="AL216" s="75">
        <v>211</v>
      </c>
      <c r="AM216" s="76">
        <v>160.80000000000001</v>
      </c>
      <c r="AN216" s="76">
        <v>168.3</v>
      </c>
      <c r="AO216" s="76">
        <v>175.8</v>
      </c>
      <c r="AP216" s="76">
        <v>183.4</v>
      </c>
      <c r="AQ216" s="77">
        <v>190.9</v>
      </c>
    </row>
    <row r="217" spans="31:43">
      <c r="AE217" s="75">
        <v>212</v>
      </c>
      <c r="AF217" s="76">
        <v>149.69999999999999</v>
      </c>
      <c r="AG217" s="76">
        <v>156.4</v>
      </c>
      <c r="AH217" s="76">
        <v>163</v>
      </c>
      <c r="AI217" s="76">
        <v>169.6</v>
      </c>
      <c r="AJ217" s="77">
        <v>176.3</v>
      </c>
      <c r="AL217" s="75">
        <v>212</v>
      </c>
      <c r="AM217" s="76">
        <v>160.9</v>
      </c>
      <c r="AN217" s="76">
        <v>168.4</v>
      </c>
      <c r="AO217" s="76">
        <v>175.9</v>
      </c>
      <c r="AP217" s="76">
        <v>183.4</v>
      </c>
      <c r="AQ217" s="77">
        <v>191</v>
      </c>
    </row>
    <row r="218" spans="31:43">
      <c r="AE218" s="75">
        <v>213</v>
      </c>
      <c r="AF218" s="76">
        <v>149.80000000000001</v>
      </c>
      <c r="AG218" s="76">
        <v>156.4</v>
      </c>
      <c r="AH218" s="76">
        <v>163</v>
      </c>
      <c r="AI218" s="76">
        <v>169.6</v>
      </c>
      <c r="AJ218" s="77">
        <v>176.3</v>
      </c>
      <c r="AL218" s="75">
        <v>213</v>
      </c>
      <c r="AM218" s="76">
        <v>160.9</v>
      </c>
      <c r="AN218" s="76">
        <v>168.5</v>
      </c>
      <c r="AO218" s="76">
        <v>176</v>
      </c>
      <c r="AP218" s="76">
        <v>183.5</v>
      </c>
      <c r="AQ218" s="77">
        <v>191</v>
      </c>
    </row>
    <row r="219" spans="31:43">
      <c r="AE219" s="75">
        <v>214</v>
      </c>
      <c r="AF219" s="76">
        <v>149.80000000000001</v>
      </c>
      <c r="AG219" s="76">
        <v>156.4</v>
      </c>
      <c r="AH219" s="76">
        <v>163</v>
      </c>
      <c r="AI219" s="76">
        <v>169.7</v>
      </c>
      <c r="AJ219" s="77">
        <v>176.3</v>
      </c>
      <c r="AL219" s="75">
        <v>214</v>
      </c>
      <c r="AM219" s="76">
        <v>161</v>
      </c>
      <c r="AN219" s="76">
        <v>168.5</v>
      </c>
      <c r="AO219" s="76">
        <v>176</v>
      </c>
      <c r="AP219" s="76">
        <v>183.5</v>
      </c>
      <c r="AQ219" s="77">
        <v>191</v>
      </c>
    </row>
    <row r="220" spans="31:43">
      <c r="AE220" s="75">
        <v>215</v>
      </c>
      <c r="AF220" s="76">
        <v>149.80000000000001</v>
      </c>
      <c r="AG220" s="76">
        <v>156.4</v>
      </c>
      <c r="AH220" s="76">
        <v>163</v>
      </c>
      <c r="AI220" s="76">
        <v>169.7</v>
      </c>
      <c r="AJ220" s="77">
        <v>176.3</v>
      </c>
      <c r="AL220" s="75">
        <v>215</v>
      </c>
      <c r="AM220" s="76">
        <v>161.1</v>
      </c>
      <c r="AN220" s="76">
        <v>168.6</v>
      </c>
      <c r="AO220" s="76">
        <v>176.1</v>
      </c>
      <c r="AP220" s="76">
        <v>183.6</v>
      </c>
      <c r="AQ220" s="77">
        <v>191.1</v>
      </c>
    </row>
    <row r="221" spans="31:43">
      <c r="AE221" s="75">
        <v>216</v>
      </c>
      <c r="AF221" s="76">
        <v>149.80000000000001</v>
      </c>
      <c r="AG221" s="76">
        <v>156.5</v>
      </c>
      <c r="AH221" s="76">
        <v>163.1</v>
      </c>
      <c r="AI221" s="76">
        <v>169.7</v>
      </c>
      <c r="AJ221" s="77">
        <v>176.3</v>
      </c>
      <c r="AL221" s="75">
        <v>216</v>
      </c>
      <c r="AM221" s="76">
        <v>161.19999999999999</v>
      </c>
      <c r="AN221" s="76">
        <v>168.7</v>
      </c>
      <c r="AO221" s="76">
        <v>176.1</v>
      </c>
      <c r="AP221" s="76">
        <v>183.6</v>
      </c>
      <c r="AQ221" s="77">
        <v>191.1</v>
      </c>
    </row>
    <row r="222" spans="31:43">
      <c r="AE222" s="75">
        <v>217</v>
      </c>
      <c r="AF222" s="76">
        <v>149.9</v>
      </c>
      <c r="AG222" s="76">
        <v>156.5</v>
      </c>
      <c r="AH222" s="76">
        <v>163.1</v>
      </c>
      <c r="AI222" s="76">
        <v>169.7</v>
      </c>
      <c r="AJ222" s="77">
        <v>176.3</v>
      </c>
      <c r="AL222" s="75">
        <v>217</v>
      </c>
      <c r="AM222" s="76">
        <v>161.30000000000001</v>
      </c>
      <c r="AN222" s="76">
        <v>168.7</v>
      </c>
      <c r="AO222" s="76">
        <v>176.2</v>
      </c>
      <c r="AP222" s="76">
        <v>183.6</v>
      </c>
      <c r="AQ222" s="77">
        <v>191.1</v>
      </c>
    </row>
    <row r="223" spans="31:43">
      <c r="AE223" s="75">
        <v>218</v>
      </c>
      <c r="AF223" s="76">
        <v>149.9</v>
      </c>
      <c r="AG223" s="76">
        <v>156.5</v>
      </c>
      <c r="AH223" s="76">
        <v>163.1</v>
      </c>
      <c r="AI223" s="76">
        <v>169.7</v>
      </c>
      <c r="AJ223" s="77">
        <v>176.3</v>
      </c>
      <c r="AL223" s="75">
        <v>218</v>
      </c>
      <c r="AM223" s="76">
        <v>161.4</v>
      </c>
      <c r="AN223" s="76">
        <v>168.8</v>
      </c>
      <c r="AO223" s="76">
        <v>176.2</v>
      </c>
      <c r="AP223" s="76">
        <v>183.7</v>
      </c>
      <c r="AQ223" s="77">
        <v>191.1</v>
      </c>
    </row>
    <row r="224" spans="31:43">
      <c r="AE224" s="75">
        <v>219</v>
      </c>
      <c r="AF224" s="76">
        <v>149.9</v>
      </c>
      <c r="AG224" s="76">
        <v>156.5</v>
      </c>
      <c r="AH224" s="76">
        <v>163.1</v>
      </c>
      <c r="AI224" s="76">
        <v>169.7</v>
      </c>
      <c r="AJ224" s="77">
        <v>176.3</v>
      </c>
      <c r="AL224" s="75">
        <v>219</v>
      </c>
      <c r="AM224" s="76">
        <v>161.4</v>
      </c>
      <c r="AN224" s="76">
        <v>168.9</v>
      </c>
      <c r="AO224" s="76">
        <v>176.3</v>
      </c>
      <c r="AP224" s="76">
        <v>183.7</v>
      </c>
      <c r="AQ224" s="77">
        <v>191.1</v>
      </c>
    </row>
    <row r="225" spans="31:43">
      <c r="AE225" s="75">
        <v>220</v>
      </c>
      <c r="AF225" s="76">
        <v>149.9</v>
      </c>
      <c r="AG225" s="76">
        <v>156.5</v>
      </c>
      <c r="AH225" s="76">
        <v>163.1</v>
      </c>
      <c r="AI225" s="76">
        <v>169.7</v>
      </c>
      <c r="AJ225" s="77">
        <v>176.3</v>
      </c>
      <c r="AL225" s="75">
        <v>220</v>
      </c>
      <c r="AM225" s="76">
        <v>161.5</v>
      </c>
      <c r="AN225" s="76">
        <v>168.9</v>
      </c>
      <c r="AO225" s="76">
        <v>176.3</v>
      </c>
      <c r="AP225" s="76">
        <v>183.7</v>
      </c>
      <c r="AQ225" s="77">
        <v>191.1</v>
      </c>
    </row>
    <row r="226" spans="31:43">
      <c r="AE226" s="75">
        <v>221</v>
      </c>
      <c r="AF226" s="76">
        <v>150</v>
      </c>
      <c r="AG226" s="76">
        <v>156.5</v>
      </c>
      <c r="AH226" s="76">
        <v>163.1</v>
      </c>
      <c r="AI226" s="76">
        <v>169.7</v>
      </c>
      <c r="AJ226" s="77">
        <v>176.3</v>
      </c>
      <c r="AL226" s="75">
        <v>221</v>
      </c>
      <c r="AM226" s="76">
        <v>161.6</v>
      </c>
      <c r="AN226" s="76">
        <v>169</v>
      </c>
      <c r="AO226" s="76">
        <v>176.4</v>
      </c>
      <c r="AP226" s="76">
        <v>183.8</v>
      </c>
      <c r="AQ226" s="77">
        <v>191.1</v>
      </c>
    </row>
    <row r="227" spans="31:43">
      <c r="AE227" s="75">
        <v>222</v>
      </c>
      <c r="AF227" s="76">
        <v>150</v>
      </c>
      <c r="AG227" s="76">
        <v>156.6</v>
      </c>
      <c r="AH227" s="76">
        <v>163.1</v>
      </c>
      <c r="AI227" s="76">
        <v>169.7</v>
      </c>
      <c r="AJ227" s="77">
        <v>176.3</v>
      </c>
      <c r="AL227" s="75">
        <v>222</v>
      </c>
      <c r="AM227" s="76">
        <v>161.6</v>
      </c>
      <c r="AN227" s="76">
        <v>169</v>
      </c>
      <c r="AO227" s="76">
        <v>176.4</v>
      </c>
      <c r="AP227" s="76">
        <v>183.8</v>
      </c>
      <c r="AQ227" s="77">
        <v>191.1</v>
      </c>
    </row>
    <row r="228" spans="31:43">
      <c r="AE228" s="75">
        <v>223</v>
      </c>
      <c r="AF228" s="76">
        <v>150</v>
      </c>
      <c r="AG228" s="76">
        <v>156.6</v>
      </c>
      <c r="AH228" s="76">
        <v>163.1</v>
      </c>
      <c r="AI228" s="76">
        <v>169.7</v>
      </c>
      <c r="AJ228" s="77">
        <v>176.3</v>
      </c>
      <c r="AL228" s="75">
        <v>223</v>
      </c>
      <c r="AM228" s="76">
        <v>161.69999999999999</v>
      </c>
      <c r="AN228" s="76">
        <v>169</v>
      </c>
      <c r="AO228" s="76">
        <v>176.4</v>
      </c>
      <c r="AP228" s="76">
        <v>183.8</v>
      </c>
      <c r="AQ228" s="77">
        <v>191.2</v>
      </c>
    </row>
    <row r="229" spans="31:43">
      <c r="AE229" s="75">
        <v>224</v>
      </c>
      <c r="AF229" s="76">
        <v>150</v>
      </c>
      <c r="AG229" s="76">
        <v>156.6</v>
      </c>
      <c r="AH229" s="76">
        <v>163.1</v>
      </c>
      <c r="AI229" s="76">
        <v>169.7</v>
      </c>
      <c r="AJ229" s="77">
        <v>176.3</v>
      </c>
      <c r="AL229" s="75">
        <v>224</v>
      </c>
      <c r="AM229" s="76">
        <v>161.69999999999999</v>
      </c>
      <c r="AN229" s="76">
        <v>169.1</v>
      </c>
      <c r="AO229" s="76">
        <v>176.4</v>
      </c>
      <c r="AP229" s="76">
        <v>183.8</v>
      </c>
      <c r="AQ229" s="77">
        <v>191.2</v>
      </c>
    </row>
    <row r="230" spans="31:43">
      <c r="AE230" s="75">
        <v>225</v>
      </c>
      <c r="AF230" s="76">
        <v>150</v>
      </c>
      <c r="AG230" s="76">
        <v>156.6</v>
      </c>
      <c r="AH230" s="76">
        <v>163.1</v>
      </c>
      <c r="AI230" s="76">
        <v>169.7</v>
      </c>
      <c r="AJ230" s="77">
        <v>176.3</v>
      </c>
      <c r="AL230" s="75">
        <v>225</v>
      </c>
      <c r="AM230" s="76">
        <v>161.80000000000001</v>
      </c>
      <c r="AN230" s="76">
        <v>169.1</v>
      </c>
      <c r="AO230" s="76">
        <v>176.5</v>
      </c>
      <c r="AP230" s="76">
        <v>183.8</v>
      </c>
      <c r="AQ230" s="77">
        <v>191.2</v>
      </c>
    </row>
    <row r="231" spans="31:43">
      <c r="AE231" s="75">
        <v>226</v>
      </c>
      <c r="AF231" s="76">
        <v>150</v>
      </c>
      <c r="AG231" s="76">
        <v>156.6</v>
      </c>
      <c r="AH231" s="76">
        <v>163.19999999999999</v>
      </c>
      <c r="AI231" s="76">
        <v>169.7</v>
      </c>
      <c r="AJ231" s="77">
        <v>176.3</v>
      </c>
      <c r="AL231" s="75">
        <v>226</v>
      </c>
      <c r="AM231" s="76">
        <v>161.80000000000001</v>
      </c>
      <c r="AN231" s="76">
        <v>169.2</v>
      </c>
      <c r="AO231" s="76">
        <v>176.5</v>
      </c>
      <c r="AP231" s="76">
        <v>183.8</v>
      </c>
      <c r="AQ231" s="77">
        <v>191.1</v>
      </c>
    </row>
    <row r="232" spans="31:43">
      <c r="AE232" s="75">
        <v>227</v>
      </c>
      <c r="AF232" s="76">
        <v>150.1</v>
      </c>
      <c r="AG232" s="76">
        <v>156.6</v>
      </c>
      <c r="AH232" s="76">
        <v>163.19999999999999</v>
      </c>
      <c r="AI232" s="76">
        <v>169.7</v>
      </c>
      <c r="AJ232" s="77">
        <v>176.2</v>
      </c>
      <c r="AL232" s="75">
        <v>227</v>
      </c>
      <c r="AM232" s="76">
        <v>161.9</v>
      </c>
      <c r="AN232" s="76">
        <v>169.2</v>
      </c>
      <c r="AO232" s="76">
        <v>176.5</v>
      </c>
      <c r="AP232" s="76">
        <v>183.8</v>
      </c>
      <c r="AQ232" s="77">
        <v>191.1</v>
      </c>
    </row>
    <row r="233" spans="31:43">
      <c r="AE233" s="78">
        <v>228</v>
      </c>
      <c r="AF233" s="79">
        <v>150.1</v>
      </c>
      <c r="AG233" s="79">
        <v>156.6</v>
      </c>
      <c r="AH233" s="79">
        <v>163.19999999999999</v>
      </c>
      <c r="AI233" s="79">
        <v>169.7</v>
      </c>
      <c r="AJ233" s="80">
        <v>176.2</v>
      </c>
      <c r="AL233" s="78">
        <v>228</v>
      </c>
      <c r="AM233" s="79">
        <v>161.9</v>
      </c>
      <c r="AN233" s="79">
        <v>169.2</v>
      </c>
      <c r="AO233" s="79">
        <v>176.5</v>
      </c>
      <c r="AP233" s="79">
        <v>183.8</v>
      </c>
      <c r="AQ233" s="80">
        <v>191.1</v>
      </c>
    </row>
  </sheetData>
  <sheetProtection algorithmName="SHA-512" hashValue="A9JQxbI67nBLJi56JinuqZupNhQe/z/5TUAzkPR9L3nfK+YOqX6DAWZmIS0SA8T2OkDkTmzMyxcX34CvNvi0Lw==" saltValue="quiYukzMSR4ow/uTu71Htg==" spinCount="100000" sheet="1" objects="1" scenarios="1" selectLockedCells="1"/>
  <mergeCells count="10">
    <mergeCell ref="A1:AC1"/>
    <mergeCell ref="A2:AC2"/>
    <mergeCell ref="A3:I3"/>
    <mergeCell ref="K3:S3"/>
    <mergeCell ref="U3:AC3"/>
    <mergeCell ref="AE3:AJ3"/>
    <mergeCell ref="AL3:AQ3"/>
    <mergeCell ref="AS3:AX3"/>
    <mergeCell ref="AZ3:BE3"/>
    <mergeCell ref="A138:AC138"/>
  </mergeCells>
  <pageMargins left="0.7" right="0.7" top="0.75" bottom="0.75" header="0.511811023622047" footer="0.511811023622047"/>
  <pageSetup paperSize="9" orientation="portrait" horizontalDpi="300" verticalDpi="300"/>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B00-000000000000}">
  <dimension ref="A1:K36"/>
  <sheetViews>
    <sheetView zoomScaleNormal="100" workbookViewId="0"/>
  </sheetViews>
  <sheetFormatPr baseColWidth="10" defaultColWidth="9.140625" defaultRowHeight="15"/>
  <cols>
    <col min="1" max="1" width="13" style="1" customWidth="1"/>
    <col min="2" max="2" width="25" style="1" customWidth="1"/>
    <col min="3" max="4" width="14" style="1" customWidth="1"/>
    <col min="5" max="5" width="15" style="1" customWidth="1"/>
    <col min="6" max="6" width="38" style="1" customWidth="1"/>
    <col min="7" max="7" width="45" style="1" customWidth="1"/>
    <col min="8" max="8" width="38" style="1" customWidth="1"/>
    <col min="9" max="9" width="36" style="1" customWidth="1"/>
    <col min="10" max="10" width="20" style="1" customWidth="1"/>
    <col min="11" max="11" width="24" style="1" customWidth="1"/>
  </cols>
  <sheetData>
    <row r="1" spans="1:11" ht="30" customHeight="1">
      <c r="A1" s="185" t="s">
        <v>598</v>
      </c>
      <c r="B1" s="185"/>
      <c r="C1" s="185"/>
      <c r="D1" s="185"/>
      <c r="E1" s="185"/>
      <c r="F1" s="185"/>
      <c r="G1" s="185"/>
      <c r="H1" s="185"/>
      <c r="I1" s="185"/>
      <c r="J1" s="185"/>
      <c r="K1" s="185"/>
    </row>
    <row r="2" spans="1:11" ht="27.75" customHeight="1">
      <c r="A2" s="183" t="s">
        <v>599</v>
      </c>
      <c r="B2" s="183"/>
      <c r="C2" s="183"/>
      <c r="D2" s="183"/>
      <c r="E2" s="183"/>
      <c r="F2" s="183"/>
      <c r="G2" s="183"/>
      <c r="H2" s="183"/>
      <c r="I2" s="183"/>
      <c r="J2" s="183"/>
      <c r="K2" s="183"/>
    </row>
    <row r="4" spans="1:11" ht="33.75" customHeight="1">
      <c r="A4" s="81" t="s">
        <v>600</v>
      </c>
      <c r="B4" s="81" t="s">
        <v>178</v>
      </c>
      <c r="C4" s="81" t="s">
        <v>601</v>
      </c>
      <c r="D4" s="81" t="s">
        <v>602</v>
      </c>
      <c r="E4" s="81" t="s">
        <v>500</v>
      </c>
      <c r="F4" s="81" t="s">
        <v>603</v>
      </c>
      <c r="G4" s="81" t="s">
        <v>604</v>
      </c>
      <c r="H4" s="81" t="s">
        <v>436</v>
      </c>
      <c r="I4" s="81" t="s">
        <v>230</v>
      </c>
      <c r="J4" s="81" t="s">
        <v>605</v>
      </c>
      <c r="K4" s="81" t="s">
        <v>504</v>
      </c>
    </row>
    <row r="5" spans="1:11" ht="30">
      <c r="A5" s="82" t="s">
        <v>606</v>
      </c>
      <c r="B5" s="82" t="s">
        <v>607</v>
      </c>
      <c r="C5" s="82" t="s">
        <v>608</v>
      </c>
      <c r="D5" s="82" t="s">
        <v>609</v>
      </c>
      <c r="E5" s="82" t="s">
        <v>610</v>
      </c>
      <c r="F5" s="82" t="s">
        <v>611</v>
      </c>
      <c r="G5" s="82" t="s">
        <v>612</v>
      </c>
      <c r="H5" s="82" t="s">
        <v>613</v>
      </c>
      <c r="I5" s="82" t="s">
        <v>614</v>
      </c>
      <c r="J5" s="82" t="s">
        <v>615</v>
      </c>
      <c r="K5" s="82" t="s">
        <v>616</v>
      </c>
    </row>
    <row r="6" spans="1:11" ht="45">
      <c r="A6" s="82" t="s">
        <v>617</v>
      </c>
      <c r="B6" s="82" t="s">
        <v>618</v>
      </c>
      <c r="C6" s="82" t="s">
        <v>619</v>
      </c>
      <c r="D6" s="82" t="s">
        <v>620</v>
      </c>
      <c r="E6" s="82" t="s">
        <v>610</v>
      </c>
      <c r="F6" s="82" t="s">
        <v>621</v>
      </c>
      <c r="G6" s="82" t="s">
        <v>622</v>
      </c>
      <c r="H6" s="82" t="s">
        <v>623</v>
      </c>
      <c r="I6" s="82" t="s">
        <v>263</v>
      </c>
      <c r="J6" s="82" t="s">
        <v>624</v>
      </c>
      <c r="K6" s="82" t="s">
        <v>616</v>
      </c>
    </row>
    <row r="7" spans="1:11" ht="30">
      <c r="A7" s="82" t="s">
        <v>625</v>
      </c>
      <c r="B7" s="82" t="s">
        <v>626</v>
      </c>
      <c r="C7" s="82" t="s">
        <v>608</v>
      </c>
      <c r="D7" s="82" t="s">
        <v>620</v>
      </c>
      <c r="E7" s="82" t="s">
        <v>627</v>
      </c>
      <c r="F7" s="82" t="s">
        <v>628</v>
      </c>
      <c r="G7" s="82" t="s">
        <v>629</v>
      </c>
      <c r="H7" s="82" t="s">
        <v>630</v>
      </c>
      <c r="I7" s="82" t="s">
        <v>631</v>
      </c>
      <c r="J7" s="82" t="s">
        <v>632</v>
      </c>
      <c r="K7" s="82" t="s">
        <v>633</v>
      </c>
    </row>
    <row r="8" spans="1:11" ht="45">
      <c r="A8" s="82" t="s">
        <v>634</v>
      </c>
      <c r="B8" s="82" t="s">
        <v>635</v>
      </c>
      <c r="C8" s="82" t="s">
        <v>608</v>
      </c>
      <c r="D8" s="82" t="s">
        <v>636</v>
      </c>
      <c r="E8" s="82" t="s">
        <v>610</v>
      </c>
      <c r="F8" s="82" t="s">
        <v>637</v>
      </c>
      <c r="G8" s="82" t="s">
        <v>638</v>
      </c>
      <c r="H8" s="82" t="s">
        <v>639</v>
      </c>
      <c r="I8" s="82" t="s">
        <v>640</v>
      </c>
      <c r="J8" s="82" t="s">
        <v>641</v>
      </c>
      <c r="K8" s="82" t="s">
        <v>616</v>
      </c>
    </row>
    <row r="9" spans="1:11" ht="30">
      <c r="A9" s="82" t="s">
        <v>642</v>
      </c>
      <c r="B9" s="82" t="s">
        <v>643</v>
      </c>
      <c r="C9" s="82" t="s">
        <v>609</v>
      </c>
      <c r="D9" s="82" t="s">
        <v>619</v>
      </c>
      <c r="E9" s="82" t="s">
        <v>610</v>
      </c>
      <c r="F9" s="82" t="s">
        <v>644</v>
      </c>
      <c r="G9" s="82" t="s">
        <v>645</v>
      </c>
      <c r="H9" s="82" t="s">
        <v>646</v>
      </c>
      <c r="I9" s="82" t="s">
        <v>647</v>
      </c>
      <c r="J9" s="82" t="s">
        <v>624</v>
      </c>
      <c r="K9" s="82" t="s">
        <v>616</v>
      </c>
    </row>
    <row r="10" spans="1:11" ht="30">
      <c r="A10" s="82" t="s">
        <v>648</v>
      </c>
      <c r="B10" s="82" t="s">
        <v>649</v>
      </c>
      <c r="C10" s="82" t="s">
        <v>608</v>
      </c>
      <c r="D10" s="82" t="s">
        <v>609</v>
      </c>
      <c r="E10" s="82" t="s">
        <v>610</v>
      </c>
      <c r="F10" s="82" t="s">
        <v>650</v>
      </c>
      <c r="G10" s="82" t="s">
        <v>651</v>
      </c>
      <c r="H10" s="82" t="s">
        <v>652</v>
      </c>
      <c r="I10" s="82" t="s">
        <v>653</v>
      </c>
      <c r="J10" s="82" t="s">
        <v>654</v>
      </c>
      <c r="K10" s="82" t="s">
        <v>655</v>
      </c>
    </row>
    <row r="11" spans="1:11" ht="30">
      <c r="A11" s="82" t="s">
        <v>656</v>
      </c>
      <c r="B11" s="82" t="s">
        <v>657</v>
      </c>
      <c r="C11" s="82" t="s">
        <v>608</v>
      </c>
      <c r="D11" s="82" t="s">
        <v>609</v>
      </c>
      <c r="E11" s="82" t="s">
        <v>610</v>
      </c>
      <c r="F11" s="82" t="s">
        <v>658</v>
      </c>
      <c r="G11" s="82" t="s">
        <v>659</v>
      </c>
      <c r="H11" s="82" t="s">
        <v>660</v>
      </c>
      <c r="I11" s="82" t="s">
        <v>661</v>
      </c>
      <c r="J11" s="82" t="s">
        <v>272</v>
      </c>
      <c r="K11" s="82" t="s">
        <v>655</v>
      </c>
    </row>
    <row r="12" spans="1:11" ht="45">
      <c r="A12" s="82" t="s">
        <v>662</v>
      </c>
      <c r="B12" s="82" t="s">
        <v>584</v>
      </c>
      <c r="C12" s="82" t="s">
        <v>608</v>
      </c>
      <c r="D12" s="82" t="s">
        <v>663</v>
      </c>
      <c r="E12" s="82" t="s">
        <v>610</v>
      </c>
      <c r="F12" s="82" t="s">
        <v>664</v>
      </c>
      <c r="G12" s="82" t="s">
        <v>665</v>
      </c>
      <c r="H12" s="82" t="s">
        <v>666</v>
      </c>
      <c r="I12" s="82" t="s">
        <v>667</v>
      </c>
      <c r="J12" s="82" t="s">
        <v>654</v>
      </c>
      <c r="K12" s="82" t="s">
        <v>655</v>
      </c>
    </row>
    <row r="13" spans="1:11" ht="30">
      <c r="A13" s="82" t="s">
        <v>668</v>
      </c>
      <c r="B13" s="82" t="s">
        <v>591</v>
      </c>
      <c r="C13" s="82" t="s">
        <v>669</v>
      </c>
      <c r="D13" s="82" t="s">
        <v>609</v>
      </c>
      <c r="E13" s="82" t="s">
        <v>610</v>
      </c>
      <c r="F13" s="82" t="s">
        <v>670</v>
      </c>
      <c r="G13" s="82" t="s">
        <v>671</v>
      </c>
      <c r="H13" s="82" t="s">
        <v>672</v>
      </c>
      <c r="I13" s="82" t="s">
        <v>673</v>
      </c>
      <c r="J13" s="82" t="s">
        <v>654</v>
      </c>
      <c r="K13" s="82" t="s">
        <v>655</v>
      </c>
    </row>
    <row r="14" spans="1:11" ht="30">
      <c r="A14" s="82" t="s">
        <v>674</v>
      </c>
      <c r="B14" s="82" t="s">
        <v>675</v>
      </c>
      <c r="C14" s="82" t="s">
        <v>608</v>
      </c>
      <c r="D14" s="82" t="s">
        <v>609</v>
      </c>
      <c r="E14" s="82" t="s">
        <v>610</v>
      </c>
      <c r="F14" s="82" t="s">
        <v>676</v>
      </c>
      <c r="G14" s="82" t="s">
        <v>677</v>
      </c>
      <c r="H14" s="82" t="s">
        <v>678</v>
      </c>
      <c r="I14" s="82" t="s">
        <v>679</v>
      </c>
      <c r="J14" s="82" t="s">
        <v>680</v>
      </c>
      <c r="K14" s="82" t="s">
        <v>616</v>
      </c>
    </row>
    <row r="15" spans="1:11" ht="30">
      <c r="A15" s="82" t="s">
        <v>681</v>
      </c>
      <c r="B15" s="82" t="s">
        <v>682</v>
      </c>
      <c r="C15" s="82" t="s">
        <v>608</v>
      </c>
      <c r="D15" s="82" t="s">
        <v>620</v>
      </c>
      <c r="E15" s="82" t="s">
        <v>610</v>
      </c>
      <c r="F15" s="82" t="s">
        <v>683</v>
      </c>
      <c r="G15" s="82" t="s">
        <v>684</v>
      </c>
      <c r="H15" s="82" t="s">
        <v>685</v>
      </c>
      <c r="I15" s="82" t="s">
        <v>686</v>
      </c>
      <c r="J15" s="82" t="s">
        <v>687</v>
      </c>
      <c r="K15" s="82" t="s">
        <v>655</v>
      </c>
    </row>
    <row r="16" spans="1:11" ht="45">
      <c r="A16" s="82" t="s">
        <v>688</v>
      </c>
      <c r="B16" s="82" t="s">
        <v>689</v>
      </c>
      <c r="C16" s="82" t="s">
        <v>608</v>
      </c>
      <c r="D16" s="82" t="s">
        <v>620</v>
      </c>
      <c r="E16" s="82" t="s">
        <v>610</v>
      </c>
      <c r="F16" s="82" t="s">
        <v>690</v>
      </c>
      <c r="G16" s="82" t="s">
        <v>691</v>
      </c>
      <c r="H16" s="82" t="s">
        <v>692</v>
      </c>
      <c r="I16" s="82" t="s">
        <v>693</v>
      </c>
      <c r="J16" s="82" t="s">
        <v>694</v>
      </c>
      <c r="K16" s="82" t="s">
        <v>695</v>
      </c>
    </row>
    <row r="17" spans="1:11" ht="30">
      <c r="A17" s="82" t="s">
        <v>696</v>
      </c>
      <c r="B17" s="82" t="s">
        <v>697</v>
      </c>
      <c r="C17" s="82" t="s">
        <v>608</v>
      </c>
      <c r="D17" s="82" t="s">
        <v>609</v>
      </c>
      <c r="E17" s="82" t="s">
        <v>610</v>
      </c>
      <c r="F17" s="82" t="s">
        <v>698</v>
      </c>
      <c r="G17" s="82" t="s">
        <v>699</v>
      </c>
      <c r="H17" s="82" t="s">
        <v>700</v>
      </c>
      <c r="I17" s="82" t="s">
        <v>701</v>
      </c>
      <c r="J17" s="82" t="s">
        <v>702</v>
      </c>
      <c r="K17" s="82" t="s">
        <v>655</v>
      </c>
    </row>
    <row r="18" spans="1:11" ht="45">
      <c r="A18" s="82" t="s">
        <v>703</v>
      </c>
      <c r="B18" s="82" t="s">
        <v>704</v>
      </c>
      <c r="C18" s="82" t="s">
        <v>608</v>
      </c>
      <c r="D18" s="82" t="s">
        <v>609</v>
      </c>
      <c r="E18" s="82" t="s">
        <v>610</v>
      </c>
      <c r="F18" s="82" t="s">
        <v>705</v>
      </c>
      <c r="G18" s="82" t="s">
        <v>706</v>
      </c>
      <c r="H18" s="82" t="s">
        <v>707</v>
      </c>
      <c r="I18" s="82" t="s">
        <v>708</v>
      </c>
      <c r="J18" s="82" t="s">
        <v>709</v>
      </c>
      <c r="K18" s="82" t="s">
        <v>695</v>
      </c>
    </row>
    <row r="19" spans="1:11" ht="45">
      <c r="A19" s="82" t="s">
        <v>710</v>
      </c>
      <c r="B19" s="82" t="s">
        <v>711</v>
      </c>
      <c r="C19" s="82" t="s">
        <v>712</v>
      </c>
      <c r="D19" s="82" t="s">
        <v>713</v>
      </c>
      <c r="E19" s="82" t="s">
        <v>610</v>
      </c>
      <c r="F19" s="82" t="s">
        <v>714</v>
      </c>
      <c r="G19" s="82" t="s">
        <v>715</v>
      </c>
      <c r="H19" s="82" t="s">
        <v>716</v>
      </c>
      <c r="I19" s="82" t="s">
        <v>717</v>
      </c>
      <c r="J19" s="82" t="s">
        <v>718</v>
      </c>
      <c r="K19" s="82" t="s">
        <v>616</v>
      </c>
    </row>
    <row r="20" spans="1:11" ht="30">
      <c r="A20" s="82" t="s">
        <v>719</v>
      </c>
      <c r="B20" s="82" t="s">
        <v>720</v>
      </c>
      <c r="C20" s="82" t="s">
        <v>608</v>
      </c>
      <c r="D20" s="82" t="s">
        <v>721</v>
      </c>
      <c r="E20" s="82" t="s">
        <v>610</v>
      </c>
      <c r="F20" s="82" t="s">
        <v>722</v>
      </c>
      <c r="G20" s="82" t="s">
        <v>723</v>
      </c>
      <c r="H20" s="82" t="s">
        <v>724</v>
      </c>
      <c r="I20" s="82" t="s">
        <v>679</v>
      </c>
      <c r="J20" s="82" t="s">
        <v>725</v>
      </c>
      <c r="K20" s="82" t="s">
        <v>655</v>
      </c>
    </row>
    <row r="21" spans="1:11" ht="25.5">
      <c r="A21" s="57" t="s">
        <v>726</v>
      </c>
      <c r="B21" s="57" t="s">
        <v>727</v>
      </c>
      <c r="C21" s="57" t="s">
        <v>728</v>
      </c>
      <c r="D21" s="57" t="s">
        <v>729</v>
      </c>
      <c r="E21" s="57" t="s">
        <v>610</v>
      </c>
      <c r="F21" s="57" t="s">
        <v>730</v>
      </c>
      <c r="G21" s="57" t="s">
        <v>731</v>
      </c>
      <c r="H21" s="57" t="s">
        <v>732</v>
      </c>
      <c r="I21" s="57" t="s">
        <v>733</v>
      </c>
      <c r="J21" s="57" t="s">
        <v>734</v>
      </c>
      <c r="K21" s="57" t="s">
        <v>735</v>
      </c>
    </row>
    <row r="22" spans="1:11">
      <c r="A22" s="57" t="s">
        <v>736</v>
      </c>
      <c r="B22" s="57" t="s">
        <v>737</v>
      </c>
      <c r="C22" s="57" t="s">
        <v>728</v>
      </c>
      <c r="D22" s="57" t="s">
        <v>620</v>
      </c>
      <c r="E22" s="57" t="s">
        <v>610</v>
      </c>
      <c r="F22" s="57" t="s">
        <v>738</v>
      </c>
      <c r="G22" s="57" t="s">
        <v>739</v>
      </c>
      <c r="H22" s="57" t="s">
        <v>740</v>
      </c>
      <c r="I22" s="57" t="s">
        <v>733</v>
      </c>
      <c r="J22" s="57" t="s">
        <v>741</v>
      </c>
      <c r="K22" s="57" t="s">
        <v>616</v>
      </c>
    </row>
    <row r="23" spans="1:11" ht="38.25">
      <c r="A23" s="57" t="s">
        <v>742</v>
      </c>
      <c r="B23" s="57" t="s">
        <v>307</v>
      </c>
      <c r="C23" s="57" t="s">
        <v>743</v>
      </c>
      <c r="D23" s="57" t="s">
        <v>744</v>
      </c>
      <c r="E23" s="57" t="s">
        <v>610</v>
      </c>
      <c r="F23" s="57" t="s">
        <v>745</v>
      </c>
      <c r="G23" s="57" t="s">
        <v>746</v>
      </c>
      <c r="H23" s="57" t="s">
        <v>747</v>
      </c>
      <c r="I23" s="57" t="s">
        <v>748</v>
      </c>
      <c r="J23" s="57" t="s">
        <v>749</v>
      </c>
      <c r="K23" s="57" t="s">
        <v>750</v>
      </c>
    </row>
    <row r="24" spans="1:11" ht="25.5">
      <c r="A24" s="57" t="s">
        <v>751</v>
      </c>
      <c r="B24" s="57" t="s">
        <v>752</v>
      </c>
      <c r="C24" s="57" t="s">
        <v>753</v>
      </c>
      <c r="D24" s="57" t="s">
        <v>754</v>
      </c>
      <c r="E24" s="57" t="s">
        <v>755</v>
      </c>
      <c r="F24" s="57" t="s">
        <v>756</v>
      </c>
      <c r="G24" s="57" t="s">
        <v>757</v>
      </c>
      <c r="H24" s="57" t="s">
        <v>490</v>
      </c>
      <c r="I24" s="57" t="s">
        <v>733</v>
      </c>
      <c r="J24" s="57" t="s">
        <v>758</v>
      </c>
      <c r="K24" s="57" t="s">
        <v>759</v>
      </c>
    </row>
    <row r="25" spans="1:11">
      <c r="A25" s="57" t="s">
        <v>760</v>
      </c>
      <c r="B25" s="57" t="s">
        <v>761</v>
      </c>
      <c r="C25" s="57" t="s">
        <v>762</v>
      </c>
      <c r="D25" s="57" t="s">
        <v>609</v>
      </c>
      <c r="E25" s="57" t="s">
        <v>610</v>
      </c>
      <c r="F25" s="57" t="s">
        <v>763</v>
      </c>
      <c r="G25" s="57" t="s">
        <v>764</v>
      </c>
      <c r="H25" s="57" t="s">
        <v>765</v>
      </c>
      <c r="I25" s="57" t="s">
        <v>766</v>
      </c>
      <c r="J25" s="57" t="s">
        <v>767</v>
      </c>
      <c r="K25" s="57" t="s">
        <v>616</v>
      </c>
    </row>
    <row r="26" spans="1:11" ht="30">
      <c r="A26" s="82" t="s">
        <v>768</v>
      </c>
      <c r="B26" s="82" t="s">
        <v>769</v>
      </c>
      <c r="C26" s="82" t="s">
        <v>728</v>
      </c>
      <c r="D26" s="82" t="s">
        <v>770</v>
      </c>
      <c r="E26" s="82" t="s">
        <v>610</v>
      </c>
      <c r="F26" s="82" t="s">
        <v>771</v>
      </c>
      <c r="G26" s="82" t="s">
        <v>772</v>
      </c>
      <c r="H26" s="82" t="s">
        <v>773</v>
      </c>
      <c r="I26" s="82" t="s">
        <v>774</v>
      </c>
      <c r="J26" s="82" t="s">
        <v>775</v>
      </c>
      <c r="K26" s="82" t="s">
        <v>655</v>
      </c>
    </row>
    <row r="27" spans="1:11" ht="30">
      <c r="A27" s="82" t="s">
        <v>776</v>
      </c>
      <c r="B27" s="82" t="s">
        <v>777</v>
      </c>
      <c r="C27" s="82" t="s">
        <v>728</v>
      </c>
      <c r="D27" s="82" t="s">
        <v>729</v>
      </c>
      <c r="E27" s="82" t="s">
        <v>610</v>
      </c>
      <c r="F27" s="82" t="s">
        <v>778</v>
      </c>
      <c r="G27" s="82" t="s">
        <v>779</v>
      </c>
      <c r="H27" s="82" t="s">
        <v>780</v>
      </c>
      <c r="I27" s="82" t="s">
        <v>781</v>
      </c>
      <c r="J27" s="82" t="s">
        <v>775</v>
      </c>
      <c r="K27" s="82" t="s">
        <v>655</v>
      </c>
    </row>
    <row r="28" spans="1:11" ht="30">
      <c r="A28" s="82" t="s">
        <v>782</v>
      </c>
      <c r="B28" s="82" t="s">
        <v>783</v>
      </c>
      <c r="C28" s="82" t="s">
        <v>728</v>
      </c>
      <c r="D28" s="82" t="s">
        <v>784</v>
      </c>
      <c r="E28" s="82" t="s">
        <v>610</v>
      </c>
      <c r="F28" s="82" t="s">
        <v>785</v>
      </c>
      <c r="G28" s="82" t="s">
        <v>786</v>
      </c>
      <c r="H28" s="82" t="s">
        <v>787</v>
      </c>
      <c r="I28" s="82" t="s">
        <v>781</v>
      </c>
      <c r="J28" s="82" t="s">
        <v>775</v>
      </c>
      <c r="K28" s="82" t="s">
        <v>655</v>
      </c>
    </row>
    <row r="29" spans="1:11" ht="60">
      <c r="A29" s="82" t="s">
        <v>788</v>
      </c>
      <c r="B29" s="82" t="s">
        <v>789</v>
      </c>
      <c r="C29" s="82" t="s">
        <v>728</v>
      </c>
      <c r="D29" s="82" t="s">
        <v>790</v>
      </c>
      <c r="E29" s="82" t="s">
        <v>610</v>
      </c>
      <c r="F29" s="82" t="s">
        <v>791</v>
      </c>
      <c r="G29" s="82" t="s">
        <v>792</v>
      </c>
      <c r="H29" s="82" t="s">
        <v>793</v>
      </c>
      <c r="I29" s="82" t="s">
        <v>781</v>
      </c>
      <c r="J29" s="82" t="s">
        <v>775</v>
      </c>
      <c r="K29" s="82" t="s">
        <v>655</v>
      </c>
    </row>
    <row r="30" spans="1:11" ht="30">
      <c r="A30" s="82" t="s">
        <v>794</v>
      </c>
      <c r="B30" s="82" t="s">
        <v>795</v>
      </c>
      <c r="C30" s="82" t="s">
        <v>728</v>
      </c>
      <c r="D30" s="82" t="s">
        <v>796</v>
      </c>
      <c r="E30" s="82" t="s">
        <v>610</v>
      </c>
      <c r="F30" s="82" t="s">
        <v>797</v>
      </c>
      <c r="G30" s="82" t="s">
        <v>798</v>
      </c>
      <c r="H30" s="82" t="s">
        <v>799</v>
      </c>
      <c r="I30" s="82" t="s">
        <v>708</v>
      </c>
      <c r="J30" s="82" t="s">
        <v>734</v>
      </c>
      <c r="K30" s="82" t="s">
        <v>800</v>
      </c>
    </row>
    <row r="31" spans="1:11" ht="30">
      <c r="A31" s="82" t="s">
        <v>801</v>
      </c>
      <c r="B31" s="82" t="s">
        <v>202</v>
      </c>
      <c r="C31" s="82" t="s">
        <v>728</v>
      </c>
      <c r="D31" s="82" t="s">
        <v>802</v>
      </c>
      <c r="E31" s="82" t="s">
        <v>610</v>
      </c>
      <c r="F31" s="82" t="s">
        <v>803</v>
      </c>
      <c r="G31" s="82" t="s">
        <v>804</v>
      </c>
      <c r="H31" s="82" t="s">
        <v>805</v>
      </c>
      <c r="I31" s="82" t="s">
        <v>806</v>
      </c>
      <c r="J31" s="82" t="s">
        <v>741</v>
      </c>
      <c r="K31" s="82" t="s">
        <v>800</v>
      </c>
    </row>
    <row r="32" spans="1:11" ht="30">
      <c r="A32" s="82" t="s">
        <v>807</v>
      </c>
      <c r="B32" s="82" t="s">
        <v>808</v>
      </c>
      <c r="C32" s="82" t="s">
        <v>809</v>
      </c>
      <c r="D32" s="82" t="s">
        <v>524</v>
      </c>
      <c r="E32" s="82" t="s">
        <v>610</v>
      </c>
      <c r="F32" s="82" t="s">
        <v>810</v>
      </c>
      <c r="G32" s="82" t="s">
        <v>811</v>
      </c>
      <c r="H32" s="82" t="s">
        <v>812</v>
      </c>
      <c r="I32" s="82" t="s">
        <v>813</v>
      </c>
      <c r="J32" s="82" t="s">
        <v>814</v>
      </c>
      <c r="K32" s="82" t="s">
        <v>616</v>
      </c>
    </row>
    <row r="33" spans="1:11" ht="45">
      <c r="A33" s="82" t="s">
        <v>815</v>
      </c>
      <c r="B33" s="82" t="s">
        <v>816</v>
      </c>
      <c r="C33" s="82" t="s">
        <v>817</v>
      </c>
      <c r="D33" s="82" t="s">
        <v>802</v>
      </c>
      <c r="E33" s="82" t="s">
        <v>610</v>
      </c>
      <c r="F33" s="82" t="s">
        <v>818</v>
      </c>
      <c r="G33" s="82" t="s">
        <v>819</v>
      </c>
      <c r="H33" s="82" t="s">
        <v>820</v>
      </c>
      <c r="I33" s="82" t="s">
        <v>821</v>
      </c>
      <c r="J33" s="82" t="s">
        <v>822</v>
      </c>
      <c r="K33" s="82" t="s">
        <v>616</v>
      </c>
    </row>
    <row r="34" spans="1:11" ht="24">
      <c r="A34" s="63" t="s">
        <v>823</v>
      </c>
      <c r="B34" s="63" t="s">
        <v>824</v>
      </c>
      <c r="C34" s="63" t="s">
        <v>619</v>
      </c>
      <c r="D34" s="63" t="s">
        <v>620</v>
      </c>
      <c r="E34" s="63" t="s">
        <v>610</v>
      </c>
      <c r="F34" s="63" t="s">
        <v>825</v>
      </c>
      <c r="G34" s="63" t="s">
        <v>826</v>
      </c>
      <c r="H34" s="63" t="s">
        <v>827</v>
      </c>
      <c r="I34" s="63" t="s">
        <v>828</v>
      </c>
      <c r="J34" s="63" t="s">
        <v>829</v>
      </c>
      <c r="K34" s="63" t="s">
        <v>655</v>
      </c>
    </row>
    <row r="35" spans="1:11" ht="36">
      <c r="A35" s="63" t="s">
        <v>830</v>
      </c>
      <c r="B35" s="63" t="s">
        <v>831</v>
      </c>
      <c r="C35" s="63" t="s">
        <v>608</v>
      </c>
      <c r="D35" s="63" t="s">
        <v>620</v>
      </c>
      <c r="E35" s="63" t="s">
        <v>610</v>
      </c>
      <c r="F35" s="63" t="s">
        <v>832</v>
      </c>
      <c r="G35" s="63" t="s">
        <v>833</v>
      </c>
      <c r="H35" s="63" t="s">
        <v>834</v>
      </c>
      <c r="I35" s="63" t="s">
        <v>835</v>
      </c>
      <c r="J35" s="63" t="s">
        <v>836</v>
      </c>
      <c r="K35" s="63" t="s">
        <v>655</v>
      </c>
    </row>
    <row r="36" spans="1:11" ht="36">
      <c r="A36" s="63" t="s">
        <v>837</v>
      </c>
      <c r="B36" s="63" t="s">
        <v>838</v>
      </c>
      <c r="C36" s="63" t="s">
        <v>608</v>
      </c>
      <c r="D36" s="63" t="s">
        <v>839</v>
      </c>
      <c r="E36" s="63" t="s">
        <v>610</v>
      </c>
      <c r="F36" s="63" t="s">
        <v>840</v>
      </c>
      <c r="G36" s="63" t="s">
        <v>841</v>
      </c>
      <c r="H36" s="63" t="s">
        <v>842</v>
      </c>
      <c r="I36" s="63" t="s">
        <v>843</v>
      </c>
      <c r="J36" s="63" t="s">
        <v>836</v>
      </c>
      <c r="K36" s="63" t="s">
        <v>244</v>
      </c>
    </row>
  </sheetData>
  <mergeCells count="2">
    <mergeCell ref="A1:K1"/>
    <mergeCell ref="A2:K2"/>
  </mergeCells>
  <conditionalFormatting sqref="K5:K33">
    <cfRule type="expression" dxfId="23" priority="2">
      <formula>K5="PENDIENTE_FUENTE"</formula>
    </cfRule>
    <cfRule type="expression" dxfId="22" priority="3">
      <formula>OR(K5="IMPLEMENTADO",K5="CORREGIDO")</formula>
    </cfRule>
  </conditionalFormatting>
  <conditionalFormatting sqref="K34:K36">
    <cfRule type="expression" dxfId="21" priority="4">
      <formula>OR(K34="PENDIENTE_FUENTE",K34="PENDIENTE_DATO")</formula>
    </cfRule>
    <cfRule type="expression" dxfId="20" priority="5">
      <formula>OR(K34="IMPLEMENTADO",K34="VERIFICADO",K34="CORREGIDO")</formula>
    </cfRule>
  </conditionalFormatting>
  <pageMargins left="0.7" right="0.7" top="0.75" bottom="0.75" header="0.511811023622047" footer="0.511811023622047"/>
  <pageSetup paperSize="9" orientation="portrait" horizontalDpi="300" verticalDpi="300"/>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C00-000000000000}">
  <dimension ref="A1:H15"/>
  <sheetViews>
    <sheetView zoomScaleNormal="100" workbookViewId="0">
      <selection sqref="A1:H1"/>
    </sheetView>
  </sheetViews>
  <sheetFormatPr baseColWidth="10" defaultColWidth="9.140625" defaultRowHeight="15"/>
  <cols>
    <col min="1" max="1" width="24" style="1" customWidth="1"/>
    <col min="2" max="2" width="35" style="1" customWidth="1"/>
    <col min="3" max="3" width="30" style="1" customWidth="1"/>
    <col min="4" max="4" width="42" style="1" customWidth="1"/>
    <col min="5" max="5" width="24" style="1" customWidth="1"/>
    <col min="6" max="6" width="42" style="1" customWidth="1"/>
    <col min="7" max="7" width="24" style="1" customWidth="1"/>
    <col min="8" max="8" width="28" style="1" customWidth="1"/>
  </cols>
  <sheetData>
    <row r="1" spans="1:8" ht="30" customHeight="1">
      <c r="A1" s="185" t="s">
        <v>844</v>
      </c>
      <c r="B1" s="185"/>
      <c r="C1" s="185"/>
      <c r="D1" s="185"/>
      <c r="E1" s="185"/>
      <c r="F1" s="185"/>
      <c r="G1" s="185"/>
      <c r="H1" s="185"/>
    </row>
    <row r="3" spans="1:8" ht="33.75" customHeight="1">
      <c r="A3" s="83" t="s">
        <v>845</v>
      </c>
      <c r="B3" s="83" t="s">
        <v>846</v>
      </c>
      <c r="C3" s="83" t="s">
        <v>847</v>
      </c>
      <c r="D3" s="83" t="s">
        <v>848</v>
      </c>
      <c r="E3" s="83" t="s">
        <v>849</v>
      </c>
      <c r="F3" s="83" t="s">
        <v>850</v>
      </c>
      <c r="G3" s="83" t="s">
        <v>851</v>
      </c>
      <c r="H3" s="83" t="s">
        <v>504</v>
      </c>
    </row>
    <row r="4" spans="1:8">
      <c r="A4" s="57" t="s">
        <v>852</v>
      </c>
      <c r="B4" s="57" t="s">
        <v>853</v>
      </c>
      <c r="C4" s="57" t="s">
        <v>854</v>
      </c>
      <c r="D4" s="57" t="s">
        <v>855</v>
      </c>
      <c r="E4" s="57" t="s">
        <v>856</v>
      </c>
      <c r="F4" s="57" t="s">
        <v>857</v>
      </c>
      <c r="G4" s="57" t="s">
        <v>858</v>
      </c>
      <c r="H4" s="57" t="s">
        <v>616</v>
      </c>
    </row>
    <row r="5" spans="1:8">
      <c r="A5" s="57" t="s">
        <v>859</v>
      </c>
      <c r="B5" s="57" t="s">
        <v>860</v>
      </c>
      <c r="C5" s="57" t="s">
        <v>861</v>
      </c>
      <c r="D5" s="57" t="s">
        <v>862</v>
      </c>
      <c r="E5" s="57" t="s">
        <v>863</v>
      </c>
      <c r="F5" s="57" t="s">
        <v>864</v>
      </c>
      <c r="G5" s="57" t="s">
        <v>858</v>
      </c>
      <c r="H5" s="57" t="s">
        <v>865</v>
      </c>
    </row>
    <row r="6" spans="1:8">
      <c r="A6" s="57" t="s">
        <v>866</v>
      </c>
      <c r="B6" s="57" t="s">
        <v>867</v>
      </c>
      <c r="C6" s="57" t="s">
        <v>861</v>
      </c>
      <c r="D6" s="57" t="s">
        <v>862</v>
      </c>
      <c r="E6" s="57" t="s">
        <v>868</v>
      </c>
      <c r="F6" s="57" t="s">
        <v>869</v>
      </c>
      <c r="G6" s="57" t="s">
        <v>858</v>
      </c>
      <c r="H6" s="57" t="s">
        <v>616</v>
      </c>
    </row>
    <row r="7" spans="1:8">
      <c r="A7" s="57" t="s">
        <v>870</v>
      </c>
      <c r="B7" s="57" t="s">
        <v>859</v>
      </c>
      <c r="C7" s="57" t="s">
        <v>871</v>
      </c>
      <c r="D7" s="57" t="s">
        <v>872</v>
      </c>
      <c r="E7" s="57" t="s">
        <v>796</v>
      </c>
      <c r="F7" s="57" t="s">
        <v>857</v>
      </c>
      <c r="G7" s="57" t="s">
        <v>858</v>
      </c>
      <c r="H7" s="57" t="s">
        <v>873</v>
      </c>
    </row>
    <row r="8" spans="1:8" ht="25.5">
      <c r="A8" s="57" t="s">
        <v>202</v>
      </c>
      <c r="B8" s="57" t="s">
        <v>874</v>
      </c>
      <c r="C8" s="57" t="s">
        <v>875</v>
      </c>
      <c r="D8" s="57" t="s">
        <v>741</v>
      </c>
      <c r="E8" s="57" t="s">
        <v>250</v>
      </c>
      <c r="F8" s="57" t="s">
        <v>876</v>
      </c>
      <c r="G8" s="57" t="s">
        <v>877</v>
      </c>
      <c r="H8" s="57" t="s">
        <v>878</v>
      </c>
    </row>
    <row r="9" spans="1:8" ht="25.5">
      <c r="A9" s="57" t="s">
        <v>879</v>
      </c>
      <c r="B9" s="57" t="s">
        <v>880</v>
      </c>
      <c r="C9" s="57" t="s">
        <v>881</v>
      </c>
      <c r="D9" s="57" t="s">
        <v>882</v>
      </c>
      <c r="E9" s="57" t="s">
        <v>260</v>
      </c>
      <c r="F9" s="57" t="s">
        <v>883</v>
      </c>
      <c r="G9" s="57" t="s">
        <v>884</v>
      </c>
      <c r="H9" s="57" t="s">
        <v>695</v>
      </c>
    </row>
    <row r="10" spans="1:8">
      <c r="A10" s="57" t="s">
        <v>885</v>
      </c>
      <c r="B10" s="57" t="s">
        <v>886</v>
      </c>
      <c r="C10" s="57" t="s">
        <v>887</v>
      </c>
      <c r="D10" s="57" t="s">
        <v>888</v>
      </c>
      <c r="E10" s="57" t="s">
        <v>889</v>
      </c>
      <c r="F10" s="57" t="s">
        <v>890</v>
      </c>
      <c r="G10" s="57" t="s">
        <v>891</v>
      </c>
      <c r="H10" s="57" t="s">
        <v>616</v>
      </c>
    </row>
    <row r="11" spans="1:8" ht="25.5">
      <c r="A11" s="57" t="s">
        <v>892</v>
      </c>
      <c r="B11" s="57" t="s">
        <v>893</v>
      </c>
      <c r="C11" s="57" t="s">
        <v>894</v>
      </c>
      <c r="D11" s="57" t="s">
        <v>895</v>
      </c>
      <c r="E11" s="57" t="s">
        <v>896</v>
      </c>
      <c r="F11" s="57" t="s">
        <v>897</v>
      </c>
      <c r="G11" s="57" t="s">
        <v>898</v>
      </c>
      <c r="H11" s="57" t="s">
        <v>616</v>
      </c>
    </row>
    <row r="12" spans="1:8" ht="25.5">
      <c r="A12" s="57" t="s">
        <v>307</v>
      </c>
      <c r="B12" s="57" t="s">
        <v>899</v>
      </c>
      <c r="C12" s="57" t="s">
        <v>900</v>
      </c>
      <c r="D12" s="57" t="s">
        <v>901</v>
      </c>
      <c r="E12" s="57" t="s">
        <v>902</v>
      </c>
      <c r="F12" s="57" t="s">
        <v>903</v>
      </c>
      <c r="G12" s="57" t="s">
        <v>904</v>
      </c>
      <c r="H12" s="57" t="s">
        <v>750</v>
      </c>
    </row>
    <row r="13" spans="1:8" ht="25.5">
      <c r="A13" s="57" t="s">
        <v>752</v>
      </c>
      <c r="B13" s="57" t="s">
        <v>905</v>
      </c>
      <c r="C13" s="57" t="s">
        <v>906</v>
      </c>
      <c r="D13" s="57" t="s">
        <v>907</v>
      </c>
      <c r="E13" s="57" t="s">
        <v>908</v>
      </c>
      <c r="F13" s="57" t="s">
        <v>909</v>
      </c>
      <c r="G13" s="57" t="s">
        <v>910</v>
      </c>
      <c r="H13" s="57" t="s">
        <v>759</v>
      </c>
    </row>
    <row r="14" spans="1:8">
      <c r="A14" s="57" t="s">
        <v>911</v>
      </c>
      <c r="B14" s="57" t="s">
        <v>912</v>
      </c>
      <c r="C14" s="57" t="s">
        <v>913</v>
      </c>
      <c r="D14" s="57" t="s">
        <v>914</v>
      </c>
      <c r="E14" s="57" t="s">
        <v>915</v>
      </c>
      <c r="F14" s="57" t="s">
        <v>259</v>
      </c>
      <c r="G14" s="57" t="s">
        <v>916</v>
      </c>
      <c r="H14" s="57" t="s">
        <v>917</v>
      </c>
    </row>
    <row r="15" spans="1:8" ht="25.5">
      <c r="A15" s="57" t="s">
        <v>918</v>
      </c>
      <c r="B15" s="57" t="s">
        <v>919</v>
      </c>
      <c r="C15" s="57" t="s">
        <v>920</v>
      </c>
      <c r="D15" s="57" t="s">
        <v>921</v>
      </c>
      <c r="E15" s="57" t="s">
        <v>922</v>
      </c>
      <c r="F15" s="57" t="s">
        <v>923</v>
      </c>
      <c r="G15" s="57" t="s">
        <v>924</v>
      </c>
      <c r="H15" s="57" t="s">
        <v>616</v>
      </c>
    </row>
  </sheetData>
  <sheetProtection algorithmName="SHA-512" hashValue="veCjZ2CQ9CcfKZFz4gBxC1EKvsCsCqJZsxvLXKQvpOMDVwJp8grC0Xk0YIKxYqjPQxPyKadISPRC2/nRQfYBRQ==" saltValue="gpo5wBwdc/am7sAh1VS+mw==" spinCount="100000" sheet="1" objects="1" scenarios="1"/>
  <mergeCells count="1">
    <mergeCell ref="A1:H1"/>
  </mergeCells>
  <conditionalFormatting sqref="H4:H11">
    <cfRule type="expression" dxfId="19" priority="2">
      <formula>H4="PENDIENTE_FUENTE"</formula>
    </cfRule>
    <cfRule type="expression" dxfId="18" priority="3">
      <formula>H4="IMPLEMENTADO"</formula>
    </cfRule>
  </conditionalFormatting>
  <conditionalFormatting sqref="H4:H15">
    <cfRule type="expression" dxfId="17" priority="4">
      <formula>OR(H4="REFERENCIA_NO_IMPLEMENTADA",H4="PENDIENTE_FUENTE")</formula>
    </cfRule>
  </conditionalFormatting>
  <pageMargins left="0.7" right="0.7" top="0.75" bottom="0.75" header="0.511811023622047" footer="0.511811023622047"/>
  <pageSetup paperSize="9" orientation="portrait" horizontalDpi="300" verticalDpi="300"/>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D00-000000000000}">
  <dimension ref="A1:H40"/>
  <sheetViews>
    <sheetView zoomScaleNormal="100" workbookViewId="0"/>
  </sheetViews>
  <sheetFormatPr baseColWidth="10" defaultColWidth="9.140625" defaultRowHeight="15"/>
  <cols>
    <col min="1" max="1" width="15" style="1" customWidth="1"/>
    <col min="2" max="2" width="30" style="1" customWidth="1"/>
    <col min="3" max="3" width="20" style="1" customWidth="1"/>
    <col min="4" max="4" width="16" style="1" customWidth="1"/>
    <col min="5" max="5" width="18" style="1" customWidth="1"/>
    <col min="6" max="6" width="20" style="1" customWidth="1"/>
    <col min="7" max="7" width="48" style="1" customWidth="1"/>
    <col min="8" max="8" width="20" style="1" customWidth="1"/>
  </cols>
  <sheetData>
    <row r="1" spans="1:8" ht="30" customHeight="1">
      <c r="A1" s="186" t="s">
        <v>925</v>
      </c>
      <c r="B1" s="186"/>
      <c r="C1" s="186"/>
      <c r="D1" s="186"/>
      <c r="E1" s="186"/>
      <c r="F1" s="186"/>
      <c r="G1" s="186"/>
      <c r="H1" s="186"/>
    </row>
    <row r="2" spans="1:8" ht="37.5" customHeight="1">
      <c r="A2" s="187" t="s">
        <v>926</v>
      </c>
      <c r="B2" s="187"/>
      <c r="C2" s="187"/>
      <c r="D2" s="187"/>
      <c r="E2" s="187"/>
      <c r="F2" s="187"/>
      <c r="G2" s="187"/>
      <c r="H2" s="187"/>
    </row>
    <row r="3" spans="1:8">
      <c r="A3" s="56"/>
      <c r="B3" s="56"/>
      <c r="C3" s="56"/>
      <c r="D3" s="56"/>
      <c r="E3" s="56"/>
      <c r="F3" s="56"/>
      <c r="G3" s="56"/>
      <c r="H3" s="56"/>
    </row>
    <row r="4" spans="1:8" ht="30" customHeight="1">
      <c r="A4" s="58" t="s">
        <v>927</v>
      </c>
      <c r="B4" s="58" t="s">
        <v>928</v>
      </c>
      <c r="C4" s="58" t="s">
        <v>929</v>
      </c>
      <c r="D4" s="58" t="s">
        <v>930</v>
      </c>
      <c r="E4" s="58" t="s">
        <v>931</v>
      </c>
      <c r="F4" s="58" t="s">
        <v>932</v>
      </c>
      <c r="G4" s="58" t="s">
        <v>933</v>
      </c>
      <c r="H4" s="58" t="s">
        <v>504</v>
      </c>
    </row>
    <row r="5" spans="1:8" ht="42" customHeight="1">
      <c r="A5" s="63" t="s">
        <v>934</v>
      </c>
      <c r="B5" s="63" t="s">
        <v>935</v>
      </c>
      <c r="C5" s="63" t="s">
        <v>264</v>
      </c>
      <c r="D5" s="63">
        <v>168</v>
      </c>
      <c r="E5" s="63">
        <v>504</v>
      </c>
      <c r="F5" s="63">
        <v>1</v>
      </c>
      <c r="G5" s="63" t="s">
        <v>936</v>
      </c>
      <c r="H5" s="63" t="s">
        <v>655</v>
      </c>
    </row>
    <row r="6" spans="1:8" ht="42" customHeight="1">
      <c r="A6" s="63" t="s">
        <v>937</v>
      </c>
      <c r="B6" s="63" t="s">
        <v>938</v>
      </c>
      <c r="C6" s="63" t="s">
        <v>264</v>
      </c>
      <c r="D6" s="63">
        <v>168</v>
      </c>
      <c r="E6" s="63">
        <v>504</v>
      </c>
      <c r="F6" s="63">
        <v>2</v>
      </c>
      <c r="G6" s="63" t="s">
        <v>939</v>
      </c>
      <c r="H6" s="63" t="s">
        <v>655</v>
      </c>
    </row>
    <row r="7" spans="1:8" ht="42" customHeight="1">
      <c r="A7" s="63" t="s">
        <v>940</v>
      </c>
      <c r="B7" s="63" t="s">
        <v>941</v>
      </c>
      <c r="C7" s="63" t="s">
        <v>942</v>
      </c>
      <c r="D7" s="63">
        <v>229</v>
      </c>
      <c r="E7" s="63">
        <v>1145</v>
      </c>
      <c r="F7" s="63">
        <v>11</v>
      </c>
      <c r="G7" s="63" t="s">
        <v>943</v>
      </c>
      <c r="H7" s="63" t="s">
        <v>655</v>
      </c>
    </row>
    <row r="8" spans="1:8" ht="42" customHeight="1">
      <c r="A8" s="63" t="s">
        <v>944</v>
      </c>
      <c r="B8" s="63" t="s">
        <v>945</v>
      </c>
      <c r="C8" s="63" t="s">
        <v>942</v>
      </c>
      <c r="D8" s="63">
        <v>229</v>
      </c>
      <c r="E8" s="63">
        <v>1145</v>
      </c>
      <c r="F8" s="63">
        <v>0</v>
      </c>
      <c r="G8" s="63" t="s">
        <v>946</v>
      </c>
      <c r="H8" s="63" t="s">
        <v>244</v>
      </c>
    </row>
    <row r="9" spans="1:8" ht="42" customHeight="1">
      <c r="A9" s="63" t="s">
        <v>947</v>
      </c>
      <c r="B9" s="63" t="s">
        <v>948</v>
      </c>
      <c r="C9" s="63" t="s">
        <v>949</v>
      </c>
      <c r="D9" s="63">
        <v>37</v>
      </c>
      <c r="E9" s="63">
        <v>185</v>
      </c>
      <c r="F9" s="63">
        <v>0</v>
      </c>
      <c r="G9" s="63" t="s">
        <v>950</v>
      </c>
      <c r="H9" s="63" t="s">
        <v>244</v>
      </c>
    </row>
    <row r="10" spans="1:8" ht="42" customHeight="1">
      <c r="A10" s="63" t="s">
        <v>951</v>
      </c>
      <c r="B10" s="63" t="s">
        <v>952</v>
      </c>
      <c r="C10" s="63" t="s">
        <v>949</v>
      </c>
      <c r="D10" s="63">
        <v>37</v>
      </c>
      <c r="E10" s="63">
        <v>185</v>
      </c>
      <c r="F10" s="63">
        <v>0</v>
      </c>
      <c r="G10" s="63" t="s">
        <v>950</v>
      </c>
      <c r="H10" s="63" t="s">
        <v>244</v>
      </c>
    </row>
    <row r="11" spans="1:8" ht="42" customHeight="1">
      <c r="A11" s="63" t="s">
        <v>953</v>
      </c>
      <c r="B11" s="63" t="s">
        <v>954</v>
      </c>
      <c r="C11" s="63" t="s">
        <v>260</v>
      </c>
      <c r="D11" s="63">
        <v>61</v>
      </c>
      <c r="E11" s="63">
        <v>183</v>
      </c>
      <c r="F11" s="63">
        <v>0</v>
      </c>
      <c r="G11" s="63" t="s">
        <v>955</v>
      </c>
      <c r="H11" s="63" t="s">
        <v>244</v>
      </c>
    </row>
    <row r="12" spans="1:8" ht="42" customHeight="1">
      <c r="A12" s="63" t="s">
        <v>956</v>
      </c>
      <c r="B12" s="63" t="s">
        <v>957</v>
      </c>
      <c r="C12" s="63" t="s">
        <v>260</v>
      </c>
      <c r="D12" s="63">
        <v>61</v>
      </c>
      <c r="E12" s="63">
        <v>183</v>
      </c>
      <c r="F12" s="63">
        <v>0</v>
      </c>
      <c r="G12" s="63" t="s">
        <v>955</v>
      </c>
      <c r="H12" s="63" t="s">
        <v>244</v>
      </c>
    </row>
    <row r="13" spans="1:8" ht="42" customHeight="1">
      <c r="A13" s="63" t="s">
        <v>958</v>
      </c>
      <c r="B13" s="63" t="s">
        <v>959</v>
      </c>
      <c r="C13" s="63" t="s">
        <v>960</v>
      </c>
      <c r="D13" s="63">
        <v>262</v>
      </c>
      <c r="E13" s="63">
        <v>786</v>
      </c>
      <c r="F13" s="63">
        <v>0</v>
      </c>
      <c r="G13" s="63" t="s">
        <v>961</v>
      </c>
      <c r="H13" s="63" t="s">
        <v>244</v>
      </c>
    </row>
    <row r="14" spans="1:8" ht="42" customHeight="1">
      <c r="A14" s="63" t="s">
        <v>962</v>
      </c>
      <c r="B14" s="63" t="s">
        <v>963</v>
      </c>
      <c r="C14" s="63" t="s">
        <v>964</v>
      </c>
      <c r="D14" s="63">
        <v>222</v>
      </c>
      <c r="E14" s="63">
        <v>666</v>
      </c>
      <c r="F14" s="63">
        <v>0</v>
      </c>
      <c r="G14" s="63" t="s">
        <v>961</v>
      </c>
      <c r="H14" s="63" t="s">
        <v>244</v>
      </c>
    </row>
    <row r="15" spans="1:8">
      <c r="A15" s="56"/>
      <c r="B15" s="56"/>
      <c r="C15" s="56"/>
      <c r="D15" s="56"/>
      <c r="E15" s="56"/>
      <c r="F15" s="56"/>
      <c r="G15" s="56"/>
      <c r="H15" s="56"/>
    </row>
    <row r="16" spans="1:8">
      <c r="A16" s="56"/>
      <c r="B16" s="56"/>
      <c r="C16" s="56"/>
      <c r="D16" s="56"/>
      <c r="E16" s="56"/>
      <c r="F16" s="56"/>
      <c r="G16" s="56"/>
      <c r="H16" s="56"/>
    </row>
    <row r="17" spans="1:8" ht="30" customHeight="1">
      <c r="A17" s="186" t="s">
        <v>965</v>
      </c>
      <c r="B17" s="186"/>
      <c r="C17" s="186"/>
      <c r="D17" s="186"/>
      <c r="E17" s="186"/>
      <c r="F17" s="186"/>
      <c r="G17" s="186"/>
      <c r="H17" s="186"/>
    </row>
    <row r="18" spans="1:8" ht="30" customHeight="1">
      <c r="A18" s="58" t="s">
        <v>966</v>
      </c>
      <c r="B18" s="58" t="s">
        <v>967</v>
      </c>
      <c r="C18" s="58" t="s">
        <v>968</v>
      </c>
      <c r="D18" s="58" t="s">
        <v>500</v>
      </c>
      <c r="E18" s="58" t="s">
        <v>969</v>
      </c>
      <c r="F18" s="58" t="s">
        <v>970</v>
      </c>
      <c r="G18" s="58" t="s">
        <v>971</v>
      </c>
      <c r="H18" s="58" t="s">
        <v>285</v>
      </c>
    </row>
    <row r="19" spans="1:8" ht="24">
      <c r="A19" s="63" t="s">
        <v>972</v>
      </c>
      <c r="B19" s="63" t="s">
        <v>973</v>
      </c>
      <c r="C19" s="63" t="s">
        <v>974</v>
      </c>
      <c r="D19" s="63" t="s">
        <v>507</v>
      </c>
      <c r="E19" s="63" t="s">
        <v>975</v>
      </c>
      <c r="F19" s="63">
        <v>0.13321</v>
      </c>
      <c r="G19" s="63">
        <v>0.13295000000000001</v>
      </c>
      <c r="H19" s="63" t="s">
        <v>976</v>
      </c>
    </row>
    <row r="20" spans="1:8" ht="24">
      <c r="A20" s="63" t="s">
        <v>977</v>
      </c>
      <c r="B20" s="63" t="s">
        <v>973</v>
      </c>
      <c r="C20" s="63" t="s">
        <v>978</v>
      </c>
      <c r="D20" s="63" t="s">
        <v>33</v>
      </c>
      <c r="E20" s="63" t="s">
        <v>979</v>
      </c>
      <c r="F20" s="63">
        <v>1.18E-2</v>
      </c>
      <c r="G20" s="63">
        <v>-1.7271000000000001</v>
      </c>
      <c r="H20" s="63" t="s">
        <v>980</v>
      </c>
    </row>
    <row r="21" spans="1:8" ht="24">
      <c r="A21" s="63" t="s">
        <v>981</v>
      </c>
      <c r="B21" s="63" t="s">
        <v>973</v>
      </c>
      <c r="C21" s="63" t="s">
        <v>982</v>
      </c>
      <c r="D21" s="63" t="s">
        <v>33</v>
      </c>
      <c r="E21" s="63" t="s">
        <v>983</v>
      </c>
      <c r="F21" s="63">
        <v>1.1900000000000001E-2</v>
      </c>
      <c r="G21" s="63">
        <v>-1.7341</v>
      </c>
      <c r="H21" s="63" t="s">
        <v>980</v>
      </c>
    </row>
    <row r="22" spans="1:8" ht="36">
      <c r="A22" s="63" t="s">
        <v>984</v>
      </c>
      <c r="B22" s="63" t="s">
        <v>973</v>
      </c>
      <c r="C22" s="63" t="s">
        <v>985</v>
      </c>
      <c r="D22" s="63" t="s">
        <v>507</v>
      </c>
      <c r="E22" s="63" t="s">
        <v>669</v>
      </c>
      <c r="F22" s="63" t="s">
        <v>986</v>
      </c>
      <c r="G22" s="63" t="s">
        <v>987</v>
      </c>
      <c r="H22" s="63" t="s">
        <v>988</v>
      </c>
    </row>
    <row r="23" spans="1:8" ht="36">
      <c r="A23" s="63" t="s">
        <v>989</v>
      </c>
      <c r="B23" s="63" t="s">
        <v>973</v>
      </c>
      <c r="C23" s="63" t="s">
        <v>990</v>
      </c>
      <c r="D23" s="63" t="s">
        <v>507</v>
      </c>
      <c r="E23" s="63" t="s">
        <v>991</v>
      </c>
      <c r="F23" s="63" t="s">
        <v>992</v>
      </c>
      <c r="G23" s="63" t="s">
        <v>993</v>
      </c>
      <c r="H23" s="63" t="s">
        <v>994</v>
      </c>
    </row>
    <row r="24" spans="1:8">
      <c r="A24" s="56"/>
      <c r="B24" s="56"/>
      <c r="C24" s="56"/>
      <c r="D24" s="56"/>
      <c r="E24" s="56"/>
      <c r="F24" s="56"/>
      <c r="G24" s="56"/>
      <c r="H24" s="56"/>
    </row>
    <row r="25" spans="1:8">
      <c r="A25" s="56"/>
      <c r="B25" s="56"/>
      <c r="C25" s="56"/>
      <c r="D25" s="56"/>
      <c r="E25" s="56"/>
      <c r="F25" s="56"/>
      <c r="G25" s="56"/>
      <c r="H25" s="56"/>
    </row>
    <row r="26" spans="1:8" ht="30" customHeight="1">
      <c r="A26" s="186" t="s">
        <v>995</v>
      </c>
      <c r="B26" s="186"/>
      <c r="C26" s="186"/>
      <c r="D26" s="186"/>
      <c r="E26" s="186"/>
      <c r="F26" s="186"/>
      <c r="G26" s="186"/>
      <c r="H26" s="186"/>
    </row>
    <row r="27" spans="1:8" ht="30" customHeight="1">
      <c r="A27" s="58" t="s">
        <v>996</v>
      </c>
      <c r="B27" s="58" t="s">
        <v>231</v>
      </c>
      <c r="C27" s="58" t="s">
        <v>928</v>
      </c>
      <c r="D27" s="58" t="s">
        <v>232</v>
      </c>
      <c r="E27" s="58" t="s">
        <v>929</v>
      </c>
      <c r="F27" s="58" t="s">
        <v>997</v>
      </c>
      <c r="G27" s="58" t="s">
        <v>998</v>
      </c>
      <c r="H27" s="58" t="s">
        <v>504</v>
      </c>
    </row>
    <row r="28" spans="1:8">
      <c r="A28" s="63" t="s">
        <v>999</v>
      </c>
      <c r="B28" s="63" t="s">
        <v>258</v>
      </c>
      <c r="C28" s="63" t="s">
        <v>1000</v>
      </c>
      <c r="D28" s="63" t="s">
        <v>1001</v>
      </c>
      <c r="E28" s="63" t="s">
        <v>260</v>
      </c>
      <c r="F28" s="63" t="s">
        <v>1002</v>
      </c>
      <c r="G28" s="63" t="s">
        <v>1003</v>
      </c>
      <c r="H28" s="63" t="s">
        <v>580</v>
      </c>
    </row>
    <row r="29" spans="1:8">
      <c r="A29" s="63" t="s">
        <v>1004</v>
      </c>
      <c r="B29" s="63" t="s">
        <v>258</v>
      </c>
      <c r="C29" s="63" t="s">
        <v>1005</v>
      </c>
      <c r="D29" s="63" t="s">
        <v>1001</v>
      </c>
      <c r="E29" s="63" t="s">
        <v>960</v>
      </c>
      <c r="F29" s="63" t="s">
        <v>1002</v>
      </c>
      <c r="G29" s="63" t="s">
        <v>1006</v>
      </c>
      <c r="H29" s="63" t="s">
        <v>580</v>
      </c>
    </row>
    <row r="30" spans="1:8">
      <c r="A30" s="63" t="s">
        <v>1007</v>
      </c>
      <c r="B30" s="63" t="s">
        <v>258</v>
      </c>
      <c r="C30" s="63" t="s">
        <v>1008</v>
      </c>
      <c r="D30" s="63" t="s">
        <v>1001</v>
      </c>
      <c r="E30" s="63" t="s">
        <v>964</v>
      </c>
      <c r="F30" s="63" t="s">
        <v>1002</v>
      </c>
      <c r="G30" s="63" t="s">
        <v>1009</v>
      </c>
      <c r="H30" s="63" t="s">
        <v>580</v>
      </c>
    </row>
    <row r="31" spans="1:8" ht="24">
      <c r="A31" s="63" t="s">
        <v>1010</v>
      </c>
      <c r="B31" s="63" t="s">
        <v>258</v>
      </c>
      <c r="C31" s="63" t="s">
        <v>1011</v>
      </c>
      <c r="D31" s="63" t="s">
        <v>1001</v>
      </c>
      <c r="E31" s="63" t="s">
        <v>260</v>
      </c>
      <c r="F31" s="63" t="s">
        <v>1012</v>
      </c>
      <c r="G31" s="63" t="s">
        <v>1013</v>
      </c>
      <c r="H31" s="63" t="s">
        <v>580</v>
      </c>
    </row>
    <row r="32" spans="1:8">
      <c r="A32" s="63" t="s">
        <v>1014</v>
      </c>
      <c r="B32" s="63" t="s">
        <v>258</v>
      </c>
      <c r="C32" s="63" t="s">
        <v>1015</v>
      </c>
      <c r="D32" s="63" t="s">
        <v>1016</v>
      </c>
      <c r="E32" s="63" t="s">
        <v>264</v>
      </c>
      <c r="F32" s="63" t="s">
        <v>1012</v>
      </c>
      <c r="G32" s="63" t="s">
        <v>1013</v>
      </c>
      <c r="H32" s="63" t="s">
        <v>580</v>
      </c>
    </row>
    <row r="33" spans="1:8" ht="24">
      <c r="A33" s="63" t="s">
        <v>1017</v>
      </c>
      <c r="B33" s="63" t="s">
        <v>258</v>
      </c>
      <c r="C33" s="63" t="s">
        <v>1018</v>
      </c>
      <c r="D33" s="63" t="s">
        <v>1001</v>
      </c>
      <c r="E33" s="63" t="s">
        <v>260</v>
      </c>
      <c r="F33" s="63" t="s">
        <v>1012</v>
      </c>
      <c r="G33" s="63" t="s">
        <v>1019</v>
      </c>
      <c r="H33" s="63" t="s">
        <v>580</v>
      </c>
    </row>
    <row r="34" spans="1:8">
      <c r="A34" s="63" t="s">
        <v>1020</v>
      </c>
      <c r="B34" s="63" t="s">
        <v>258</v>
      </c>
      <c r="C34" s="63" t="s">
        <v>1021</v>
      </c>
      <c r="D34" s="63" t="s">
        <v>1016</v>
      </c>
      <c r="E34" s="63" t="s">
        <v>264</v>
      </c>
      <c r="F34" s="63" t="s">
        <v>1012</v>
      </c>
      <c r="G34" s="63" t="s">
        <v>1022</v>
      </c>
      <c r="H34" s="63" t="s">
        <v>580</v>
      </c>
    </row>
    <row r="35" spans="1:8">
      <c r="A35" s="56"/>
      <c r="B35" s="56"/>
      <c r="C35" s="56"/>
      <c r="D35" s="56"/>
      <c r="E35" s="56"/>
      <c r="F35" s="56"/>
      <c r="G35" s="56"/>
      <c r="H35" s="56"/>
    </row>
    <row r="36" spans="1:8">
      <c r="A36" s="56"/>
      <c r="B36" s="56"/>
      <c r="C36" s="56"/>
      <c r="D36" s="56"/>
      <c r="E36" s="56"/>
      <c r="F36" s="56"/>
      <c r="G36" s="56"/>
      <c r="H36" s="56"/>
    </row>
    <row r="37" spans="1:8">
      <c r="A37" s="56"/>
      <c r="B37" s="56"/>
      <c r="C37" s="56"/>
      <c r="D37" s="56"/>
      <c r="E37" s="56"/>
      <c r="F37" s="56"/>
      <c r="G37" s="56"/>
      <c r="H37" s="56"/>
    </row>
    <row r="38" spans="1:8">
      <c r="A38" s="56"/>
      <c r="B38" s="56"/>
      <c r="C38" s="56"/>
      <c r="D38" s="56"/>
      <c r="E38" s="56"/>
      <c r="F38" s="56"/>
      <c r="G38" s="56"/>
      <c r="H38" s="56"/>
    </row>
    <row r="39" spans="1:8">
      <c r="A39" s="56"/>
      <c r="B39" s="56"/>
      <c r="C39" s="56"/>
      <c r="D39" s="56"/>
      <c r="E39" s="56"/>
      <c r="F39" s="56"/>
      <c r="G39" s="56"/>
      <c r="H39" s="56"/>
    </row>
    <row r="40" spans="1:8">
      <c r="A40" s="56"/>
      <c r="B40" s="56"/>
      <c r="C40" s="56"/>
      <c r="D40" s="56"/>
      <c r="E40" s="56"/>
      <c r="F40" s="56"/>
      <c r="G40" s="56"/>
      <c r="H40" s="56"/>
    </row>
  </sheetData>
  <mergeCells count="4">
    <mergeCell ref="A1:H1"/>
    <mergeCell ref="A2:H2"/>
    <mergeCell ref="A17:H17"/>
    <mergeCell ref="A26:H26"/>
  </mergeCells>
  <conditionalFormatting sqref="H5:H14">
    <cfRule type="expression" dxfId="16" priority="2">
      <formula>OR(H5="PENDIENTE_FUENTE",H5="PENDIENTE_DATO")</formula>
    </cfRule>
    <cfRule type="expression" dxfId="15" priority="3">
      <formula>OR(H5="IMPLEMENTADO",H5="VERIFICADO",H5="CORREGIDO")</formula>
    </cfRule>
  </conditionalFormatting>
  <conditionalFormatting sqref="H28:H34">
    <cfRule type="expression" dxfId="14" priority="4">
      <formula>OR(H28="PENDIENTE_FUENTE",H28="PENDIENTE_DATO")</formula>
    </cfRule>
    <cfRule type="expression" dxfId="13" priority="5">
      <formula>OR(H28="IMPLEMENTADO",H28="VERIFICADO",H28="CORREGIDO")</formula>
    </cfRule>
  </conditionalFormatting>
  <pageMargins left="0.7" right="0.7" top="0.75" bottom="0.75" header="0.511811023622047" footer="0.511811023622047"/>
  <pageSetup paperSize="9" orientation="portrait" horizontalDpi="300" verticalDpi="300"/>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E00-000000000000}">
  <dimension ref="A1:J10"/>
  <sheetViews>
    <sheetView zoomScaleNormal="100" workbookViewId="0"/>
  </sheetViews>
  <sheetFormatPr baseColWidth="10" defaultColWidth="9.140625" defaultRowHeight="15"/>
  <cols>
    <col min="1" max="1" width="14" style="1" customWidth="1"/>
    <col min="2" max="3" width="24" style="1" customWidth="1"/>
    <col min="4" max="4" width="16" style="1" customWidth="1"/>
    <col min="5" max="5" width="20" style="1" customWidth="1"/>
    <col min="6" max="6" width="17" style="1" customWidth="1"/>
    <col min="7" max="7" width="13" style="1" customWidth="1"/>
    <col min="8" max="8" width="34" style="1" customWidth="1"/>
    <col min="9" max="9" width="38" style="1" customWidth="1"/>
    <col min="10" max="10" width="26" style="1" customWidth="1"/>
  </cols>
  <sheetData>
    <row r="1" spans="1:10" ht="27.75" customHeight="1">
      <c r="A1" s="188" t="s">
        <v>1023</v>
      </c>
      <c r="B1" s="188"/>
      <c r="C1" s="188"/>
      <c r="D1" s="188"/>
      <c r="E1" s="188"/>
      <c r="F1" s="188"/>
      <c r="G1" s="188"/>
      <c r="H1" s="188"/>
      <c r="I1" s="188"/>
      <c r="J1" s="188"/>
    </row>
    <row r="2" spans="1:10" ht="31.5" customHeight="1">
      <c r="A2" s="189" t="s">
        <v>1024</v>
      </c>
      <c r="B2" s="189"/>
      <c r="C2" s="189"/>
      <c r="D2" s="189"/>
      <c r="E2" s="189"/>
      <c r="F2" s="189"/>
      <c r="G2" s="189"/>
      <c r="H2" s="189"/>
      <c r="I2" s="189"/>
      <c r="J2" s="189"/>
    </row>
    <row r="4" spans="1:10" ht="15" customHeight="1">
      <c r="A4" s="58" t="s">
        <v>1025</v>
      </c>
      <c r="B4" s="58" t="s">
        <v>1026</v>
      </c>
      <c r="C4" s="58" t="s">
        <v>1027</v>
      </c>
      <c r="D4" s="58" t="s">
        <v>4</v>
      </c>
      <c r="E4" s="58" t="s">
        <v>234</v>
      </c>
      <c r="F4" s="58" t="s">
        <v>1028</v>
      </c>
      <c r="G4" s="58" t="s">
        <v>500</v>
      </c>
      <c r="H4" s="58" t="s">
        <v>285</v>
      </c>
      <c r="I4" s="58" t="s">
        <v>1029</v>
      </c>
      <c r="J4" s="58" t="s">
        <v>504</v>
      </c>
    </row>
    <row r="5" spans="1:10" ht="24" customHeight="1">
      <c r="A5" s="84" t="s">
        <v>1030</v>
      </c>
      <c r="B5" s="57" t="str">
        <f>Cálculos!C52</f>
        <v>OMS 2007 · 61–228 meses</v>
      </c>
      <c r="C5" s="57" t="s">
        <v>1031</v>
      </c>
      <c r="D5" s="57" t="str">
        <f>IF(Cálculos!C6&lt;=60,"2006",IF(Cálculos!C6&lt;=228,"2007","FUERA_DE_DOMINIO"))</f>
        <v>2007</v>
      </c>
      <c r="E5" s="57" t="s">
        <v>62</v>
      </c>
      <c r="F5" s="57" t="s">
        <v>942</v>
      </c>
      <c r="G5" s="57" t="str">
        <f>Ingreso!C3</f>
        <v>Masculino</v>
      </c>
      <c r="H5" s="57" t="s">
        <v>693</v>
      </c>
      <c r="I5" s="57" t="s">
        <v>1032</v>
      </c>
      <c r="J5" s="85" t="str">
        <f>IF(Ingreso!C16="GENERAL","APLICA",IF(Ingreso!C16="PREMATURIDAD","APLICA_CON_EDAD_CORREGIDA","NO_APLICA"))</f>
        <v>APLICA</v>
      </c>
    </row>
    <row r="6" spans="1:10" ht="24" customHeight="1">
      <c r="A6" s="84" t="s">
        <v>1033</v>
      </c>
      <c r="B6" s="57" t="s">
        <v>1034</v>
      </c>
      <c r="C6" s="57" t="s">
        <v>1035</v>
      </c>
      <c r="D6" s="57" t="s">
        <v>1036</v>
      </c>
      <c r="E6" s="57" t="s">
        <v>1037</v>
      </c>
      <c r="F6" s="57" t="s">
        <v>728</v>
      </c>
      <c r="G6" s="57" t="s">
        <v>610</v>
      </c>
      <c r="H6" s="57" t="s">
        <v>1038</v>
      </c>
      <c r="I6" s="57" t="s">
        <v>1039</v>
      </c>
      <c r="J6" s="85" t="s">
        <v>1040</v>
      </c>
    </row>
    <row r="7" spans="1:10" ht="24" customHeight="1">
      <c r="A7" s="84" t="s">
        <v>1041</v>
      </c>
      <c r="B7" s="57" t="s">
        <v>1042</v>
      </c>
      <c r="C7" s="57" t="s">
        <v>1043</v>
      </c>
      <c r="D7" s="57" t="s">
        <v>1001</v>
      </c>
      <c r="E7" s="57" t="s">
        <v>1044</v>
      </c>
      <c r="F7" s="57" t="s">
        <v>260</v>
      </c>
      <c r="G7" s="57" t="s">
        <v>755</v>
      </c>
      <c r="H7" s="57" t="s">
        <v>1045</v>
      </c>
      <c r="I7" s="57" t="s">
        <v>1046</v>
      </c>
      <c r="J7" s="85" t="str">
        <f>IF(AND(OR(Ingreso!C16="GENERAL",Ingreso!C16="PREMATURIDAD"),Cálculos!C6&gt;=0,Cálculos!C6&lt;=60),"APLICA","NO_APLICA")</f>
        <v>NO_APLICA</v>
      </c>
    </row>
    <row r="8" spans="1:10" ht="24" customHeight="1">
      <c r="A8" s="84" t="s">
        <v>1047</v>
      </c>
      <c r="B8" s="57" t="s">
        <v>1048</v>
      </c>
      <c r="C8" s="57" t="s">
        <v>1049</v>
      </c>
      <c r="D8" s="57" t="s">
        <v>1016</v>
      </c>
      <c r="E8" s="57" t="s">
        <v>1050</v>
      </c>
      <c r="F8" s="57" t="s">
        <v>264</v>
      </c>
      <c r="G8" s="57" t="s">
        <v>755</v>
      </c>
      <c r="H8" s="57" t="s">
        <v>1051</v>
      </c>
      <c r="I8" s="57" t="s">
        <v>1052</v>
      </c>
      <c r="J8" s="85" t="str">
        <f>IF(AND(OR(Ingreso!C16="GENERAL",Ingreso!C16="PREMATURIDAD"),Cálculos!C6&gt;=61,Cálculos!C6&lt;=228),"APLICA","NO_APLICA")</f>
        <v>APLICA</v>
      </c>
    </row>
    <row r="9" spans="1:10" ht="24" customHeight="1">
      <c r="A9" s="84" t="s">
        <v>1053</v>
      </c>
      <c r="B9" s="57" t="str">
        <f>Interpretación!E9</f>
        <v>Normal</v>
      </c>
      <c r="C9" s="57" t="s">
        <v>181</v>
      </c>
      <c r="D9" s="57" t="s">
        <v>1054</v>
      </c>
      <c r="E9" s="57" t="s">
        <v>1055</v>
      </c>
      <c r="F9" s="57" t="s">
        <v>1056</v>
      </c>
      <c r="G9" s="57" t="str">
        <f>Ingreso!C3</f>
        <v>Masculino</v>
      </c>
      <c r="H9" s="57" t="s">
        <v>1057</v>
      </c>
      <c r="I9" s="57" t="s">
        <v>1058</v>
      </c>
      <c r="J9" s="85" t="str">
        <f>IF(OR(Ingreso!C16="GENERAL",Ingreso!C16="PREMATURIDAD"),IF(Interpretación!E9="","PENDIENTE_DATO","APLICA"),"NO_APLICA")</f>
        <v>APLICA</v>
      </c>
    </row>
    <row r="10" spans="1:10" ht="24" customHeight="1">
      <c r="A10" s="84" t="s">
        <v>1059</v>
      </c>
      <c r="B10" s="57" t="s">
        <v>1060</v>
      </c>
      <c r="C10" s="57" t="s">
        <v>1035</v>
      </c>
      <c r="D10" s="57" t="s">
        <v>1036</v>
      </c>
      <c r="E10" s="57" t="s">
        <v>1061</v>
      </c>
      <c r="F10" s="57" t="s">
        <v>1062</v>
      </c>
      <c r="G10" s="57" t="s">
        <v>610</v>
      </c>
      <c r="H10" s="57" t="s">
        <v>1063</v>
      </c>
      <c r="I10" s="57" t="s">
        <v>1064</v>
      </c>
      <c r="J10" s="85" t="s">
        <v>1065</v>
      </c>
    </row>
  </sheetData>
  <mergeCells count="2">
    <mergeCell ref="A1:J1"/>
    <mergeCell ref="A2:J2"/>
  </mergeCells>
  <conditionalFormatting sqref="J5:J10">
    <cfRule type="expression" dxfId="12" priority="2">
      <formula>OR(J5="REFERENCIA_NO_IMPLEMENTADA",J5="PENDIENTE_FUENTE",J5="NO_IMPLEMENTAR")</formula>
    </cfRule>
    <cfRule type="expression" dxfId="11" priority="3">
      <formula>OR(J5="APLICA",J5="IMPLEMENTADO",J5="VERIFICADO",J5="APLICA_CON_EDAD_CORREGIDA")</formula>
    </cfRule>
  </conditionalFormatting>
  <pageMargins left="0.7" right="0.7" top="0.75" bottom="0.75" header="0.511811023622047" footer="0.511811023622047"/>
  <pageSetup paperSize="9" orientation="portrait" horizontalDpi="300" verticalDpi="300"/>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F00-000000000000}">
  <dimension ref="A1:J10"/>
  <sheetViews>
    <sheetView zoomScaleNormal="100" workbookViewId="0"/>
  </sheetViews>
  <sheetFormatPr baseColWidth="10" defaultColWidth="9.140625" defaultRowHeight="15"/>
  <cols>
    <col min="1" max="1" width="14" style="1" customWidth="1"/>
    <col min="2" max="3" width="24" style="1" customWidth="1"/>
    <col min="4" max="4" width="16" style="1" customWidth="1"/>
    <col min="5" max="5" width="20" style="1" customWidth="1"/>
    <col min="6" max="6" width="17" style="1" customWidth="1"/>
    <col min="7" max="7" width="13" style="1" customWidth="1"/>
    <col min="8" max="8" width="34" style="1" customWidth="1"/>
    <col min="9" max="9" width="38" style="1" customWidth="1"/>
    <col min="10" max="10" width="26" style="1" customWidth="1"/>
  </cols>
  <sheetData>
    <row r="1" spans="1:10" ht="27.75" customHeight="1">
      <c r="A1" s="188" t="s">
        <v>1066</v>
      </c>
      <c r="B1" s="188"/>
      <c r="C1" s="188"/>
      <c r="D1" s="188"/>
      <c r="E1" s="188"/>
      <c r="F1" s="188"/>
      <c r="G1" s="188"/>
      <c r="H1" s="188"/>
      <c r="I1" s="188"/>
      <c r="J1" s="188"/>
    </row>
    <row r="2" spans="1:10" ht="31.5" customHeight="1">
      <c r="A2" s="189" t="s">
        <v>1067</v>
      </c>
      <c r="B2" s="189"/>
      <c r="C2" s="189"/>
      <c r="D2" s="189"/>
      <c r="E2" s="189"/>
      <c r="F2" s="189"/>
      <c r="G2" s="189"/>
      <c r="H2" s="189"/>
      <c r="I2" s="189"/>
      <c r="J2" s="189"/>
    </row>
    <row r="4" spans="1:10" ht="15" customHeight="1">
      <c r="A4" s="58" t="s">
        <v>1025</v>
      </c>
      <c r="B4" s="58" t="s">
        <v>1026</v>
      </c>
      <c r="C4" s="58" t="s">
        <v>1027</v>
      </c>
      <c r="D4" s="58" t="s">
        <v>4</v>
      </c>
      <c r="E4" s="58" t="s">
        <v>234</v>
      </c>
      <c r="F4" s="58" t="s">
        <v>1028</v>
      </c>
      <c r="G4" s="58" t="s">
        <v>500</v>
      </c>
      <c r="H4" s="58" t="s">
        <v>285</v>
      </c>
      <c r="I4" s="58" t="s">
        <v>1029</v>
      </c>
      <c r="J4" s="58" t="s">
        <v>504</v>
      </c>
    </row>
    <row r="5" spans="1:10" ht="24" customHeight="1">
      <c r="A5" s="84" t="s">
        <v>768</v>
      </c>
      <c r="B5" s="57" t="str">
        <f>Cálculos!C44</f>
        <v>NO_APLICA</v>
      </c>
      <c r="C5" s="57" t="s">
        <v>733</v>
      </c>
      <c r="D5" s="57" t="s">
        <v>1068</v>
      </c>
      <c r="E5" s="57" t="s">
        <v>1069</v>
      </c>
      <c r="F5" s="57" t="s">
        <v>1070</v>
      </c>
      <c r="G5" s="57" t="s">
        <v>610</v>
      </c>
      <c r="H5" s="57" t="s">
        <v>1071</v>
      </c>
      <c r="I5" s="57" t="s">
        <v>1072</v>
      </c>
      <c r="J5" s="85" t="s">
        <v>1073</v>
      </c>
    </row>
    <row r="6" spans="1:10" ht="24" customHeight="1">
      <c r="A6" s="84" t="s">
        <v>776</v>
      </c>
      <c r="B6" s="57" t="str">
        <f>Cálculos!C51</f>
        <v>EDAD_CRONOLÓGICA</v>
      </c>
      <c r="C6" s="57" t="s">
        <v>1074</v>
      </c>
      <c r="D6" s="57" t="s">
        <v>1075</v>
      </c>
      <c r="E6" s="57" t="s">
        <v>1069</v>
      </c>
      <c r="F6" s="57" t="s">
        <v>790</v>
      </c>
      <c r="G6" s="57" t="s">
        <v>610</v>
      </c>
      <c r="H6" s="57" t="s">
        <v>1076</v>
      </c>
      <c r="I6" s="57" t="s">
        <v>1077</v>
      </c>
      <c r="J6" s="85" t="s">
        <v>616</v>
      </c>
    </row>
    <row r="7" spans="1:10" ht="24" customHeight="1">
      <c r="A7" s="84" t="s">
        <v>782</v>
      </c>
      <c r="B7" s="57" t="s">
        <v>1078</v>
      </c>
      <c r="C7" s="57" t="s">
        <v>1035</v>
      </c>
      <c r="D7" s="57" t="s">
        <v>1036</v>
      </c>
      <c r="E7" s="57" t="s">
        <v>1079</v>
      </c>
      <c r="F7" s="57" t="s">
        <v>1080</v>
      </c>
      <c r="G7" s="57" t="s">
        <v>610</v>
      </c>
      <c r="H7" s="57" t="s">
        <v>1081</v>
      </c>
      <c r="I7" s="57" t="s">
        <v>1082</v>
      </c>
      <c r="J7" s="85" t="s">
        <v>1083</v>
      </c>
    </row>
    <row r="8" spans="1:10" ht="24" customHeight="1">
      <c r="A8" s="84" t="s">
        <v>788</v>
      </c>
      <c r="B8" s="57" t="s">
        <v>1084</v>
      </c>
      <c r="C8" s="57" t="s">
        <v>1085</v>
      </c>
      <c r="D8" s="57" t="s">
        <v>1036</v>
      </c>
      <c r="E8" s="57" t="s">
        <v>1079</v>
      </c>
      <c r="F8" s="57" t="s">
        <v>1080</v>
      </c>
      <c r="G8" s="57" t="s">
        <v>610</v>
      </c>
      <c r="H8" s="57" t="s">
        <v>1086</v>
      </c>
      <c r="I8" s="57" t="s">
        <v>1087</v>
      </c>
      <c r="J8" s="85" t="s">
        <v>1083</v>
      </c>
    </row>
    <row r="9" spans="1:10" ht="24" customHeight="1">
      <c r="A9" s="84" t="s">
        <v>726</v>
      </c>
      <c r="B9" s="57" t="s">
        <v>1088</v>
      </c>
      <c r="C9" s="57" t="s">
        <v>1089</v>
      </c>
      <c r="D9" s="57" t="s">
        <v>1090</v>
      </c>
      <c r="E9" s="57" t="s">
        <v>1091</v>
      </c>
      <c r="F9" s="57" t="s">
        <v>1092</v>
      </c>
      <c r="G9" s="57" t="s">
        <v>610</v>
      </c>
      <c r="H9" s="57" t="s">
        <v>1093</v>
      </c>
      <c r="I9" s="57" t="s">
        <v>1094</v>
      </c>
      <c r="J9" s="85" t="s">
        <v>750</v>
      </c>
    </row>
    <row r="10" spans="1:10" ht="15" customHeight="1">
      <c r="A10" s="84" t="s">
        <v>1095</v>
      </c>
      <c r="B10" s="57" t="s">
        <v>1096</v>
      </c>
      <c r="C10" s="57" t="s">
        <v>1097</v>
      </c>
      <c r="D10" s="57" t="s">
        <v>1098</v>
      </c>
      <c r="E10" s="57" t="s">
        <v>1037</v>
      </c>
      <c r="F10" s="57" t="s">
        <v>1092</v>
      </c>
      <c r="G10" s="57" t="s">
        <v>610</v>
      </c>
      <c r="H10" s="57" t="s">
        <v>1099</v>
      </c>
      <c r="I10" s="57" t="s">
        <v>1100</v>
      </c>
      <c r="J10" s="85" t="s">
        <v>750</v>
      </c>
    </row>
  </sheetData>
  <mergeCells count="2">
    <mergeCell ref="A1:J1"/>
    <mergeCell ref="A2:J2"/>
  </mergeCells>
  <conditionalFormatting sqref="J5:J10">
    <cfRule type="expression" dxfId="10" priority="2">
      <formula>OR(J5="REFERENCIA_NO_IMPLEMENTADA",J5="PENDIENTE_FUENTE",J5="NO_IMPLEMENTAR")</formula>
    </cfRule>
    <cfRule type="expression" dxfId="9" priority="3">
      <formula>OR(J5="APLICA",J5="IMPLEMENTADO",J5="VERIFICADO",J5="APLICA_CON_EDAD_CORREGIDA")</formula>
    </cfRule>
  </conditionalFormatting>
  <pageMargins left="0.7" right="0.7" top="0.75" bottom="0.75" header="0.511811023622047" footer="0.511811023622047"/>
  <pageSetup paperSize="9" orientation="portrait" horizontalDpi="300" verticalDpi="300"/>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000-000000000000}">
  <dimension ref="A1:J8"/>
  <sheetViews>
    <sheetView zoomScaleNormal="100" workbookViewId="0"/>
  </sheetViews>
  <sheetFormatPr baseColWidth="10" defaultColWidth="9.140625" defaultRowHeight="15"/>
  <cols>
    <col min="1" max="1" width="14" style="1" customWidth="1"/>
    <col min="2" max="3" width="24" style="1" customWidth="1"/>
    <col min="4" max="4" width="16" style="1" customWidth="1"/>
    <col min="5" max="5" width="20" style="1" customWidth="1"/>
    <col min="6" max="6" width="17" style="1" customWidth="1"/>
    <col min="7" max="7" width="13" style="1" customWidth="1"/>
    <col min="8" max="8" width="34" style="1" customWidth="1"/>
    <col min="9" max="9" width="38" style="1" customWidth="1"/>
    <col min="10" max="10" width="26" style="1" customWidth="1"/>
  </cols>
  <sheetData>
    <row r="1" spans="1:10" ht="27.75" customHeight="1">
      <c r="A1" s="188" t="s">
        <v>1101</v>
      </c>
      <c r="B1" s="188"/>
      <c r="C1" s="188"/>
      <c r="D1" s="188"/>
      <c r="E1" s="188"/>
      <c r="F1" s="188"/>
      <c r="G1" s="188"/>
      <c r="H1" s="188"/>
      <c r="I1" s="188"/>
      <c r="J1" s="188"/>
    </row>
    <row r="2" spans="1:10" ht="31.5" customHeight="1">
      <c r="A2" s="189" t="s">
        <v>1102</v>
      </c>
      <c r="B2" s="189"/>
      <c r="C2" s="189"/>
      <c r="D2" s="189"/>
      <c r="E2" s="189"/>
      <c r="F2" s="189"/>
      <c r="G2" s="189"/>
      <c r="H2" s="189"/>
      <c r="I2" s="189"/>
      <c r="J2" s="189"/>
    </row>
    <row r="4" spans="1:10" ht="15" customHeight="1">
      <c r="A4" s="58" t="s">
        <v>1025</v>
      </c>
      <c r="B4" s="58" t="s">
        <v>1026</v>
      </c>
      <c r="C4" s="58" t="s">
        <v>1027</v>
      </c>
      <c r="D4" s="58" t="s">
        <v>4</v>
      </c>
      <c r="E4" s="58" t="s">
        <v>234</v>
      </c>
      <c r="F4" s="58" t="s">
        <v>1028</v>
      </c>
      <c r="G4" s="58" t="s">
        <v>500</v>
      </c>
      <c r="H4" s="58" t="s">
        <v>285</v>
      </c>
      <c r="I4" s="58" t="s">
        <v>1029</v>
      </c>
      <c r="J4" s="58" t="s">
        <v>504</v>
      </c>
    </row>
    <row r="5" spans="1:10" ht="24" customHeight="1">
      <c r="A5" s="84" t="s">
        <v>1103</v>
      </c>
      <c r="B5" s="57" t="str">
        <f>Interpretación!C6</f>
        <v/>
      </c>
      <c r="C5" s="57" t="s">
        <v>1043</v>
      </c>
      <c r="D5" s="57" t="s">
        <v>1001</v>
      </c>
      <c r="E5" s="57" t="s">
        <v>1055</v>
      </c>
      <c r="F5" s="57" t="s">
        <v>1104</v>
      </c>
      <c r="G5" s="57" t="s">
        <v>755</v>
      </c>
      <c r="H5" s="57" t="s">
        <v>1105</v>
      </c>
      <c r="I5" s="57" t="s">
        <v>1106</v>
      </c>
      <c r="J5" s="85" t="s">
        <v>616</v>
      </c>
    </row>
    <row r="6" spans="1:10" ht="24" customHeight="1">
      <c r="A6" s="84" t="s">
        <v>1107</v>
      </c>
      <c r="B6" s="57" t="str">
        <f>Interpretación!E6</f>
        <v/>
      </c>
      <c r="C6" s="57" t="s">
        <v>1108</v>
      </c>
      <c r="D6" s="57" t="s">
        <v>1109</v>
      </c>
      <c r="E6" s="57" t="s">
        <v>1055</v>
      </c>
      <c r="F6" s="57" t="s">
        <v>1110</v>
      </c>
      <c r="G6" s="57" t="s">
        <v>755</v>
      </c>
      <c r="H6" s="57" t="s">
        <v>1111</v>
      </c>
      <c r="I6" s="57" t="s">
        <v>1112</v>
      </c>
      <c r="J6" s="85" t="s">
        <v>616</v>
      </c>
    </row>
    <row r="7" spans="1:10" ht="24" customHeight="1">
      <c r="A7" s="84" t="s">
        <v>760</v>
      </c>
      <c r="B7" s="57" t="s">
        <v>1113</v>
      </c>
      <c r="C7" s="57" t="s">
        <v>1114</v>
      </c>
      <c r="D7" s="57" t="s">
        <v>1036</v>
      </c>
      <c r="E7" s="57" t="s">
        <v>1115</v>
      </c>
      <c r="F7" s="57" t="s">
        <v>1116</v>
      </c>
      <c r="G7" s="57" t="s">
        <v>610</v>
      </c>
      <c r="H7" s="57" t="s">
        <v>1117</v>
      </c>
      <c r="I7" s="57" t="s">
        <v>1118</v>
      </c>
      <c r="J7" s="85" t="s">
        <v>1065</v>
      </c>
    </row>
    <row r="8" spans="1:10" ht="24" customHeight="1">
      <c r="A8" s="84" t="s">
        <v>1119</v>
      </c>
      <c r="B8" s="57" t="str">
        <f>PCE_CORRECCION_TALLA!B22</f>
        <v/>
      </c>
      <c r="C8" s="57" t="s">
        <v>1120</v>
      </c>
      <c r="D8" s="57" t="s">
        <v>1121</v>
      </c>
      <c r="E8" s="57" t="s">
        <v>1122</v>
      </c>
      <c r="F8" s="57" t="s">
        <v>260</v>
      </c>
      <c r="G8" s="57" t="s">
        <v>610</v>
      </c>
      <c r="H8" s="57" t="s">
        <v>1123</v>
      </c>
      <c r="I8" s="57" t="s">
        <v>1124</v>
      </c>
      <c r="J8" s="85" t="s">
        <v>695</v>
      </c>
    </row>
  </sheetData>
  <mergeCells count="2">
    <mergeCell ref="A1:J1"/>
    <mergeCell ref="A2:J2"/>
  </mergeCells>
  <conditionalFormatting sqref="J5:J8">
    <cfRule type="expression" dxfId="8" priority="2">
      <formula>OR(J5="REFERENCIA_NO_IMPLEMENTADA",J5="PENDIENTE_FUENTE",J5="NO_IMPLEMENTAR")</formula>
    </cfRule>
    <cfRule type="expression" dxfId="7" priority="3">
      <formula>OR(J5="APLICA",J5="IMPLEMENTADO",J5="VERIFICADO",J5="APLICA_CON_EDAD_CORREGIDA")</formula>
    </cfRule>
  </conditionalFormatting>
  <pageMargins left="0.7" right="0.7" top="0.75" bottom="0.75" header="0.511811023622047" footer="0.511811023622047"/>
  <pageSetup paperSize="9" orientation="portrait" horizontalDpi="300" verticalDpi="300"/>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100-000000000000}">
  <dimension ref="A1:J8"/>
  <sheetViews>
    <sheetView zoomScaleNormal="100" workbookViewId="0"/>
  </sheetViews>
  <sheetFormatPr baseColWidth="10" defaultColWidth="9.140625" defaultRowHeight="15"/>
  <cols>
    <col min="1" max="1" width="14" style="1" customWidth="1"/>
    <col min="2" max="3" width="24" style="1" customWidth="1"/>
    <col min="4" max="4" width="16" style="1" customWidth="1"/>
    <col min="5" max="5" width="20" style="1" customWidth="1"/>
    <col min="6" max="6" width="17" style="1" customWidth="1"/>
    <col min="7" max="7" width="13" style="1" customWidth="1"/>
    <col min="8" max="8" width="34" style="1" customWidth="1"/>
    <col min="9" max="9" width="38" style="1" customWidth="1"/>
    <col min="10" max="10" width="26" style="1" customWidth="1"/>
  </cols>
  <sheetData>
    <row r="1" spans="1:10" ht="27.75" customHeight="1">
      <c r="A1" s="188" t="s">
        <v>1125</v>
      </c>
      <c r="B1" s="188"/>
      <c r="C1" s="188"/>
      <c r="D1" s="188"/>
      <c r="E1" s="188"/>
      <c r="F1" s="188"/>
      <c r="G1" s="188"/>
      <c r="H1" s="188"/>
      <c r="I1" s="188"/>
      <c r="J1" s="188"/>
    </row>
    <row r="2" spans="1:10" ht="31.5" customHeight="1">
      <c r="A2" s="189" t="s">
        <v>1126</v>
      </c>
      <c r="B2" s="189"/>
      <c r="C2" s="189"/>
      <c r="D2" s="189"/>
      <c r="E2" s="189"/>
      <c r="F2" s="189"/>
      <c r="G2" s="189"/>
      <c r="H2" s="189"/>
      <c r="I2" s="189"/>
      <c r="J2" s="189"/>
    </row>
    <row r="4" spans="1:10" ht="15" customHeight="1">
      <c r="A4" s="58" t="s">
        <v>1025</v>
      </c>
      <c r="B4" s="58" t="s">
        <v>1026</v>
      </c>
      <c r="C4" s="58" t="s">
        <v>1027</v>
      </c>
      <c r="D4" s="58" t="s">
        <v>4</v>
      </c>
      <c r="E4" s="58" t="s">
        <v>234</v>
      </c>
      <c r="F4" s="58" t="s">
        <v>1028</v>
      </c>
      <c r="G4" s="58" t="s">
        <v>500</v>
      </c>
      <c r="H4" s="58" t="s">
        <v>285</v>
      </c>
      <c r="I4" s="58" t="s">
        <v>1029</v>
      </c>
      <c r="J4" s="58" t="s">
        <v>504</v>
      </c>
    </row>
    <row r="5" spans="1:10" ht="24" customHeight="1">
      <c r="A5" s="84" t="s">
        <v>736</v>
      </c>
      <c r="B5" s="57" t="str">
        <f>IF(Ingreso!C16="SINDROME_DOWN","MOTOR_DOWN_INTEGRADO","NO_APLICA")</f>
        <v>NO_APLICA</v>
      </c>
      <c r="C5" s="57" t="s">
        <v>733</v>
      </c>
      <c r="D5" s="57" t="s">
        <v>1127</v>
      </c>
      <c r="E5" s="57" t="s">
        <v>1128</v>
      </c>
      <c r="F5" s="57" t="s">
        <v>250</v>
      </c>
      <c r="G5" s="57" t="s">
        <v>755</v>
      </c>
      <c r="H5" s="57" t="s">
        <v>1129</v>
      </c>
      <c r="I5" s="57" t="s">
        <v>1130</v>
      </c>
      <c r="J5" s="85" t="s">
        <v>616</v>
      </c>
    </row>
    <row r="6" spans="1:10" ht="24" customHeight="1">
      <c r="A6" s="84" t="s">
        <v>1131</v>
      </c>
      <c r="B6" s="57" t="s">
        <v>1132</v>
      </c>
      <c r="C6" s="57" t="s">
        <v>1133</v>
      </c>
      <c r="D6" s="57" t="s">
        <v>1134</v>
      </c>
      <c r="E6" s="57" t="s">
        <v>202</v>
      </c>
      <c r="F6" s="57" t="s">
        <v>1135</v>
      </c>
      <c r="G6" s="57" t="s">
        <v>755</v>
      </c>
      <c r="H6" s="57" t="s">
        <v>1136</v>
      </c>
      <c r="I6" s="57" t="s">
        <v>1137</v>
      </c>
      <c r="J6" s="85" t="s">
        <v>878</v>
      </c>
    </row>
    <row r="7" spans="1:10" ht="36" customHeight="1">
      <c r="A7" s="84" t="s">
        <v>1138</v>
      </c>
      <c r="B7" s="57" t="s">
        <v>1139</v>
      </c>
      <c r="C7" s="57" t="s">
        <v>1114</v>
      </c>
      <c r="D7" s="57" t="s">
        <v>1036</v>
      </c>
      <c r="E7" s="57" t="s">
        <v>202</v>
      </c>
      <c r="F7" s="57" t="s">
        <v>902</v>
      </c>
      <c r="G7" s="57" t="s">
        <v>610</v>
      </c>
      <c r="H7" s="57" t="s">
        <v>1140</v>
      </c>
      <c r="I7" s="57" t="s">
        <v>1141</v>
      </c>
      <c r="J7" s="85" t="s">
        <v>1040</v>
      </c>
    </row>
    <row r="8" spans="1:10" ht="15" customHeight="1">
      <c r="A8" s="84" t="s">
        <v>1142</v>
      </c>
      <c r="B8" s="57" t="str">
        <f>IF(Ingreso!C16="SINDROME_DOWN",DOWN_INTEGRADO!B16,"NO_APLICA")</f>
        <v>NO_APLICA</v>
      </c>
      <c r="C8" s="57" t="s">
        <v>1143</v>
      </c>
      <c r="D8" s="57" t="s">
        <v>1075</v>
      </c>
      <c r="E8" s="57" t="s">
        <v>1128</v>
      </c>
      <c r="F8" s="57" t="s">
        <v>942</v>
      </c>
      <c r="G8" s="57" t="s">
        <v>755</v>
      </c>
      <c r="H8" s="57" t="s">
        <v>1144</v>
      </c>
      <c r="I8" s="57" t="s">
        <v>1145</v>
      </c>
      <c r="J8" s="85" t="s">
        <v>616</v>
      </c>
    </row>
  </sheetData>
  <mergeCells count="2">
    <mergeCell ref="A1:J1"/>
    <mergeCell ref="A2:J2"/>
  </mergeCells>
  <conditionalFormatting sqref="J5:J8">
    <cfRule type="expression" dxfId="6" priority="2">
      <formula>OR(J5="REFERENCIA_NO_IMPLEMENTADA",J5="PENDIENTE_FUENTE",J5="NO_IMPLEMENTAR")</formula>
    </cfRule>
    <cfRule type="expression" dxfId="5" priority="3">
      <formula>OR(J5="APLICA",J5="IMPLEMENTADO",J5="VERIFICADO",J5="APLICA_CON_EDAD_CORREGIDA")</formula>
    </cfRule>
  </conditionalFormatting>
  <pageMargins left="0.7" right="0.7" top="0.75" bottom="0.75" header="0.511811023622047" footer="0.511811023622047"/>
  <pageSetup paperSize="9" orientation="portrait" horizontalDpi="300" verticalDpi="300"/>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200-000000000000}">
  <dimension ref="A1:J13"/>
  <sheetViews>
    <sheetView zoomScaleNormal="100" workbookViewId="0"/>
  </sheetViews>
  <sheetFormatPr baseColWidth="10" defaultColWidth="9.140625" defaultRowHeight="15"/>
  <cols>
    <col min="1" max="1" width="14" style="1" customWidth="1"/>
    <col min="2" max="3" width="24" style="1" customWidth="1"/>
    <col min="4" max="4" width="16" style="1" customWidth="1"/>
    <col min="5" max="5" width="20" style="1" customWidth="1"/>
    <col min="6" max="6" width="17" style="1" customWidth="1"/>
    <col min="7" max="7" width="13" style="1" customWidth="1"/>
    <col min="8" max="8" width="34" style="1" customWidth="1"/>
    <col min="9" max="9" width="38" style="1" customWidth="1"/>
    <col min="10" max="10" width="26" style="1" customWidth="1"/>
  </cols>
  <sheetData>
    <row r="1" spans="1:10" ht="27.75" customHeight="1">
      <c r="A1" s="188" t="s">
        <v>1146</v>
      </c>
      <c r="B1" s="188"/>
      <c r="C1" s="188"/>
      <c r="D1" s="188"/>
      <c r="E1" s="188"/>
      <c r="F1" s="188"/>
      <c r="G1" s="188"/>
      <c r="H1" s="188"/>
      <c r="I1" s="188"/>
      <c r="J1" s="188"/>
    </row>
    <row r="2" spans="1:10" ht="31.5" customHeight="1">
      <c r="A2" s="189" t="s">
        <v>1147</v>
      </c>
      <c r="B2" s="189"/>
      <c r="C2" s="189"/>
      <c r="D2" s="189"/>
      <c r="E2" s="189"/>
      <c r="F2" s="189"/>
      <c r="G2" s="189"/>
      <c r="H2" s="189"/>
      <c r="I2" s="189"/>
      <c r="J2" s="189"/>
    </row>
    <row r="4" spans="1:10" ht="15" customHeight="1">
      <c r="A4" s="58" t="s">
        <v>1025</v>
      </c>
      <c r="B4" s="58" t="s">
        <v>1026</v>
      </c>
      <c r="C4" s="58" t="s">
        <v>1027</v>
      </c>
      <c r="D4" s="58" t="s">
        <v>4</v>
      </c>
      <c r="E4" s="58" t="s">
        <v>234</v>
      </c>
      <c r="F4" s="58" t="s">
        <v>1028</v>
      </c>
      <c r="G4" s="58" t="s">
        <v>500</v>
      </c>
      <c r="H4" s="58" t="s">
        <v>285</v>
      </c>
      <c r="I4" s="58" t="s">
        <v>1029</v>
      </c>
      <c r="J4" s="58" t="s">
        <v>504</v>
      </c>
    </row>
    <row r="5" spans="1:10" ht="15" customHeight="1">
      <c r="A5" s="84" t="s">
        <v>696</v>
      </c>
      <c r="B5" s="57" t="str">
        <f>IF(Ingreso!C16="PARALISIS_CEREBRAL","CURVAS_GENERALES_BLOQUEADAS","NO_APLICA")</f>
        <v>NO_APLICA</v>
      </c>
      <c r="C5" s="57" t="s">
        <v>1148</v>
      </c>
      <c r="D5" s="57" t="s">
        <v>1149</v>
      </c>
      <c r="E5" s="57" t="s">
        <v>307</v>
      </c>
      <c r="F5" s="57" t="s">
        <v>1150</v>
      </c>
      <c r="G5" s="57" t="s">
        <v>1151</v>
      </c>
      <c r="H5" s="57" t="s">
        <v>1152</v>
      </c>
      <c r="I5" s="57" t="s">
        <v>1153</v>
      </c>
      <c r="J5" s="85" t="s">
        <v>1154</v>
      </c>
    </row>
    <row r="6" spans="1:10" ht="24" customHeight="1">
      <c r="A6" s="84" t="s">
        <v>703</v>
      </c>
      <c r="B6" s="57" t="str">
        <f>Ingreso!C18</f>
        <v>NO_REGISTRADO</v>
      </c>
      <c r="C6" s="57" t="s">
        <v>1155</v>
      </c>
      <c r="D6" s="57" t="s">
        <v>1156</v>
      </c>
      <c r="E6" s="57" t="s">
        <v>307</v>
      </c>
      <c r="F6" s="57" t="s">
        <v>1157</v>
      </c>
      <c r="G6" s="57" t="s">
        <v>610</v>
      </c>
      <c r="H6" s="57" t="s">
        <v>1158</v>
      </c>
      <c r="I6" s="57" t="s">
        <v>1159</v>
      </c>
      <c r="J6" s="85" t="s">
        <v>1160</v>
      </c>
    </row>
    <row r="7" spans="1:10" ht="24" customHeight="1">
      <c r="A7" s="84" t="s">
        <v>742</v>
      </c>
      <c r="B7" s="57" t="s">
        <v>1161</v>
      </c>
      <c r="C7" s="57" t="s">
        <v>1162</v>
      </c>
      <c r="D7" s="57" t="s">
        <v>1163</v>
      </c>
      <c r="E7" s="57" t="s">
        <v>307</v>
      </c>
      <c r="F7" s="57" t="s">
        <v>1164</v>
      </c>
      <c r="G7" s="57" t="s">
        <v>610</v>
      </c>
      <c r="H7" s="57" t="s">
        <v>1165</v>
      </c>
      <c r="I7" s="57" t="s">
        <v>1166</v>
      </c>
      <c r="J7" s="85" t="s">
        <v>1167</v>
      </c>
    </row>
    <row r="8" spans="1:10" ht="24" customHeight="1">
      <c r="A8" s="84" t="s">
        <v>1168</v>
      </c>
      <c r="B8" s="57" t="s">
        <v>1169</v>
      </c>
      <c r="C8" s="57" t="s">
        <v>1170</v>
      </c>
      <c r="D8" s="57" t="s">
        <v>1171</v>
      </c>
      <c r="E8" s="57" t="s">
        <v>307</v>
      </c>
      <c r="F8" s="57" t="s">
        <v>1172</v>
      </c>
      <c r="G8" s="57" t="s">
        <v>1173</v>
      </c>
      <c r="H8" s="57" t="s">
        <v>1174</v>
      </c>
      <c r="I8" s="57" t="s">
        <v>1175</v>
      </c>
      <c r="J8" s="85" t="s">
        <v>1176</v>
      </c>
    </row>
    <row r="10" spans="1:10" ht="25.5">
      <c r="A10" s="18" t="s">
        <v>1177</v>
      </c>
      <c r="B10" s="57" t="s">
        <v>357</v>
      </c>
    </row>
    <row r="11" spans="1:10" ht="38.25">
      <c r="A11" s="18" t="s">
        <v>1178</v>
      </c>
      <c r="B11" s="57" t="s">
        <v>1179</v>
      </c>
    </row>
    <row r="12" spans="1:10" ht="25.5">
      <c r="A12" s="18" t="s">
        <v>1155</v>
      </c>
      <c r="B12" s="57" t="s">
        <v>360</v>
      </c>
    </row>
    <row r="13" spans="1:10" ht="51">
      <c r="A13" s="18" t="s">
        <v>1180</v>
      </c>
      <c r="B13" s="57" t="s">
        <v>363</v>
      </c>
    </row>
  </sheetData>
  <mergeCells count="2">
    <mergeCell ref="A1:J1"/>
    <mergeCell ref="A2:J2"/>
  </mergeCells>
  <conditionalFormatting sqref="J5:J8">
    <cfRule type="expression" dxfId="4" priority="2">
      <formula>OR(J5="REFERENCIA_NO_IMPLEMENTADA",J5="PENDIENTE_FUENTE",J5="NO_IMPLEMENTAR")</formula>
    </cfRule>
    <cfRule type="expression" dxfId="3" priority="3">
      <formula>OR(J5="APLICA",J5="IMPLEMENTADO",J5="VERIFICADO",J5="APLICA_CON_EDAD_CORREGIDA")</formula>
    </cfRule>
  </conditionalFormatting>
  <pageMargins left="0.7" right="0.7" top="0.75" bottom="0.75" header="0.511811023622047" footer="0.511811023622047"/>
  <pageSetup paperSize="9" orientation="portrait" horizontalDpi="300" verticalDpi="300"/>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300-000000000000}">
  <dimension ref="A1:J13"/>
  <sheetViews>
    <sheetView zoomScaleNormal="100" workbookViewId="0">
      <selection sqref="A1:J1"/>
    </sheetView>
  </sheetViews>
  <sheetFormatPr baseColWidth="10" defaultColWidth="9.140625" defaultRowHeight="15"/>
  <cols>
    <col min="1" max="1" width="14" style="1" customWidth="1"/>
    <col min="2" max="3" width="24" style="1" customWidth="1"/>
    <col min="4" max="4" width="16" style="1" customWidth="1"/>
    <col min="5" max="5" width="20" style="1" customWidth="1"/>
    <col min="6" max="6" width="17" style="1" customWidth="1"/>
    <col min="7" max="7" width="13" style="1" customWidth="1"/>
    <col min="8" max="8" width="34" style="1" customWidth="1"/>
    <col min="9" max="9" width="38" style="1" customWidth="1"/>
    <col min="10" max="10" width="26" style="1" customWidth="1"/>
  </cols>
  <sheetData>
    <row r="1" spans="1:10" ht="27.75" customHeight="1">
      <c r="A1" s="188" t="s">
        <v>1181</v>
      </c>
      <c r="B1" s="188"/>
      <c r="C1" s="188"/>
      <c r="D1" s="188"/>
      <c r="E1" s="188"/>
      <c r="F1" s="188"/>
      <c r="G1" s="188"/>
      <c r="H1" s="188"/>
      <c r="I1" s="188"/>
      <c r="J1" s="188"/>
    </row>
    <row r="2" spans="1:10" ht="31.5" customHeight="1">
      <c r="A2" s="189" t="s">
        <v>1182</v>
      </c>
      <c r="B2" s="189"/>
      <c r="C2" s="189"/>
      <c r="D2" s="189"/>
      <c r="E2" s="189"/>
      <c r="F2" s="189"/>
      <c r="G2" s="189"/>
      <c r="H2" s="189"/>
      <c r="I2" s="189"/>
      <c r="J2" s="189"/>
    </row>
    <row r="4" spans="1:10" ht="15" customHeight="1">
      <c r="A4" s="58" t="s">
        <v>1025</v>
      </c>
      <c r="B4" s="58" t="s">
        <v>1026</v>
      </c>
      <c r="C4" s="58" t="s">
        <v>1027</v>
      </c>
      <c r="D4" s="58" t="s">
        <v>4</v>
      </c>
      <c r="E4" s="58" t="s">
        <v>234</v>
      </c>
      <c r="F4" s="58" t="s">
        <v>1028</v>
      </c>
      <c r="G4" s="58" t="s">
        <v>500</v>
      </c>
      <c r="H4" s="58" t="s">
        <v>285</v>
      </c>
      <c r="I4" s="58" t="s">
        <v>1029</v>
      </c>
      <c r="J4" s="58" t="s">
        <v>504</v>
      </c>
    </row>
    <row r="5" spans="1:10" ht="24" customHeight="1">
      <c r="A5" s="84" t="s">
        <v>751</v>
      </c>
      <c r="B5" s="57" t="str">
        <f>Ingreso!C17</f>
        <v>NO_EVALUADO</v>
      </c>
      <c r="C5" s="57" t="s">
        <v>733</v>
      </c>
      <c r="D5" s="57" t="s">
        <v>1127</v>
      </c>
      <c r="E5" s="57" t="s">
        <v>320</v>
      </c>
      <c r="F5" s="57" t="s">
        <v>908</v>
      </c>
      <c r="G5" s="57" t="s">
        <v>755</v>
      </c>
      <c r="H5" s="57" t="s">
        <v>1183</v>
      </c>
      <c r="I5" s="57" t="s">
        <v>1184</v>
      </c>
      <c r="J5" s="85" t="s">
        <v>1160</v>
      </c>
    </row>
    <row r="6" spans="1:10" ht="24" customHeight="1">
      <c r="A6" s="84" t="s">
        <v>1185</v>
      </c>
      <c r="B6" s="57" t="s">
        <v>1186</v>
      </c>
      <c r="C6" s="57" t="s">
        <v>1187</v>
      </c>
      <c r="D6" s="57" t="s">
        <v>1188</v>
      </c>
      <c r="E6" s="57" t="s">
        <v>320</v>
      </c>
      <c r="F6" s="57" t="s">
        <v>1189</v>
      </c>
      <c r="G6" s="57" t="s">
        <v>755</v>
      </c>
      <c r="H6" s="57" t="s">
        <v>909</v>
      </c>
      <c r="I6" s="57" t="s">
        <v>1190</v>
      </c>
      <c r="J6" s="85" t="s">
        <v>1191</v>
      </c>
    </row>
    <row r="7" spans="1:10" ht="24" customHeight="1">
      <c r="A7" s="84" t="s">
        <v>1192</v>
      </c>
      <c r="B7" s="57" t="s">
        <v>1193</v>
      </c>
      <c r="C7" s="57" t="s">
        <v>1193</v>
      </c>
      <c r="D7" s="57" t="s">
        <v>1194</v>
      </c>
      <c r="E7" s="57" t="s">
        <v>1195</v>
      </c>
      <c r="F7" s="57" t="s">
        <v>320</v>
      </c>
      <c r="G7" s="57" t="s">
        <v>755</v>
      </c>
      <c r="H7" s="57" t="s">
        <v>1196</v>
      </c>
      <c r="I7" s="57" t="s">
        <v>1197</v>
      </c>
      <c r="J7" s="85" t="s">
        <v>1198</v>
      </c>
    </row>
    <row r="8" spans="1:10" ht="24" customHeight="1">
      <c r="A8" s="84" t="s">
        <v>1199</v>
      </c>
      <c r="B8" s="57" t="s">
        <v>1200</v>
      </c>
      <c r="C8" s="57" t="s">
        <v>1201</v>
      </c>
      <c r="D8" s="57" t="s">
        <v>1202</v>
      </c>
      <c r="E8" s="57" t="s">
        <v>320</v>
      </c>
      <c r="F8" s="57" t="s">
        <v>1189</v>
      </c>
      <c r="G8" s="57" t="s">
        <v>755</v>
      </c>
      <c r="H8" s="57" t="s">
        <v>909</v>
      </c>
      <c r="I8" s="57" t="s">
        <v>1203</v>
      </c>
      <c r="J8" s="85" t="s">
        <v>759</v>
      </c>
    </row>
    <row r="10" spans="1:10" ht="25.5">
      <c r="A10" s="1" t="s">
        <v>1204</v>
      </c>
      <c r="B10" s="57" t="str">
        <f>IF(Ingreso!C23="","",Ingreso!C23)</f>
        <v/>
      </c>
      <c r="C10" s="57" t="s">
        <v>1187</v>
      </c>
      <c r="D10" s="57" t="s">
        <v>1205</v>
      </c>
      <c r="E10" s="57" t="s">
        <v>320</v>
      </c>
      <c r="F10" s="57" t="s">
        <v>908</v>
      </c>
      <c r="G10" s="57" t="s">
        <v>755</v>
      </c>
      <c r="H10" s="57" t="s">
        <v>909</v>
      </c>
      <c r="I10" s="57" t="s">
        <v>910</v>
      </c>
      <c r="J10" s="57" t="s">
        <v>1206</v>
      </c>
    </row>
    <row r="11" spans="1:10" ht="25.5">
      <c r="A11" s="1" t="s">
        <v>1207</v>
      </c>
      <c r="B11" s="57" t="str">
        <f>IF(OR(Ingreso!C23="",Cálculos!C5=""),"",ABS(Ingreso!C23-(Cálculos!C5/12)))</f>
        <v/>
      </c>
      <c r="C11" s="57" t="s">
        <v>1208</v>
      </c>
      <c r="D11" s="57" t="s">
        <v>1205</v>
      </c>
      <c r="E11" s="57" t="s">
        <v>320</v>
      </c>
      <c r="F11" s="57" t="s">
        <v>1189</v>
      </c>
      <c r="G11" s="57" t="s">
        <v>755</v>
      </c>
      <c r="H11" s="57" t="s">
        <v>909</v>
      </c>
      <c r="I11" s="57" t="s">
        <v>1209</v>
      </c>
      <c r="J11" s="57" t="s">
        <v>1206</v>
      </c>
    </row>
    <row r="12" spans="1:10">
      <c r="A12" s="1" t="s">
        <v>1210</v>
      </c>
      <c r="B12" s="57" t="str">
        <f>IF(Ingreso!C16="SINDROME_DOWN","NO_CORREGIR_EDAD_BIOLÓGICA_EN_DOWN",IF(OR(Ingreso!C23="",Cálculos!C5=""),"PENDIENTE_DATO",IF(AND(Ingreso!C3="Femenino",Cálculos!C5/12&gt;=8,Cálculos!C5/12&lt;=14),IF(B11&gt;1,"CONSIDERAR_EDAD_BIOLÓGICA","USAR_EDAD_CRONOLÓGICA"),IF(AND(Ingreso!C3="Masculino",Cálculos!C5/12&gt;=10,Cálculos!C5/12&lt;=15),IF(B11&gt;1,"CONSIDERAR_EDAD_BIOLÓGICA","USAR_EDAD_CRONOLÓGICA"),"FUERA_RANGO_RECOMENDADO"))))</f>
        <v>PENDIENTE_DATO</v>
      </c>
      <c r="C12" s="57" t="s">
        <v>1211</v>
      </c>
      <c r="D12" s="57" t="s">
        <v>1212</v>
      </c>
      <c r="E12" s="57" t="s">
        <v>320</v>
      </c>
      <c r="F12" s="57" t="s">
        <v>1189</v>
      </c>
      <c r="G12" s="57" t="s">
        <v>755</v>
      </c>
      <c r="H12" s="57" t="s">
        <v>909</v>
      </c>
      <c r="I12" s="57" t="s">
        <v>1213</v>
      </c>
      <c r="J12" s="57" t="s">
        <v>1206</v>
      </c>
    </row>
    <row r="13" spans="1:10" ht="25.5">
      <c r="A13" s="1" t="s">
        <v>1214</v>
      </c>
      <c r="B13" s="57" t="s">
        <v>1215</v>
      </c>
      <c r="C13" s="57" t="s">
        <v>733</v>
      </c>
      <c r="D13" s="57" t="s">
        <v>1075</v>
      </c>
      <c r="E13" s="57" t="s">
        <v>202</v>
      </c>
      <c r="F13" s="57" t="s">
        <v>1216</v>
      </c>
      <c r="G13" s="57" t="s">
        <v>610</v>
      </c>
      <c r="H13" s="57" t="s">
        <v>1217</v>
      </c>
      <c r="I13" s="57" t="s">
        <v>1218</v>
      </c>
      <c r="J13" s="57" t="s">
        <v>616</v>
      </c>
    </row>
  </sheetData>
  <mergeCells count="2">
    <mergeCell ref="A1:J1"/>
    <mergeCell ref="A2:J2"/>
  </mergeCells>
  <conditionalFormatting sqref="J5:J8">
    <cfRule type="expression" dxfId="2" priority="2">
      <formula>OR(J5="REFERENCIA_NO_IMPLEMENTADA",J5="PENDIENTE_FUENTE",J5="NO_IMPLEMENTAR")</formula>
    </cfRule>
    <cfRule type="expression" dxfId="1" priority="3">
      <formula>OR(J5="APLICA",J5="IMPLEMENTADO",J5="VERIFICADO",J5="APLICA_CON_EDAD_CORREGIDA")</formula>
    </cfRule>
  </conditionalFormatting>
  <pageMargins left="0.7" right="0.7" top="0.75" bottom="0.75" header="0.511811023622047" footer="0.511811023622047"/>
  <pageSetup paperSize="9" orientation="portrait" horizontalDpi="300" verticalDpi="300"/>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400-000000000000}">
  <dimension ref="A1:N20"/>
  <sheetViews>
    <sheetView zoomScaleNormal="100" workbookViewId="0"/>
  </sheetViews>
  <sheetFormatPr baseColWidth="10" defaultColWidth="9.140625" defaultRowHeight="15"/>
  <cols>
    <col min="1" max="1" width="18" style="1" customWidth="1"/>
    <col min="2" max="2" width="30" style="1" customWidth="1"/>
    <col min="3" max="3" width="28" style="1" customWidth="1"/>
    <col min="4" max="4" width="22" style="1" customWidth="1"/>
    <col min="5" max="5" width="24" style="1" customWidth="1"/>
    <col min="6" max="6" width="20" style="1" customWidth="1"/>
    <col min="7" max="7" width="12" style="1" customWidth="1"/>
    <col min="8" max="8" width="20" style="1" customWidth="1"/>
    <col min="9" max="9" width="17" style="1" customWidth="1"/>
    <col min="10" max="10" width="12" style="1" customWidth="1"/>
    <col min="11" max="11" width="34" style="1" customWidth="1"/>
    <col min="12" max="12" width="28" style="1" customWidth="1"/>
    <col min="13" max="13" width="38" style="1" customWidth="1"/>
    <col min="14" max="14" width="28" style="1" customWidth="1"/>
  </cols>
  <sheetData>
    <row r="1" spans="1:14" ht="19.5">
      <c r="A1" s="188" t="s">
        <v>1219</v>
      </c>
      <c r="B1" s="188"/>
      <c r="C1" s="188"/>
      <c r="D1" s="188"/>
      <c r="E1" s="188"/>
      <c r="F1" s="188"/>
      <c r="G1" s="188"/>
      <c r="H1" s="188"/>
      <c r="I1" s="188"/>
      <c r="J1" s="188"/>
      <c r="K1" s="188"/>
      <c r="L1" s="188"/>
      <c r="M1" s="188"/>
      <c r="N1" s="188"/>
    </row>
    <row r="2" spans="1:14">
      <c r="A2" s="189" t="s">
        <v>1220</v>
      </c>
      <c r="B2" s="189"/>
      <c r="C2" s="189"/>
      <c r="D2" s="189"/>
      <c r="E2" s="189"/>
      <c r="F2" s="189"/>
      <c r="G2" s="189"/>
      <c r="H2" s="189"/>
      <c r="I2" s="189"/>
      <c r="J2" s="189"/>
      <c r="K2" s="189"/>
      <c r="L2" s="189"/>
      <c r="M2" s="189"/>
      <c r="N2" s="189"/>
    </row>
    <row r="4" spans="1:14" ht="15" customHeight="1">
      <c r="A4" s="58" t="s">
        <v>1221</v>
      </c>
      <c r="B4" s="58" t="s">
        <v>341</v>
      </c>
      <c r="C4" s="58" t="s">
        <v>1222</v>
      </c>
      <c r="D4" s="58" t="s">
        <v>1223</v>
      </c>
      <c r="E4" s="58" t="s">
        <v>1224</v>
      </c>
      <c r="F4" s="58" t="s">
        <v>1225</v>
      </c>
      <c r="G4" s="58" t="s">
        <v>1226</v>
      </c>
      <c r="H4" s="58" t="s">
        <v>234</v>
      </c>
      <c r="I4" s="58" t="s">
        <v>1227</v>
      </c>
      <c r="J4" s="58" t="s">
        <v>500</v>
      </c>
      <c r="K4" s="58" t="s">
        <v>1228</v>
      </c>
      <c r="L4" s="58" t="s">
        <v>1229</v>
      </c>
      <c r="M4" s="58" t="s">
        <v>1029</v>
      </c>
      <c r="N4" s="58" t="s">
        <v>1230</v>
      </c>
    </row>
    <row r="5" spans="1:14" ht="15" customHeight="1">
      <c r="A5" s="57" t="s">
        <v>1231</v>
      </c>
      <c r="B5" s="57" t="s">
        <v>1232</v>
      </c>
      <c r="C5" s="57" t="s">
        <v>1233</v>
      </c>
      <c r="D5" s="57" t="s">
        <v>1234</v>
      </c>
      <c r="E5" s="57" t="s">
        <v>1235</v>
      </c>
      <c r="F5" s="57" t="s">
        <v>1236</v>
      </c>
      <c r="G5" s="57">
        <v>47</v>
      </c>
      <c r="H5" s="57" t="s">
        <v>902</v>
      </c>
      <c r="I5" s="57" t="s">
        <v>1237</v>
      </c>
      <c r="J5" s="57" t="s">
        <v>610</v>
      </c>
      <c r="K5" s="57" t="s">
        <v>918</v>
      </c>
      <c r="L5" s="57" t="s">
        <v>1238</v>
      </c>
      <c r="M5" s="57" t="s">
        <v>1239</v>
      </c>
      <c r="N5" s="57" t="s">
        <v>1040</v>
      </c>
    </row>
    <row r="6" spans="1:14" ht="15" customHeight="1">
      <c r="A6" s="57" t="s">
        <v>1240</v>
      </c>
      <c r="B6" s="57" t="s">
        <v>1241</v>
      </c>
      <c r="C6" s="57" t="s">
        <v>1233</v>
      </c>
      <c r="D6" s="57" t="s">
        <v>1234</v>
      </c>
      <c r="E6" s="57" t="s">
        <v>1242</v>
      </c>
      <c r="F6" s="57" t="s">
        <v>1236</v>
      </c>
      <c r="G6" s="57">
        <v>49</v>
      </c>
      <c r="H6" s="57" t="s">
        <v>1037</v>
      </c>
      <c r="I6" s="57" t="s">
        <v>728</v>
      </c>
      <c r="J6" s="57" t="s">
        <v>610</v>
      </c>
      <c r="K6" s="57" t="s">
        <v>1243</v>
      </c>
      <c r="L6" s="57" t="s">
        <v>1244</v>
      </c>
      <c r="M6" s="57" t="s">
        <v>1245</v>
      </c>
      <c r="N6" s="57" t="s">
        <v>1040</v>
      </c>
    </row>
    <row r="7" spans="1:14" ht="24" customHeight="1">
      <c r="A7" s="57" t="s">
        <v>1246</v>
      </c>
      <c r="B7" s="57" t="s">
        <v>1044</v>
      </c>
      <c r="C7" s="57" t="s">
        <v>1233</v>
      </c>
      <c r="D7" s="57" t="s">
        <v>1234</v>
      </c>
      <c r="E7" s="57" t="s">
        <v>1247</v>
      </c>
      <c r="F7" s="57" t="s">
        <v>1236</v>
      </c>
      <c r="G7" s="57">
        <v>55</v>
      </c>
      <c r="H7" s="57" t="s">
        <v>1044</v>
      </c>
      <c r="I7" s="57" t="s">
        <v>260</v>
      </c>
      <c r="J7" s="57" t="s">
        <v>610</v>
      </c>
      <c r="K7" s="57" t="s">
        <v>1248</v>
      </c>
      <c r="L7" s="57" t="s">
        <v>1244</v>
      </c>
      <c r="M7" s="57" t="s">
        <v>1249</v>
      </c>
      <c r="N7" s="57" t="s">
        <v>616</v>
      </c>
    </row>
    <row r="8" spans="1:14" ht="24" customHeight="1">
      <c r="A8" s="57" t="s">
        <v>1250</v>
      </c>
      <c r="B8" s="57" t="s">
        <v>320</v>
      </c>
      <c r="C8" s="57" t="s">
        <v>1233</v>
      </c>
      <c r="D8" s="57" t="s">
        <v>1234</v>
      </c>
      <c r="E8" s="57" t="s">
        <v>1251</v>
      </c>
      <c r="F8" s="57" t="s">
        <v>1236</v>
      </c>
      <c r="G8" s="57">
        <v>63</v>
      </c>
      <c r="H8" s="57" t="s">
        <v>1050</v>
      </c>
      <c r="I8" s="57" t="s">
        <v>264</v>
      </c>
      <c r="J8" s="57" t="s">
        <v>610</v>
      </c>
      <c r="K8" s="57" t="s">
        <v>1248</v>
      </c>
      <c r="L8" s="57" t="s">
        <v>1244</v>
      </c>
      <c r="M8" s="57" t="s">
        <v>1249</v>
      </c>
      <c r="N8" s="57" t="s">
        <v>616</v>
      </c>
    </row>
    <row r="9" spans="1:14" ht="15" customHeight="1">
      <c r="A9" s="57" t="s">
        <v>1252</v>
      </c>
      <c r="B9" s="57" t="s">
        <v>1253</v>
      </c>
      <c r="C9" s="57" t="s">
        <v>1233</v>
      </c>
      <c r="D9" s="57" t="s">
        <v>1234</v>
      </c>
      <c r="E9" s="57" t="s">
        <v>1254</v>
      </c>
      <c r="F9" s="57" t="s">
        <v>1236</v>
      </c>
      <c r="G9" s="57">
        <v>23</v>
      </c>
      <c r="H9" s="57" t="s">
        <v>1255</v>
      </c>
      <c r="I9" s="57" t="s">
        <v>1256</v>
      </c>
      <c r="J9" s="57" t="s">
        <v>610</v>
      </c>
      <c r="K9" s="57" t="s">
        <v>1257</v>
      </c>
      <c r="L9" s="57" t="s">
        <v>1258</v>
      </c>
      <c r="M9" s="57" t="s">
        <v>1259</v>
      </c>
      <c r="N9" s="57" t="s">
        <v>1260</v>
      </c>
    </row>
    <row r="10" spans="1:14" ht="15" customHeight="1">
      <c r="A10" s="57" t="s">
        <v>1261</v>
      </c>
      <c r="B10" s="57" t="s">
        <v>1262</v>
      </c>
      <c r="C10" s="57" t="s">
        <v>1233</v>
      </c>
      <c r="D10" s="57" t="s">
        <v>1234</v>
      </c>
      <c r="E10" s="57" t="s">
        <v>1254</v>
      </c>
      <c r="F10" s="57" t="s">
        <v>1236</v>
      </c>
      <c r="G10" s="57">
        <v>24</v>
      </c>
      <c r="H10" s="57" t="s">
        <v>1263</v>
      </c>
      <c r="I10" s="57" t="s">
        <v>1264</v>
      </c>
      <c r="J10" s="57" t="s">
        <v>610</v>
      </c>
      <c r="K10" s="57" t="s">
        <v>1265</v>
      </c>
      <c r="L10" s="57" t="s">
        <v>1258</v>
      </c>
      <c r="M10" s="57" t="s">
        <v>1266</v>
      </c>
      <c r="N10" s="57" t="s">
        <v>1260</v>
      </c>
    </row>
    <row r="11" spans="1:14" ht="15" customHeight="1">
      <c r="A11" s="57" t="s">
        <v>1267</v>
      </c>
      <c r="B11" s="57" t="s">
        <v>1268</v>
      </c>
      <c r="C11" s="57" t="s">
        <v>1233</v>
      </c>
      <c r="D11" s="57" t="s">
        <v>1234</v>
      </c>
      <c r="E11" s="57" t="s">
        <v>1254</v>
      </c>
      <c r="F11" s="57" t="s">
        <v>1236</v>
      </c>
      <c r="G11" s="57">
        <v>24</v>
      </c>
      <c r="H11" s="57" t="s">
        <v>1269</v>
      </c>
      <c r="I11" s="57" t="s">
        <v>1270</v>
      </c>
      <c r="J11" s="57" t="s">
        <v>610</v>
      </c>
      <c r="K11" s="57" t="s">
        <v>1271</v>
      </c>
      <c r="L11" s="57" t="s">
        <v>1258</v>
      </c>
      <c r="M11" s="57" t="s">
        <v>1272</v>
      </c>
      <c r="N11" s="57" t="s">
        <v>1273</v>
      </c>
    </row>
    <row r="12" spans="1:14" ht="15" customHeight="1">
      <c r="A12" s="57" t="s">
        <v>1274</v>
      </c>
      <c r="B12" s="57" t="s">
        <v>697</v>
      </c>
      <c r="C12" s="57" t="s">
        <v>1275</v>
      </c>
      <c r="D12" s="57" t="s">
        <v>1234</v>
      </c>
      <c r="E12" s="57" t="s">
        <v>1276</v>
      </c>
      <c r="F12" s="57" t="s">
        <v>1236</v>
      </c>
      <c r="G12" s="57">
        <v>33</v>
      </c>
      <c r="H12" s="57" t="s">
        <v>1269</v>
      </c>
      <c r="I12" s="57" t="s">
        <v>1277</v>
      </c>
      <c r="J12" s="57" t="s">
        <v>610</v>
      </c>
      <c r="K12" s="57" t="s">
        <v>1278</v>
      </c>
      <c r="L12" s="57" t="s">
        <v>1258</v>
      </c>
      <c r="M12" s="57" t="s">
        <v>1279</v>
      </c>
      <c r="N12" s="57" t="s">
        <v>695</v>
      </c>
    </row>
    <row r="13" spans="1:14" ht="15" customHeight="1">
      <c r="A13" s="57" t="s">
        <v>1280</v>
      </c>
      <c r="B13" s="57" t="s">
        <v>1281</v>
      </c>
      <c r="C13" s="57" t="s">
        <v>1282</v>
      </c>
      <c r="D13" s="57" t="s">
        <v>1283</v>
      </c>
      <c r="E13" s="57" t="s">
        <v>1284</v>
      </c>
      <c r="F13" s="57" t="s">
        <v>1236</v>
      </c>
      <c r="G13" s="57">
        <v>52</v>
      </c>
      <c r="H13" s="57" t="s">
        <v>1079</v>
      </c>
      <c r="I13" s="57" t="s">
        <v>1080</v>
      </c>
      <c r="J13" s="57" t="s">
        <v>610</v>
      </c>
      <c r="K13" s="57" t="s">
        <v>1285</v>
      </c>
      <c r="L13" s="57" t="s">
        <v>1286</v>
      </c>
      <c r="M13" s="57" t="s">
        <v>1287</v>
      </c>
      <c r="N13" s="57" t="s">
        <v>1083</v>
      </c>
    </row>
    <row r="14" spans="1:14" ht="15" customHeight="1">
      <c r="A14" s="57" t="s">
        <v>1288</v>
      </c>
      <c r="B14" s="57" t="s">
        <v>1289</v>
      </c>
      <c r="C14" s="57" t="s">
        <v>1282</v>
      </c>
      <c r="D14" s="57" t="s">
        <v>1283</v>
      </c>
      <c r="E14" s="57" t="s">
        <v>1290</v>
      </c>
      <c r="F14" s="57" t="s">
        <v>1236</v>
      </c>
      <c r="G14" s="57">
        <v>53</v>
      </c>
      <c r="H14" s="57" t="s">
        <v>1079</v>
      </c>
      <c r="I14" s="57" t="s">
        <v>1080</v>
      </c>
      <c r="J14" s="57" t="s">
        <v>610</v>
      </c>
      <c r="K14" s="57" t="s">
        <v>1291</v>
      </c>
      <c r="L14" s="57" t="s">
        <v>1286</v>
      </c>
      <c r="M14" s="57" t="s">
        <v>1292</v>
      </c>
      <c r="N14" s="57" t="s">
        <v>1083</v>
      </c>
    </row>
    <row r="15" spans="1:14" ht="15" customHeight="1">
      <c r="A15" s="57" t="s">
        <v>1293</v>
      </c>
      <c r="B15" s="57" t="s">
        <v>1294</v>
      </c>
      <c r="C15" s="57" t="s">
        <v>1282</v>
      </c>
      <c r="D15" s="57" t="s">
        <v>1295</v>
      </c>
      <c r="E15" s="57" t="s">
        <v>1296</v>
      </c>
      <c r="F15" s="57" t="s">
        <v>1236</v>
      </c>
      <c r="G15" s="57">
        <v>51</v>
      </c>
      <c r="H15" s="57" t="s">
        <v>1079</v>
      </c>
      <c r="I15" s="57" t="s">
        <v>1092</v>
      </c>
      <c r="J15" s="57" t="s">
        <v>610</v>
      </c>
      <c r="K15" s="57" t="s">
        <v>1297</v>
      </c>
      <c r="L15" s="57" t="s">
        <v>1298</v>
      </c>
      <c r="M15" s="57" t="s">
        <v>1299</v>
      </c>
      <c r="N15" s="57" t="s">
        <v>1300</v>
      </c>
    </row>
    <row r="16" spans="1:14" ht="15" customHeight="1">
      <c r="A16" s="57" t="s">
        <v>1301</v>
      </c>
      <c r="B16" s="57" t="s">
        <v>1096</v>
      </c>
      <c r="C16" s="57" t="s">
        <v>1282</v>
      </c>
      <c r="D16" s="57" t="s">
        <v>1295</v>
      </c>
      <c r="E16" s="57" t="s">
        <v>1296</v>
      </c>
      <c r="F16" s="57" t="s">
        <v>1236</v>
      </c>
      <c r="G16" s="57">
        <v>52</v>
      </c>
      <c r="H16" s="57" t="s">
        <v>1037</v>
      </c>
      <c r="I16" s="57" t="s">
        <v>1092</v>
      </c>
      <c r="J16" s="57" t="s">
        <v>610</v>
      </c>
      <c r="K16" s="57" t="s">
        <v>1302</v>
      </c>
      <c r="L16" s="57" t="s">
        <v>1303</v>
      </c>
      <c r="M16" s="57" t="s">
        <v>1304</v>
      </c>
      <c r="N16" s="57" t="s">
        <v>1300</v>
      </c>
    </row>
    <row r="17" spans="1:14" ht="15" customHeight="1">
      <c r="A17" s="57" t="s">
        <v>1305</v>
      </c>
      <c r="B17" s="57" t="s">
        <v>202</v>
      </c>
      <c r="C17" s="57" t="s">
        <v>1306</v>
      </c>
      <c r="D17" s="57" t="s">
        <v>1234</v>
      </c>
      <c r="E17" s="57" t="s">
        <v>1307</v>
      </c>
      <c r="F17" s="57" t="s">
        <v>1236</v>
      </c>
      <c r="G17" s="57">
        <v>111</v>
      </c>
      <c r="H17" s="57" t="s">
        <v>202</v>
      </c>
      <c r="I17" s="57" t="s">
        <v>902</v>
      </c>
      <c r="J17" s="57" t="s">
        <v>610</v>
      </c>
      <c r="K17" s="57" t="s">
        <v>1308</v>
      </c>
      <c r="L17" s="57" t="s">
        <v>1309</v>
      </c>
      <c r="M17" s="57" t="s">
        <v>1310</v>
      </c>
      <c r="N17" s="57" t="s">
        <v>878</v>
      </c>
    </row>
    <row r="18" spans="1:14" ht="15" customHeight="1">
      <c r="A18" s="57" t="s">
        <v>1311</v>
      </c>
      <c r="B18" s="57" t="s">
        <v>307</v>
      </c>
      <c r="C18" s="57" t="s">
        <v>1312</v>
      </c>
      <c r="D18" s="57" t="s">
        <v>1234</v>
      </c>
      <c r="E18" s="57" t="s">
        <v>1307</v>
      </c>
      <c r="F18" s="57" t="s">
        <v>1236</v>
      </c>
      <c r="G18" s="57">
        <v>105</v>
      </c>
      <c r="H18" s="57" t="s">
        <v>307</v>
      </c>
      <c r="I18" s="57" t="s">
        <v>902</v>
      </c>
      <c r="J18" s="57" t="s">
        <v>610</v>
      </c>
      <c r="K18" s="57" t="s">
        <v>1313</v>
      </c>
      <c r="L18" s="57" t="s">
        <v>1309</v>
      </c>
      <c r="M18" s="57" t="s">
        <v>1314</v>
      </c>
      <c r="N18" s="57" t="s">
        <v>750</v>
      </c>
    </row>
    <row r="19" spans="1:14" ht="24" customHeight="1">
      <c r="A19" s="57" t="s">
        <v>1315</v>
      </c>
      <c r="B19" s="57" t="s">
        <v>752</v>
      </c>
      <c r="C19" s="57" t="s">
        <v>1316</v>
      </c>
      <c r="D19" s="57" t="s">
        <v>1234</v>
      </c>
      <c r="E19" s="57" t="s">
        <v>1317</v>
      </c>
      <c r="F19" s="57" t="s">
        <v>1236</v>
      </c>
      <c r="G19" s="57">
        <v>66</v>
      </c>
      <c r="H19" s="57" t="s">
        <v>320</v>
      </c>
      <c r="I19" s="57" t="s">
        <v>1318</v>
      </c>
      <c r="J19" s="57" t="s">
        <v>755</v>
      </c>
      <c r="K19" s="57" t="s">
        <v>1319</v>
      </c>
      <c r="L19" s="57" t="s">
        <v>1160</v>
      </c>
      <c r="M19" s="57" t="s">
        <v>1320</v>
      </c>
      <c r="N19" s="57" t="s">
        <v>759</v>
      </c>
    </row>
    <row r="20" spans="1:14" ht="15" customHeight="1">
      <c r="A20" s="57" t="s">
        <v>1321</v>
      </c>
      <c r="B20" s="57" t="s">
        <v>1193</v>
      </c>
      <c r="C20" s="57" t="s">
        <v>1316</v>
      </c>
      <c r="D20" s="57" t="s">
        <v>1322</v>
      </c>
      <c r="E20" s="57" t="s">
        <v>1323</v>
      </c>
      <c r="F20" s="57" t="s">
        <v>1236</v>
      </c>
      <c r="G20" s="57">
        <v>68</v>
      </c>
      <c r="H20" s="57" t="s">
        <v>1195</v>
      </c>
      <c r="I20" s="57" t="s">
        <v>320</v>
      </c>
      <c r="J20" s="57" t="s">
        <v>755</v>
      </c>
      <c r="K20" s="57" t="s">
        <v>1324</v>
      </c>
      <c r="L20" s="57" t="s">
        <v>1325</v>
      </c>
      <c r="M20" s="57" t="s">
        <v>1326</v>
      </c>
      <c r="N20" s="57" t="s">
        <v>1198</v>
      </c>
    </row>
  </sheetData>
  <mergeCells count="2">
    <mergeCell ref="A1:N1"/>
    <mergeCell ref="A2:N2"/>
  </mergeCells>
  <conditionalFormatting sqref="N5:N20">
    <cfRule type="expression" dxfId="0" priority="2">
      <formula>OR(N5="REFERENCIA_NO_IMPLEMENTADA",N5="NO_IMPLEMENTAR")</formula>
    </cfRule>
  </conditionalFormatting>
  <pageMargins left="0.7" right="0.7" top="0.75" bottom="0.75" header="0.511811023622047" footer="0.511811023622047"/>
  <pageSetup paperSize="9" orientation="portrait" horizontalDpi="300" verticalDpi="300"/>
</worksheet>
</file>

<file path=xl/worksheets/sheet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500-000000000000}">
  <dimension ref="A1:Y70"/>
  <sheetViews>
    <sheetView zoomScaleNormal="100" workbookViewId="0"/>
  </sheetViews>
  <sheetFormatPr baseColWidth="10" defaultColWidth="9.140625" defaultRowHeight="15"/>
  <cols>
    <col min="1" max="12" width="12" style="1" customWidth="1"/>
    <col min="13" max="13" width="4" style="1" customWidth="1"/>
    <col min="14" max="25" width="12" style="1" customWidth="1"/>
  </cols>
  <sheetData>
    <row r="1" spans="1:25" ht="19.5">
      <c r="A1" s="188" t="s">
        <v>1327</v>
      </c>
      <c r="B1" s="188"/>
      <c r="C1" s="188"/>
      <c r="D1" s="188"/>
      <c r="E1" s="188"/>
      <c r="F1" s="188"/>
      <c r="G1" s="188"/>
      <c r="H1" s="188"/>
      <c r="I1" s="188"/>
      <c r="J1" s="188"/>
      <c r="K1" s="188"/>
      <c r="L1" s="188"/>
      <c r="M1" s="188"/>
      <c r="N1" s="188"/>
      <c r="O1" s="188"/>
      <c r="P1" s="188"/>
      <c r="Q1" s="188"/>
      <c r="R1" s="188"/>
      <c r="S1" s="188"/>
      <c r="T1" s="188"/>
      <c r="U1" s="188"/>
      <c r="V1" s="188"/>
      <c r="W1" s="188"/>
      <c r="X1" s="188"/>
      <c r="Y1" s="188"/>
    </row>
    <row r="2" spans="1:25" ht="15" customHeight="1">
      <c r="A2" s="190" t="s">
        <v>1328</v>
      </c>
      <c r="B2" s="190"/>
      <c r="C2" s="190"/>
      <c r="D2" s="190"/>
      <c r="E2" s="190"/>
      <c r="F2" s="190"/>
      <c r="G2" s="190"/>
      <c r="H2" s="190"/>
      <c r="I2" s="190"/>
      <c r="J2" s="190"/>
      <c r="K2" s="190"/>
      <c r="L2" s="190"/>
      <c r="M2" s="190"/>
      <c r="N2" s="190"/>
      <c r="O2" s="190"/>
      <c r="P2" s="190"/>
      <c r="Q2" s="190"/>
      <c r="R2" s="190"/>
      <c r="S2" s="190"/>
      <c r="T2" s="190"/>
      <c r="U2" s="190"/>
      <c r="V2" s="190"/>
      <c r="W2" s="190"/>
      <c r="X2" s="190"/>
      <c r="Y2" s="190"/>
    </row>
    <row r="4" spans="1:25">
      <c r="A4" s="58" t="s">
        <v>1329</v>
      </c>
      <c r="B4" s="58" t="s">
        <v>1330</v>
      </c>
      <c r="C4" s="58" t="s">
        <v>1331</v>
      </c>
      <c r="D4" s="58" t="s">
        <v>1332</v>
      </c>
      <c r="E4" s="58" t="s">
        <v>1333</v>
      </c>
      <c r="F4" s="58" t="s">
        <v>1334</v>
      </c>
      <c r="G4" s="58" t="s">
        <v>1335</v>
      </c>
      <c r="H4" s="58" t="s">
        <v>1336</v>
      </c>
      <c r="I4" s="58" t="s">
        <v>1337</v>
      </c>
      <c r="J4" s="58" t="s">
        <v>1338</v>
      </c>
      <c r="K4" s="58" t="s">
        <v>1339</v>
      </c>
      <c r="L4" s="58" t="s">
        <v>1340</v>
      </c>
      <c r="N4" s="58" t="s">
        <v>1329</v>
      </c>
      <c r="O4" s="58" t="s">
        <v>1330</v>
      </c>
      <c r="P4" s="58" t="s">
        <v>1331</v>
      </c>
      <c r="Q4" s="58" t="s">
        <v>1332</v>
      </c>
      <c r="R4" s="58" t="s">
        <v>1333</v>
      </c>
      <c r="S4" s="58" t="s">
        <v>1334</v>
      </c>
      <c r="T4" s="58" t="s">
        <v>1335</v>
      </c>
      <c r="U4" s="58" t="s">
        <v>1336</v>
      </c>
      <c r="V4" s="58" t="s">
        <v>1337</v>
      </c>
      <c r="W4" s="58" t="s">
        <v>1338</v>
      </c>
      <c r="X4" s="58" t="s">
        <v>1339</v>
      </c>
      <c r="Y4" s="58" t="s">
        <v>1340</v>
      </c>
    </row>
    <row r="5" spans="1:25">
      <c r="A5" s="57">
        <v>0</v>
      </c>
      <c r="B5" s="57">
        <v>1</v>
      </c>
      <c r="C5" s="57">
        <v>33.878700000000002</v>
      </c>
      <c r="D5" s="57">
        <v>3.4959999999999998E-2</v>
      </c>
      <c r="E5" s="57">
        <v>1.1843999999999999</v>
      </c>
      <c r="F5" s="57">
        <v>30.3</v>
      </c>
      <c r="G5" s="57">
        <v>31.5</v>
      </c>
      <c r="H5" s="57">
        <v>32.700000000000003</v>
      </c>
      <c r="I5" s="57">
        <v>33.9</v>
      </c>
      <c r="J5" s="57">
        <v>35.1</v>
      </c>
      <c r="K5" s="57">
        <v>36.200000000000003</v>
      </c>
      <c r="L5" s="57">
        <v>37.4</v>
      </c>
      <c r="N5" s="57">
        <v>0</v>
      </c>
      <c r="O5" s="57">
        <v>1</v>
      </c>
      <c r="P5" s="57">
        <v>34.461799999999997</v>
      </c>
      <c r="Q5" s="57">
        <v>3.6859999999999997E-2</v>
      </c>
      <c r="R5" s="57">
        <v>1.2703</v>
      </c>
      <c r="S5" s="57">
        <v>30.7</v>
      </c>
      <c r="T5" s="57">
        <v>31.9</v>
      </c>
      <c r="U5" s="57">
        <v>33.200000000000003</v>
      </c>
      <c r="V5" s="57">
        <v>34.5</v>
      </c>
      <c r="W5" s="57">
        <v>35.700000000000003</v>
      </c>
      <c r="X5" s="57">
        <v>37</v>
      </c>
      <c r="Y5" s="57">
        <v>38.299999999999997</v>
      </c>
    </row>
    <row r="6" spans="1:25">
      <c r="A6" s="57">
        <v>1</v>
      </c>
      <c r="B6" s="57">
        <v>1</v>
      </c>
      <c r="C6" s="57">
        <v>36.546300000000002</v>
      </c>
      <c r="D6" s="57">
        <v>3.2099999999999997E-2</v>
      </c>
      <c r="E6" s="57">
        <v>1.1731</v>
      </c>
      <c r="F6" s="57">
        <v>33</v>
      </c>
      <c r="G6" s="57">
        <v>34.200000000000003</v>
      </c>
      <c r="H6" s="57">
        <v>35.4</v>
      </c>
      <c r="I6" s="57">
        <v>36.5</v>
      </c>
      <c r="J6" s="57">
        <v>37.700000000000003</v>
      </c>
      <c r="K6" s="57">
        <v>38.9</v>
      </c>
      <c r="L6" s="57">
        <v>40.1</v>
      </c>
      <c r="N6" s="57">
        <v>1</v>
      </c>
      <c r="O6" s="57">
        <v>1</v>
      </c>
      <c r="P6" s="57">
        <v>37.2759</v>
      </c>
      <c r="Q6" s="57">
        <v>3.1329999999999997E-2</v>
      </c>
      <c r="R6" s="57">
        <v>1.1678999999999999</v>
      </c>
      <c r="S6" s="57">
        <v>33.799999999999997</v>
      </c>
      <c r="T6" s="57">
        <v>34.9</v>
      </c>
      <c r="U6" s="57">
        <v>36.1</v>
      </c>
      <c r="V6" s="57">
        <v>37.299999999999997</v>
      </c>
      <c r="W6" s="57">
        <v>38.4</v>
      </c>
      <c r="X6" s="57">
        <v>39.6</v>
      </c>
      <c r="Y6" s="57">
        <v>40.799999999999997</v>
      </c>
    </row>
    <row r="7" spans="1:25">
      <c r="A7" s="57">
        <v>2</v>
      </c>
      <c r="B7" s="57">
        <v>1</v>
      </c>
      <c r="C7" s="57">
        <v>38.252099999999999</v>
      </c>
      <c r="D7" s="57">
        <v>3.168E-2</v>
      </c>
      <c r="E7" s="57">
        <v>1.2118</v>
      </c>
      <c r="F7" s="57">
        <v>34.6</v>
      </c>
      <c r="G7" s="57">
        <v>35.799999999999997</v>
      </c>
      <c r="H7" s="57">
        <v>37</v>
      </c>
      <c r="I7" s="57">
        <v>38.299999999999997</v>
      </c>
      <c r="J7" s="57">
        <v>39.5</v>
      </c>
      <c r="K7" s="57">
        <v>40.700000000000003</v>
      </c>
      <c r="L7" s="57">
        <v>41.9</v>
      </c>
      <c r="N7" s="57">
        <v>2</v>
      </c>
      <c r="O7" s="57">
        <v>1</v>
      </c>
      <c r="P7" s="57">
        <v>39.128500000000003</v>
      </c>
      <c r="Q7" s="57">
        <v>2.997E-2</v>
      </c>
      <c r="R7" s="57">
        <v>1.1727000000000001</v>
      </c>
      <c r="S7" s="57">
        <v>35.6</v>
      </c>
      <c r="T7" s="57">
        <v>36.799999999999997</v>
      </c>
      <c r="U7" s="57">
        <v>38</v>
      </c>
      <c r="V7" s="57">
        <v>39.1</v>
      </c>
      <c r="W7" s="57">
        <v>40.299999999999997</v>
      </c>
      <c r="X7" s="57">
        <v>41.5</v>
      </c>
      <c r="Y7" s="57">
        <v>42.6</v>
      </c>
    </row>
    <row r="8" spans="1:25">
      <c r="A8" s="57">
        <v>3</v>
      </c>
      <c r="B8" s="57">
        <v>1</v>
      </c>
      <c r="C8" s="57">
        <v>39.532800000000002</v>
      </c>
      <c r="D8" s="57">
        <v>3.1399999999999997E-2</v>
      </c>
      <c r="E8" s="57">
        <v>1.2413000000000001</v>
      </c>
      <c r="F8" s="57">
        <v>35.799999999999997</v>
      </c>
      <c r="G8" s="57">
        <v>37.1</v>
      </c>
      <c r="H8" s="57">
        <v>38.299999999999997</v>
      </c>
      <c r="I8" s="57">
        <v>39.5</v>
      </c>
      <c r="J8" s="57">
        <v>40.799999999999997</v>
      </c>
      <c r="K8" s="57">
        <v>42</v>
      </c>
      <c r="L8" s="57">
        <v>43.3</v>
      </c>
      <c r="N8" s="57">
        <v>3</v>
      </c>
      <c r="O8" s="57">
        <v>1</v>
      </c>
      <c r="P8" s="57">
        <v>40.513500000000001</v>
      </c>
      <c r="Q8" s="57">
        <v>2.9180000000000001E-2</v>
      </c>
      <c r="R8" s="57">
        <v>1.1821999999999999</v>
      </c>
      <c r="S8" s="57">
        <v>37</v>
      </c>
      <c r="T8" s="57">
        <v>38.1</v>
      </c>
      <c r="U8" s="57">
        <v>39.299999999999997</v>
      </c>
      <c r="V8" s="57">
        <v>40.5</v>
      </c>
      <c r="W8" s="57">
        <v>41.7</v>
      </c>
      <c r="X8" s="57">
        <v>42.9</v>
      </c>
      <c r="Y8" s="57">
        <v>44.1</v>
      </c>
    </row>
    <row r="9" spans="1:25">
      <c r="A9" s="57">
        <v>4</v>
      </c>
      <c r="B9" s="57">
        <v>1</v>
      </c>
      <c r="C9" s="57">
        <v>40.581699999999998</v>
      </c>
      <c r="D9" s="57">
        <v>3.1189999999999999E-2</v>
      </c>
      <c r="E9" s="57">
        <v>1.2657</v>
      </c>
      <c r="F9" s="57">
        <v>36.799999999999997</v>
      </c>
      <c r="G9" s="57">
        <v>38.1</v>
      </c>
      <c r="H9" s="57">
        <v>39.299999999999997</v>
      </c>
      <c r="I9" s="57">
        <v>40.6</v>
      </c>
      <c r="J9" s="57">
        <v>41.8</v>
      </c>
      <c r="K9" s="57">
        <v>43.1</v>
      </c>
      <c r="L9" s="57">
        <v>44.4</v>
      </c>
      <c r="N9" s="57">
        <v>4</v>
      </c>
      <c r="O9" s="57">
        <v>1</v>
      </c>
      <c r="P9" s="57">
        <v>41.631700000000002</v>
      </c>
      <c r="Q9" s="57">
        <v>2.8680000000000001E-2</v>
      </c>
      <c r="R9" s="57">
        <v>1.194</v>
      </c>
      <c r="S9" s="57">
        <v>38</v>
      </c>
      <c r="T9" s="57">
        <v>39.200000000000003</v>
      </c>
      <c r="U9" s="57">
        <v>40.4</v>
      </c>
      <c r="V9" s="57">
        <v>41.6</v>
      </c>
      <c r="W9" s="57">
        <v>42.8</v>
      </c>
      <c r="X9" s="57">
        <v>44</v>
      </c>
      <c r="Y9" s="57">
        <v>45.2</v>
      </c>
    </row>
    <row r="10" spans="1:25">
      <c r="A10" s="57">
        <v>5</v>
      </c>
      <c r="B10" s="57">
        <v>1</v>
      </c>
      <c r="C10" s="57">
        <v>41.459000000000003</v>
      </c>
      <c r="D10" s="57">
        <v>3.1019999999999999E-2</v>
      </c>
      <c r="E10" s="57">
        <v>1.2861</v>
      </c>
      <c r="F10" s="57">
        <v>37.6</v>
      </c>
      <c r="G10" s="57">
        <v>38.9</v>
      </c>
      <c r="H10" s="57">
        <v>40.200000000000003</v>
      </c>
      <c r="I10" s="57">
        <v>41.5</v>
      </c>
      <c r="J10" s="57">
        <v>42.7</v>
      </c>
      <c r="K10" s="57">
        <v>44</v>
      </c>
      <c r="L10" s="57">
        <v>45.3</v>
      </c>
      <c r="N10" s="57">
        <v>5</v>
      </c>
      <c r="O10" s="57">
        <v>1</v>
      </c>
      <c r="P10" s="57">
        <v>42.557600000000001</v>
      </c>
      <c r="Q10" s="57">
        <v>2.8369999999999999E-2</v>
      </c>
      <c r="R10" s="57">
        <v>1.2074</v>
      </c>
      <c r="S10" s="57">
        <v>38.9</v>
      </c>
      <c r="T10" s="57">
        <v>40.1</v>
      </c>
      <c r="U10" s="57">
        <v>41.4</v>
      </c>
      <c r="V10" s="57">
        <v>42.6</v>
      </c>
      <c r="W10" s="57">
        <v>43.8</v>
      </c>
      <c r="X10" s="57">
        <v>45</v>
      </c>
      <c r="Y10" s="57">
        <v>46.2</v>
      </c>
    </row>
    <row r="11" spans="1:25">
      <c r="A11" s="57">
        <v>6</v>
      </c>
      <c r="B11" s="57">
        <v>1</v>
      </c>
      <c r="C11" s="57">
        <v>42.1995</v>
      </c>
      <c r="D11" s="57">
        <v>3.0870000000000002E-2</v>
      </c>
      <c r="E11" s="57">
        <v>1.3027</v>
      </c>
      <c r="F11" s="57">
        <v>38.299999999999997</v>
      </c>
      <c r="G11" s="57">
        <v>39.6</v>
      </c>
      <c r="H11" s="57">
        <v>40.9</v>
      </c>
      <c r="I11" s="57">
        <v>42.2</v>
      </c>
      <c r="J11" s="57">
        <v>43.5</v>
      </c>
      <c r="K11" s="57">
        <v>44.8</v>
      </c>
      <c r="L11" s="57">
        <v>46.1</v>
      </c>
      <c r="N11" s="57">
        <v>6</v>
      </c>
      <c r="O11" s="57">
        <v>1</v>
      </c>
      <c r="P11" s="57">
        <v>43.330599999999997</v>
      </c>
      <c r="Q11" s="57">
        <v>2.8170000000000001E-2</v>
      </c>
      <c r="R11" s="57">
        <v>1.2205999999999999</v>
      </c>
      <c r="S11" s="57">
        <v>39.700000000000003</v>
      </c>
      <c r="T11" s="57">
        <v>40.9</v>
      </c>
      <c r="U11" s="57">
        <v>42.1</v>
      </c>
      <c r="V11" s="57">
        <v>43.3</v>
      </c>
      <c r="W11" s="57">
        <v>44.6</v>
      </c>
      <c r="X11" s="57">
        <v>45.8</v>
      </c>
      <c r="Y11" s="57">
        <v>47</v>
      </c>
    </row>
    <row r="12" spans="1:25">
      <c r="A12" s="57">
        <v>7</v>
      </c>
      <c r="B12" s="57">
        <v>1</v>
      </c>
      <c r="C12" s="57">
        <v>42.829000000000001</v>
      </c>
      <c r="D12" s="57">
        <v>3.075E-2</v>
      </c>
      <c r="E12" s="57">
        <v>1.3169999999999999</v>
      </c>
      <c r="F12" s="57">
        <v>38.9</v>
      </c>
      <c r="G12" s="57">
        <v>40.200000000000003</v>
      </c>
      <c r="H12" s="57">
        <v>41.5</v>
      </c>
      <c r="I12" s="57">
        <v>42.8</v>
      </c>
      <c r="J12" s="57">
        <v>44.1</v>
      </c>
      <c r="K12" s="57">
        <v>45.5</v>
      </c>
      <c r="L12" s="57">
        <v>46.8</v>
      </c>
      <c r="N12" s="57">
        <v>7</v>
      </c>
      <c r="O12" s="57">
        <v>1</v>
      </c>
      <c r="P12" s="57">
        <v>43.9803</v>
      </c>
      <c r="Q12" s="57">
        <v>2.8039999999999999E-2</v>
      </c>
      <c r="R12" s="57">
        <v>1.2332000000000001</v>
      </c>
      <c r="S12" s="57">
        <v>40.299999999999997</v>
      </c>
      <c r="T12" s="57">
        <v>41.5</v>
      </c>
      <c r="U12" s="57">
        <v>42.7</v>
      </c>
      <c r="V12" s="57">
        <v>44</v>
      </c>
      <c r="W12" s="57">
        <v>45.2</v>
      </c>
      <c r="X12" s="57">
        <v>46.4</v>
      </c>
      <c r="Y12" s="57">
        <v>47.7</v>
      </c>
    </row>
    <row r="13" spans="1:25">
      <c r="A13" s="57">
        <v>8</v>
      </c>
      <c r="B13" s="57">
        <v>1</v>
      </c>
      <c r="C13" s="57">
        <v>43.367100000000001</v>
      </c>
      <c r="D13" s="57">
        <v>3.0630000000000001E-2</v>
      </c>
      <c r="E13" s="57">
        <v>1.3283</v>
      </c>
      <c r="F13" s="57">
        <v>39.4</v>
      </c>
      <c r="G13" s="57">
        <v>40.700000000000003</v>
      </c>
      <c r="H13" s="57">
        <v>42</v>
      </c>
      <c r="I13" s="57">
        <v>43.4</v>
      </c>
      <c r="J13" s="57">
        <v>44.7</v>
      </c>
      <c r="K13" s="57">
        <v>46</v>
      </c>
      <c r="L13" s="57">
        <v>47.4</v>
      </c>
      <c r="N13" s="57">
        <v>8</v>
      </c>
      <c r="O13" s="57">
        <v>1</v>
      </c>
      <c r="P13" s="57">
        <v>44.53</v>
      </c>
      <c r="Q13" s="57">
        <v>2.7959999999999999E-2</v>
      </c>
      <c r="R13" s="57">
        <v>1.2451000000000001</v>
      </c>
      <c r="S13" s="57">
        <v>40.799999999999997</v>
      </c>
      <c r="T13" s="57">
        <v>42</v>
      </c>
      <c r="U13" s="57">
        <v>43.3</v>
      </c>
      <c r="V13" s="57">
        <v>44.5</v>
      </c>
      <c r="W13" s="57">
        <v>45.8</v>
      </c>
      <c r="X13" s="57">
        <v>47</v>
      </c>
      <c r="Y13" s="57">
        <v>48.3</v>
      </c>
    </row>
    <row r="14" spans="1:25">
      <c r="A14" s="57">
        <v>9</v>
      </c>
      <c r="B14" s="57">
        <v>1</v>
      </c>
      <c r="C14" s="57">
        <v>43.83</v>
      </c>
      <c r="D14" s="57">
        <v>3.0530000000000002E-2</v>
      </c>
      <c r="E14" s="57">
        <v>1.3381000000000001</v>
      </c>
      <c r="F14" s="57">
        <v>39.799999999999997</v>
      </c>
      <c r="G14" s="57">
        <v>41.2</v>
      </c>
      <c r="H14" s="57">
        <v>42.5</v>
      </c>
      <c r="I14" s="57">
        <v>43.8</v>
      </c>
      <c r="J14" s="57">
        <v>45.2</v>
      </c>
      <c r="K14" s="57">
        <v>46.5</v>
      </c>
      <c r="L14" s="57">
        <v>47.8</v>
      </c>
      <c r="N14" s="57">
        <v>9</v>
      </c>
      <c r="O14" s="57">
        <v>1</v>
      </c>
      <c r="P14" s="57">
        <v>44.9998</v>
      </c>
      <c r="Q14" s="57">
        <v>2.792E-2</v>
      </c>
      <c r="R14" s="57">
        <v>1.2564</v>
      </c>
      <c r="S14" s="57">
        <v>41.2</v>
      </c>
      <c r="T14" s="57">
        <v>42.5</v>
      </c>
      <c r="U14" s="57">
        <v>43.7</v>
      </c>
      <c r="V14" s="57">
        <v>45</v>
      </c>
      <c r="W14" s="57">
        <v>46.3</v>
      </c>
      <c r="X14" s="57">
        <v>47.5</v>
      </c>
      <c r="Y14" s="57">
        <v>48.8</v>
      </c>
    </row>
    <row r="15" spans="1:25">
      <c r="A15" s="57">
        <v>10</v>
      </c>
      <c r="B15" s="57">
        <v>1</v>
      </c>
      <c r="C15" s="57">
        <v>44.231900000000003</v>
      </c>
      <c r="D15" s="57">
        <v>3.0439999999999998E-2</v>
      </c>
      <c r="E15" s="57">
        <v>1.3464</v>
      </c>
      <c r="F15" s="57">
        <v>40.200000000000003</v>
      </c>
      <c r="G15" s="57">
        <v>41.5</v>
      </c>
      <c r="H15" s="57">
        <v>42.9</v>
      </c>
      <c r="I15" s="57">
        <v>44.2</v>
      </c>
      <c r="J15" s="57">
        <v>45.6</v>
      </c>
      <c r="K15" s="57">
        <v>46.9</v>
      </c>
      <c r="L15" s="57">
        <v>48.3</v>
      </c>
      <c r="N15" s="57">
        <v>10</v>
      </c>
      <c r="O15" s="57">
        <v>1</v>
      </c>
      <c r="P15" s="57">
        <v>45.405099999999997</v>
      </c>
      <c r="Q15" s="57">
        <v>2.7900000000000001E-2</v>
      </c>
      <c r="R15" s="57">
        <v>1.2667999999999999</v>
      </c>
      <c r="S15" s="57">
        <v>41.6</v>
      </c>
      <c r="T15" s="57">
        <v>42.9</v>
      </c>
      <c r="U15" s="57">
        <v>44.1</v>
      </c>
      <c r="V15" s="57">
        <v>45.4</v>
      </c>
      <c r="W15" s="57">
        <v>46.7</v>
      </c>
      <c r="X15" s="57">
        <v>47.9</v>
      </c>
      <c r="Y15" s="57">
        <v>49.2</v>
      </c>
    </row>
    <row r="16" spans="1:25">
      <c r="A16" s="57">
        <v>11</v>
      </c>
      <c r="B16" s="57">
        <v>1</v>
      </c>
      <c r="C16" s="57">
        <v>44.584400000000002</v>
      </c>
      <c r="D16" s="57">
        <v>3.0349999999999999E-2</v>
      </c>
      <c r="E16" s="57">
        <v>1.3531</v>
      </c>
      <c r="F16" s="57">
        <v>40.5</v>
      </c>
      <c r="G16" s="57">
        <v>41.9</v>
      </c>
      <c r="H16" s="57">
        <v>43.2</v>
      </c>
      <c r="I16" s="57">
        <v>44.6</v>
      </c>
      <c r="J16" s="57">
        <v>45.9</v>
      </c>
      <c r="K16" s="57">
        <v>47.3</v>
      </c>
      <c r="L16" s="57">
        <v>48.6</v>
      </c>
      <c r="N16" s="57">
        <v>11</v>
      </c>
      <c r="O16" s="57">
        <v>1</v>
      </c>
      <c r="P16" s="57">
        <v>45.757300000000001</v>
      </c>
      <c r="Q16" s="57">
        <v>2.7890000000000002E-2</v>
      </c>
      <c r="R16" s="57">
        <v>1.2762</v>
      </c>
      <c r="S16" s="57">
        <v>41.9</v>
      </c>
      <c r="T16" s="57">
        <v>43.2</v>
      </c>
      <c r="U16" s="57">
        <v>44.5</v>
      </c>
      <c r="V16" s="57">
        <v>45.8</v>
      </c>
      <c r="W16" s="57">
        <v>47</v>
      </c>
      <c r="X16" s="57">
        <v>48.3</v>
      </c>
      <c r="Y16" s="57">
        <v>49.6</v>
      </c>
    </row>
    <row r="17" spans="1:25">
      <c r="A17" s="57">
        <v>12</v>
      </c>
      <c r="B17" s="57">
        <v>1</v>
      </c>
      <c r="C17" s="57">
        <v>44.896500000000003</v>
      </c>
      <c r="D17" s="57">
        <v>3.0269999999999998E-2</v>
      </c>
      <c r="E17" s="57">
        <v>1.359</v>
      </c>
      <c r="F17" s="57">
        <v>40.799999999999997</v>
      </c>
      <c r="G17" s="57">
        <v>42.2</v>
      </c>
      <c r="H17" s="57">
        <v>43.5</v>
      </c>
      <c r="I17" s="57">
        <v>44.9</v>
      </c>
      <c r="J17" s="57">
        <v>46.3</v>
      </c>
      <c r="K17" s="57">
        <v>47.6</v>
      </c>
      <c r="L17" s="57">
        <v>49</v>
      </c>
      <c r="N17" s="57">
        <v>12</v>
      </c>
      <c r="O17" s="57">
        <v>1</v>
      </c>
      <c r="P17" s="57">
        <v>46.066099999999999</v>
      </c>
      <c r="Q17" s="57">
        <v>2.7890000000000002E-2</v>
      </c>
      <c r="R17" s="57">
        <v>1.2847999999999999</v>
      </c>
      <c r="S17" s="57">
        <v>42.2</v>
      </c>
      <c r="T17" s="57">
        <v>43.5</v>
      </c>
      <c r="U17" s="57">
        <v>44.8</v>
      </c>
      <c r="V17" s="57">
        <v>46.1</v>
      </c>
      <c r="W17" s="57">
        <v>47.4</v>
      </c>
      <c r="X17" s="57">
        <v>48.6</v>
      </c>
      <c r="Y17" s="57">
        <v>49.9</v>
      </c>
    </row>
    <row r="18" spans="1:25">
      <c r="A18" s="57">
        <v>13</v>
      </c>
      <c r="B18" s="57">
        <v>1</v>
      </c>
      <c r="C18" s="57">
        <v>45.175199999999997</v>
      </c>
      <c r="D18" s="57">
        <v>3.0190000000000002E-2</v>
      </c>
      <c r="E18" s="57">
        <v>1.3637999999999999</v>
      </c>
      <c r="F18" s="57">
        <v>41.1</v>
      </c>
      <c r="G18" s="57">
        <v>42.4</v>
      </c>
      <c r="H18" s="57">
        <v>43.8</v>
      </c>
      <c r="I18" s="57">
        <v>45.2</v>
      </c>
      <c r="J18" s="57">
        <v>46.5</v>
      </c>
      <c r="K18" s="57">
        <v>47.9</v>
      </c>
      <c r="L18" s="57">
        <v>49.3</v>
      </c>
      <c r="N18" s="57">
        <v>13</v>
      </c>
      <c r="O18" s="57">
        <v>1</v>
      </c>
      <c r="P18" s="57">
        <v>46.339500000000001</v>
      </c>
      <c r="Q18" s="57">
        <v>2.7890000000000002E-2</v>
      </c>
      <c r="R18" s="57">
        <v>1.2924</v>
      </c>
      <c r="S18" s="57">
        <v>42.5</v>
      </c>
      <c r="T18" s="57">
        <v>43.8</v>
      </c>
      <c r="U18" s="57">
        <v>45</v>
      </c>
      <c r="V18" s="57">
        <v>46.3</v>
      </c>
      <c r="W18" s="57">
        <v>47.6</v>
      </c>
      <c r="X18" s="57">
        <v>48.9</v>
      </c>
      <c r="Y18" s="57">
        <v>50.2</v>
      </c>
    </row>
    <row r="19" spans="1:25">
      <c r="A19" s="57">
        <v>14</v>
      </c>
      <c r="B19" s="57">
        <v>1</v>
      </c>
      <c r="C19" s="57">
        <v>45.426499999999997</v>
      </c>
      <c r="D19" s="57">
        <v>3.0120000000000001E-2</v>
      </c>
      <c r="E19" s="57">
        <v>1.3683000000000001</v>
      </c>
      <c r="F19" s="57">
        <v>41.3</v>
      </c>
      <c r="G19" s="57">
        <v>42.7</v>
      </c>
      <c r="H19" s="57">
        <v>44.1</v>
      </c>
      <c r="I19" s="57">
        <v>45.4</v>
      </c>
      <c r="J19" s="57">
        <v>46.8</v>
      </c>
      <c r="K19" s="57">
        <v>48.2</v>
      </c>
      <c r="L19" s="57">
        <v>49.5</v>
      </c>
      <c r="N19" s="57">
        <v>14</v>
      </c>
      <c r="O19" s="57">
        <v>1</v>
      </c>
      <c r="P19" s="57">
        <v>46.584400000000002</v>
      </c>
      <c r="Q19" s="57">
        <v>2.7910000000000001E-2</v>
      </c>
      <c r="R19" s="57">
        <v>1.3002</v>
      </c>
      <c r="S19" s="57">
        <v>42.7</v>
      </c>
      <c r="T19" s="57">
        <v>44</v>
      </c>
      <c r="U19" s="57">
        <v>45.3</v>
      </c>
      <c r="V19" s="57">
        <v>46.6</v>
      </c>
      <c r="W19" s="57">
        <v>47.9</v>
      </c>
      <c r="X19" s="57">
        <v>49.2</v>
      </c>
      <c r="Y19" s="57">
        <v>50.5</v>
      </c>
    </row>
    <row r="20" spans="1:25">
      <c r="A20" s="57">
        <v>15</v>
      </c>
      <c r="B20" s="57">
        <v>1</v>
      </c>
      <c r="C20" s="57">
        <v>45.655099999999997</v>
      </c>
      <c r="D20" s="57">
        <v>3.006E-2</v>
      </c>
      <c r="E20" s="57">
        <v>1.3724000000000001</v>
      </c>
      <c r="F20" s="57">
        <v>41.5</v>
      </c>
      <c r="G20" s="57">
        <v>42.9</v>
      </c>
      <c r="H20" s="57">
        <v>44.3</v>
      </c>
      <c r="I20" s="57">
        <v>45.7</v>
      </c>
      <c r="J20" s="57">
        <v>47</v>
      </c>
      <c r="K20" s="57">
        <v>48.4</v>
      </c>
      <c r="L20" s="57">
        <v>49.8</v>
      </c>
      <c r="N20" s="57">
        <v>15</v>
      </c>
      <c r="O20" s="57">
        <v>1</v>
      </c>
      <c r="P20" s="57">
        <v>46.805999999999997</v>
      </c>
      <c r="Q20" s="57">
        <v>2.792E-2</v>
      </c>
      <c r="R20" s="57">
        <v>1.3068</v>
      </c>
      <c r="S20" s="57">
        <v>42.9</v>
      </c>
      <c r="T20" s="57">
        <v>44.2</v>
      </c>
      <c r="U20" s="57">
        <v>45.5</v>
      </c>
      <c r="V20" s="57">
        <v>46.8</v>
      </c>
      <c r="W20" s="57">
        <v>48.1</v>
      </c>
      <c r="X20" s="57">
        <v>49.4</v>
      </c>
      <c r="Y20" s="57">
        <v>50.7</v>
      </c>
    </row>
    <row r="21" spans="1:25">
      <c r="A21" s="57">
        <v>16</v>
      </c>
      <c r="B21" s="57">
        <v>1</v>
      </c>
      <c r="C21" s="57">
        <v>45.865000000000002</v>
      </c>
      <c r="D21" s="57">
        <v>2.9989999999999999E-2</v>
      </c>
      <c r="E21" s="57">
        <v>1.3754999999999999</v>
      </c>
      <c r="F21" s="57">
        <v>41.7</v>
      </c>
      <c r="G21" s="57">
        <v>43.1</v>
      </c>
      <c r="H21" s="57">
        <v>44.5</v>
      </c>
      <c r="I21" s="57">
        <v>45.9</v>
      </c>
      <c r="J21" s="57">
        <v>47.2</v>
      </c>
      <c r="K21" s="57">
        <v>48.6</v>
      </c>
      <c r="L21" s="57">
        <v>50</v>
      </c>
      <c r="N21" s="57">
        <v>16</v>
      </c>
      <c r="O21" s="57">
        <v>1</v>
      </c>
      <c r="P21" s="57">
        <v>47.008800000000001</v>
      </c>
      <c r="Q21" s="57">
        <v>2.7949999999999999E-2</v>
      </c>
      <c r="R21" s="57">
        <v>1.3139000000000001</v>
      </c>
      <c r="S21" s="57">
        <v>43.1</v>
      </c>
      <c r="T21" s="57">
        <v>44.4</v>
      </c>
      <c r="U21" s="57">
        <v>45.7</v>
      </c>
      <c r="V21" s="57">
        <v>47</v>
      </c>
      <c r="W21" s="57">
        <v>48.3</v>
      </c>
      <c r="X21" s="57">
        <v>49.6</v>
      </c>
      <c r="Y21" s="57">
        <v>51</v>
      </c>
    </row>
    <row r="22" spans="1:25">
      <c r="A22" s="57">
        <v>17</v>
      </c>
      <c r="B22" s="57">
        <v>1</v>
      </c>
      <c r="C22" s="57">
        <v>46.059800000000003</v>
      </c>
      <c r="D22" s="57">
        <v>2.9929999999999998E-2</v>
      </c>
      <c r="E22" s="57">
        <v>1.3786</v>
      </c>
      <c r="F22" s="57">
        <v>41.9</v>
      </c>
      <c r="G22" s="57">
        <v>43.3</v>
      </c>
      <c r="H22" s="57">
        <v>44.7</v>
      </c>
      <c r="I22" s="57">
        <v>46.1</v>
      </c>
      <c r="J22" s="57">
        <v>47.4</v>
      </c>
      <c r="K22" s="57">
        <v>48.8</v>
      </c>
      <c r="L22" s="57">
        <v>50.2</v>
      </c>
      <c r="N22" s="57">
        <v>17</v>
      </c>
      <c r="O22" s="57">
        <v>1</v>
      </c>
      <c r="P22" s="57">
        <v>47.196199999999997</v>
      </c>
      <c r="Q22" s="57">
        <v>2.7969999999999998E-2</v>
      </c>
      <c r="R22" s="57">
        <v>1.3201000000000001</v>
      </c>
      <c r="S22" s="57">
        <v>43.2</v>
      </c>
      <c r="T22" s="57">
        <v>44.6</v>
      </c>
      <c r="U22" s="57">
        <v>45.9</v>
      </c>
      <c r="V22" s="57">
        <v>47.2</v>
      </c>
      <c r="W22" s="57">
        <v>48.5</v>
      </c>
      <c r="X22" s="57">
        <v>49.8</v>
      </c>
      <c r="Y22" s="57">
        <v>51.2</v>
      </c>
    </row>
    <row r="23" spans="1:25">
      <c r="A23" s="57">
        <v>18</v>
      </c>
      <c r="B23" s="57">
        <v>1</v>
      </c>
      <c r="C23" s="57">
        <v>46.242400000000004</v>
      </c>
      <c r="D23" s="57">
        <v>2.9870000000000001E-2</v>
      </c>
      <c r="E23" s="57">
        <v>1.3813</v>
      </c>
      <c r="F23" s="57">
        <v>42.1</v>
      </c>
      <c r="G23" s="57">
        <v>43.5</v>
      </c>
      <c r="H23" s="57">
        <v>44.9</v>
      </c>
      <c r="I23" s="57">
        <v>46.2</v>
      </c>
      <c r="J23" s="57">
        <v>47.6</v>
      </c>
      <c r="K23" s="57">
        <v>49</v>
      </c>
      <c r="L23" s="57">
        <v>50.4</v>
      </c>
      <c r="N23" s="57">
        <v>18</v>
      </c>
      <c r="O23" s="57">
        <v>1</v>
      </c>
      <c r="P23" s="57">
        <v>47.371099999999998</v>
      </c>
      <c r="Q23" s="57">
        <v>2.8000000000000001E-2</v>
      </c>
      <c r="R23" s="57">
        <v>1.3264</v>
      </c>
      <c r="S23" s="57">
        <v>43.4</v>
      </c>
      <c r="T23" s="57">
        <v>44.7</v>
      </c>
      <c r="U23" s="57">
        <v>46</v>
      </c>
      <c r="V23" s="57">
        <v>47.4</v>
      </c>
      <c r="W23" s="57">
        <v>48.7</v>
      </c>
      <c r="X23" s="57">
        <v>50</v>
      </c>
      <c r="Y23" s="57">
        <v>51.4</v>
      </c>
    </row>
    <row r="24" spans="1:25">
      <c r="A24" s="57">
        <v>19</v>
      </c>
      <c r="B24" s="57">
        <v>1</v>
      </c>
      <c r="C24" s="57">
        <v>46.415199999999999</v>
      </c>
      <c r="D24" s="57">
        <v>2.9819999999999999E-2</v>
      </c>
      <c r="E24" s="57">
        <v>1.3841000000000001</v>
      </c>
      <c r="F24" s="57">
        <v>42.3</v>
      </c>
      <c r="G24" s="57">
        <v>43.6</v>
      </c>
      <c r="H24" s="57">
        <v>45</v>
      </c>
      <c r="I24" s="57">
        <v>46.4</v>
      </c>
      <c r="J24" s="57">
        <v>47.8</v>
      </c>
      <c r="K24" s="57">
        <v>49.2</v>
      </c>
      <c r="L24" s="57">
        <v>50.6</v>
      </c>
      <c r="N24" s="57">
        <v>19</v>
      </c>
      <c r="O24" s="57">
        <v>1</v>
      </c>
      <c r="P24" s="57">
        <v>47.535699999999999</v>
      </c>
      <c r="Q24" s="57">
        <v>2.8029999999999999E-2</v>
      </c>
      <c r="R24" s="57">
        <v>1.3324</v>
      </c>
      <c r="S24" s="57">
        <v>43.5</v>
      </c>
      <c r="T24" s="57">
        <v>44.9</v>
      </c>
      <c r="U24" s="57">
        <v>46.2</v>
      </c>
      <c r="V24" s="57">
        <v>47.5</v>
      </c>
      <c r="W24" s="57">
        <v>48.9</v>
      </c>
      <c r="X24" s="57">
        <v>50.2</v>
      </c>
      <c r="Y24" s="57">
        <v>51.5</v>
      </c>
    </row>
    <row r="25" spans="1:25">
      <c r="A25" s="57">
        <v>20</v>
      </c>
      <c r="B25" s="57">
        <v>1</v>
      </c>
      <c r="C25" s="57">
        <v>46.580100000000002</v>
      </c>
      <c r="D25" s="57">
        <v>2.9770000000000001E-2</v>
      </c>
      <c r="E25" s="57">
        <v>1.3867</v>
      </c>
      <c r="F25" s="57">
        <v>42.4</v>
      </c>
      <c r="G25" s="57">
        <v>43.8</v>
      </c>
      <c r="H25" s="57">
        <v>45.2</v>
      </c>
      <c r="I25" s="57">
        <v>46.6</v>
      </c>
      <c r="J25" s="57">
        <v>48</v>
      </c>
      <c r="K25" s="57">
        <v>49.4</v>
      </c>
      <c r="L25" s="57">
        <v>50.7</v>
      </c>
      <c r="N25" s="57">
        <v>20</v>
      </c>
      <c r="O25" s="57">
        <v>1</v>
      </c>
      <c r="P25" s="57">
        <v>47.691899999999997</v>
      </c>
      <c r="Q25" s="57">
        <v>2.8060000000000002E-2</v>
      </c>
      <c r="R25" s="57">
        <v>1.3382000000000001</v>
      </c>
      <c r="S25" s="57">
        <v>43.7</v>
      </c>
      <c r="T25" s="57">
        <v>45</v>
      </c>
      <c r="U25" s="57">
        <v>46.4</v>
      </c>
      <c r="V25" s="57">
        <v>47.7</v>
      </c>
      <c r="W25" s="57">
        <v>49</v>
      </c>
      <c r="X25" s="57">
        <v>50.4</v>
      </c>
      <c r="Y25" s="57">
        <v>51.7</v>
      </c>
    </row>
    <row r="26" spans="1:25">
      <c r="A26" s="57">
        <v>21</v>
      </c>
      <c r="B26" s="57">
        <v>1</v>
      </c>
      <c r="C26" s="57">
        <v>46.738399999999999</v>
      </c>
      <c r="D26" s="57">
        <v>2.972E-2</v>
      </c>
      <c r="E26" s="57">
        <v>1.3891</v>
      </c>
      <c r="F26" s="57">
        <v>42.6</v>
      </c>
      <c r="G26" s="57">
        <v>44</v>
      </c>
      <c r="H26" s="57">
        <v>45.3</v>
      </c>
      <c r="I26" s="57">
        <v>46.7</v>
      </c>
      <c r="J26" s="57">
        <v>48.1</v>
      </c>
      <c r="K26" s="57">
        <v>49.5</v>
      </c>
      <c r="L26" s="57">
        <v>50.9</v>
      </c>
      <c r="N26" s="57">
        <v>21</v>
      </c>
      <c r="O26" s="57">
        <v>1</v>
      </c>
      <c r="P26" s="57">
        <v>47.840800000000002</v>
      </c>
      <c r="Q26" s="57">
        <v>2.81E-2</v>
      </c>
      <c r="R26" s="57">
        <v>1.3443000000000001</v>
      </c>
      <c r="S26" s="57">
        <v>43.8</v>
      </c>
      <c r="T26" s="57">
        <v>45.2</v>
      </c>
      <c r="U26" s="57">
        <v>46.5</v>
      </c>
      <c r="V26" s="57">
        <v>47.8</v>
      </c>
      <c r="W26" s="57">
        <v>49.2</v>
      </c>
      <c r="X26" s="57">
        <v>50.5</v>
      </c>
      <c r="Y26" s="57">
        <v>51.9</v>
      </c>
    </row>
    <row r="27" spans="1:25">
      <c r="A27" s="57">
        <v>22</v>
      </c>
      <c r="B27" s="57">
        <v>1</v>
      </c>
      <c r="C27" s="57">
        <v>46.891300000000001</v>
      </c>
      <c r="D27" s="57">
        <v>2.9669999999999998E-2</v>
      </c>
      <c r="E27" s="57">
        <v>1.3913</v>
      </c>
      <c r="F27" s="57">
        <v>42.7</v>
      </c>
      <c r="G27" s="57">
        <v>44.1</v>
      </c>
      <c r="H27" s="57">
        <v>45.5</v>
      </c>
      <c r="I27" s="57">
        <v>46.9</v>
      </c>
      <c r="J27" s="57">
        <v>48.3</v>
      </c>
      <c r="K27" s="57">
        <v>49.7</v>
      </c>
      <c r="L27" s="57">
        <v>51.1</v>
      </c>
      <c r="N27" s="57">
        <v>22</v>
      </c>
      <c r="O27" s="57">
        <v>1</v>
      </c>
      <c r="P27" s="57">
        <v>47.9833</v>
      </c>
      <c r="Q27" s="57">
        <v>2.8129999999999999E-2</v>
      </c>
      <c r="R27" s="57">
        <v>1.3498000000000001</v>
      </c>
      <c r="S27" s="57">
        <v>43.9</v>
      </c>
      <c r="T27" s="57">
        <v>45.3</v>
      </c>
      <c r="U27" s="57">
        <v>46.6</v>
      </c>
      <c r="V27" s="57">
        <v>48</v>
      </c>
      <c r="W27" s="57">
        <v>49.3</v>
      </c>
      <c r="X27" s="57">
        <v>50.7</v>
      </c>
      <c r="Y27" s="57">
        <v>52</v>
      </c>
    </row>
    <row r="28" spans="1:25">
      <c r="A28" s="57">
        <v>23</v>
      </c>
      <c r="B28" s="57">
        <v>1</v>
      </c>
      <c r="C28" s="57">
        <v>47.039099999999998</v>
      </c>
      <c r="D28" s="57">
        <v>2.962E-2</v>
      </c>
      <c r="E28" s="57">
        <v>1.3933</v>
      </c>
      <c r="F28" s="57">
        <v>42.9</v>
      </c>
      <c r="G28" s="57">
        <v>44.3</v>
      </c>
      <c r="H28" s="57">
        <v>45.6</v>
      </c>
      <c r="I28" s="57">
        <v>47</v>
      </c>
      <c r="J28" s="57">
        <v>48.4</v>
      </c>
      <c r="K28" s="57">
        <v>49.8</v>
      </c>
      <c r="L28" s="57">
        <v>51.2</v>
      </c>
      <c r="N28" s="57">
        <v>23</v>
      </c>
      <c r="O28" s="57">
        <v>1</v>
      </c>
      <c r="P28" s="57">
        <v>48.120100000000001</v>
      </c>
      <c r="Q28" s="57">
        <v>2.8170000000000001E-2</v>
      </c>
      <c r="R28" s="57">
        <v>1.3554999999999999</v>
      </c>
      <c r="S28" s="57">
        <v>44.1</v>
      </c>
      <c r="T28" s="57">
        <v>45.4</v>
      </c>
      <c r="U28" s="57">
        <v>46.8</v>
      </c>
      <c r="V28" s="57">
        <v>48.1</v>
      </c>
      <c r="W28" s="57">
        <v>49.5</v>
      </c>
      <c r="X28" s="57">
        <v>50.8</v>
      </c>
      <c r="Y28" s="57">
        <v>52.2</v>
      </c>
    </row>
    <row r="29" spans="1:25">
      <c r="A29" s="57">
        <v>24</v>
      </c>
      <c r="B29" s="57">
        <v>1</v>
      </c>
      <c r="C29" s="57">
        <v>47.182200000000002</v>
      </c>
      <c r="D29" s="57">
        <v>2.9569999999999999E-2</v>
      </c>
      <c r="E29" s="57">
        <v>1.3952</v>
      </c>
      <c r="F29" s="57">
        <v>43</v>
      </c>
      <c r="G29" s="57">
        <v>44.4</v>
      </c>
      <c r="H29" s="57">
        <v>45.8</v>
      </c>
      <c r="I29" s="57">
        <v>47.2</v>
      </c>
      <c r="J29" s="57">
        <v>48.6</v>
      </c>
      <c r="K29" s="57">
        <v>50</v>
      </c>
      <c r="L29" s="57">
        <v>51.4</v>
      </c>
      <c r="N29" s="57">
        <v>24</v>
      </c>
      <c r="O29" s="57">
        <v>1</v>
      </c>
      <c r="P29" s="57">
        <v>48.2515</v>
      </c>
      <c r="Q29" s="57">
        <v>2.8209999999999999E-2</v>
      </c>
      <c r="R29" s="57">
        <v>1.3612</v>
      </c>
      <c r="S29" s="57">
        <v>44.2</v>
      </c>
      <c r="T29" s="57">
        <v>45.5</v>
      </c>
      <c r="U29" s="57">
        <v>46.9</v>
      </c>
      <c r="V29" s="57">
        <v>48.3</v>
      </c>
      <c r="W29" s="57">
        <v>49.6</v>
      </c>
      <c r="X29" s="57">
        <v>51</v>
      </c>
      <c r="Y29" s="57">
        <v>52.3</v>
      </c>
    </row>
    <row r="30" spans="1:25">
      <c r="A30" s="57">
        <v>25</v>
      </c>
      <c r="B30" s="57">
        <v>1</v>
      </c>
      <c r="C30" s="57">
        <v>47.320399999999999</v>
      </c>
      <c r="D30" s="57">
        <v>2.9530000000000001E-2</v>
      </c>
      <c r="E30" s="57">
        <v>1.3974</v>
      </c>
      <c r="F30" s="57">
        <v>43.1</v>
      </c>
      <c r="G30" s="57">
        <v>44.5</v>
      </c>
      <c r="H30" s="57">
        <v>45.9</v>
      </c>
      <c r="I30" s="57">
        <v>47.3</v>
      </c>
      <c r="J30" s="57">
        <v>48.7</v>
      </c>
      <c r="K30" s="57">
        <v>50.1</v>
      </c>
      <c r="L30" s="57">
        <v>51.5</v>
      </c>
      <c r="N30" s="57">
        <v>25</v>
      </c>
      <c r="O30" s="57">
        <v>1</v>
      </c>
      <c r="P30" s="57">
        <v>48.377699999999997</v>
      </c>
      <c r="Q30" s="57">
        <v>2.8250000000000001E-2</v>
      </c>
      <c r="R30" s="57">
        <v>1.3667</v>
      </c>
      <c r="S30" s="57">
        <v>44.3</v>
      </c>
      <c r="T30" s="57">
        <v>45.6</v>
      </c>
      <c r="U30" s="57">
        <v>47</v>
      </c>
      <c r="V30" s="57">
        <v>48.4</v>
      </c>
      <c r="W30" s="57">
        <v>49.7</v>
      </c>
      <c r="X30" s="57">
        <v>51.1</v>
      </c>
      <c r="Y30" s="57">
        <v>52.5</v>
      </c>
    </row>
    <row r="31" spans="1:25">
      <c r="A31" s="57">
        <v>26</v>
      </c>
      <c r="B31" s="57">
        <v>1</v>
      </c>
      <c r="C31" s="57">
        <v>47.453600000000002</v>
      </c>
      <c r="D31" s="57">
        <v>2.9489999999999999E-2</v>
      </c>
      <c r="E31" s="57">
        <v>1.3994</v>
      </c>
      <c r="F31" s="57">
        <v>43.3</v>
      </c>
      <c r="G31" s="57">
        <v>44.7</v>
      </c>
      <c r="H31" s="57">
        <v>46.1</v>
      </c>
      <c r="I31" s="57">
        <v>47.5</v>
      </c>
      <c r="J31" s="57">
        <v>48.9</v>
      </c>
      <c r="K31" s="57">
        <v>50.3</v>
      </c>
      <c r="L31" s="57">
        <v>51.7</v>
      </c>
      <c r="N31" s="57">
        <v>26</v>
      </c>
      <c r="O31" s="57">
        <v>1</v>
      </c>
      <c r="P31" s="57">
        <v>48.498899999999999</v>
      </c>
      <c r="Q31" s="57">
        <v>2.8299999999999999E-2</v>
      </c>
      <c r="R31" s="57">
        <v>1.3725000000000001</v>
      </c>
      <c r="S31" s="57">
        <v>44.4</v>
      </c>
      <c r="T31" s="57">
        <v>45.8</v>
      </c>
      <c r="U31" s="57">
        <v>47.1</v>
      </c>
      <c r="V31" s="57">
        <v>48.5</v>
      </c>
      <c r="W31" s="57">
        <v>49.9</v>
      </c>
      <c r="X31" s="57">
        <v>51.2</v>
      </c>
      <c r="Y31" s="57">
        <v>52.6</v>
      </c>
    </row>
    <row r="32" spans="1:25">
      <c r="A32" s="57">
        <v>27</v>
      </c>
      <c r="B32" s="57">
        <v>1</v>
      </c>
      <c r="C32" s="57">
        <v>47.581699999999998</v>
      </c>
      <c r="D32" s="57">
        <v>2.945E-2</v>
      </c>
      <c r="E32" s="57">
        <v>1.4013</v>
      </c>
      <c r="F32" s="57">
        <v>43.4</v>
      </c>
      <c r="G32" s="57">
        <v>44.8</v>
      </c>
      <c r="H32" s="57">
        <v>46.2</v>
      </c>
      <c r="I32" s="57">
        <v>47.6</v>
      </c>
      <c r="J32" s="57">
        <v>49</v>
      </c>
      <c r="K32" s="57">
        <v>50.4</v>
      </c>
      <c r="L32" s="57">
        <v>51.8</v>
      </c>
      <c r="N32" s="57">
        <v>27</v>
      </c>
      <c r="O32" s="57">
        <v>1</v>
      </c>
      <c r="P32" s="57">
        <v>48.615099999999998</v>
      </c>
      <c r="Q32" s="57">
        <v>2.8340000000000001E-2</v>
      </c>
      <c r="R32" s="57">
        <v>1.3777999999999999</v>
      </c>
      <c r="S32" s="57">
        <v>44.5</v>
      </c>
      <c r="T32" s="57">
        <v>45.9</v>
      </c>
      <c r="U32" s="57">
        <v>47.2</v>
      </c>
      <c r="V32" s="57">
        <v>48.6</v>
      </c>
      <c r="W32" s="57">
        <v>50</v>
      </c>
      <c r="X32" s="57">
        <v>51.4</v>
      </c>
      <c r="Y32" s="57">
        <v>52.7</v>
      </c>
    </row>
    <row r="33" spans="1:25">
      <c r="A33" s="57">
        <v>28</v>
      </c>
      <c r="B33" s="57">
        <v>1</v>
      </c>
      <c r="C33" s="57">
        <v>47.704500000000003</v>
      </c>
      <c r="D33" s="57">
        <v>2.9409999999999999E-2</v>
      </c>
      <c r="E33" s="57">
        <v>1.403</v>
      </c>
      <c r="F33" s="57">
        <v>43.5</v>
      </c>
      <c r="G33" s="57">
        <v>44.9</v>
      </c>
      <c r="H33" s="57">
        <v>46.3</v>
      </c>
      <c r="I33" s="57">
        <v>47.7</v>
      </c>
      <c r="J33" s="57">
        <v>49.1</v>
      </c>
      <c r="K33" s="57">
        <v>50.5</v>
      </c>
      <c r="L33" s="57">
        <v>51.9</v>
      </c>
      <c r="N33" s="57">
        <v>28</v>
      </c>
      <c r="O33" s="57">
        <v>1</v>
      </c>
      <c r="P33" s="57">
        <v>48.726399999999998</v>
      </c>
      <c r="Q33" s="57">
        <v>2.8379999999999999E-2</v>
      </c>
      <c r="R33" s="57">
        <v>1.3829</v>
      </c>
      <c r="S33" s="57">
        <v>44.6</v>
      </c>
      <c r="T33" s="57">
        <v>46</v>
      </c>
      <c r="U33" s="57">
        <v>47.3</v>
      </c>
      <c r="V33" s="57">
        <v>48.7</v>
      </c>
      <c r="W33" s="57">
        <v>50.1</v>
      </c>
      <c r="X33" s="57">
        <v>51.5</v>
      </c>
      <c r="Y33" s="57">
        <v>52.9</v>
      </c>
    </row>
    <row r="34" spans="1:25">
      <c r="A34" s="57">
        <v>29</v>
      </c>
      <c r="B34" s="57">
        <v>1</v>
      </c>
      <c r="C34" s="57">
        <v>47.821899999999999</v>
      </c>
      <c r="D34" s="57">
        <v>2.937E-2</v>
      </c>
      <c r="E34" s="57">
        <v>1.4045000000000001</v>
      </c>
      <c r="F34" s="57">
        <v>43.6</v>
      </c>
      <c r="G34" s="57">
        <v>45</v>
      </c>
      <c r="H34" s="57">
        <v>46.4</v>
      </c>
      <c r="I34" s="57">
        <v>47.8</v>
      </c>
      <c r="J34" s="57">
        <v>49.2</v>
      </c>
      <c r="K34" s="57">
        <v>50.6</v>
      </c>
      <c r="L34" s="57">
        <v>52</v>
      </c>
      <c r="N34" s="57">
        <v>29</v>
      </c>
      <c r="O34" s="57">
        <v>1</v>
      </c>
      <c r="P34" s="57">
        <v>48.833100000000002</v>
      </c>
      <c r="Q34" s="57">
        <v>2.8420000000000001E-2</v>
      </c>
      <c r="R34" s="57">
        <v>1.3877999999999999</v>
      </c>
      <c r="S34" s="57">
        <v>44.7</v>
      </c>
      <c r="T34" s="57">
        <v>46.1</v>
      </c>
      <c r="U34" s="57">
        <v>47.4</v>
      </c>
      <c r="V34" s="57">
        <v>48.8</v>
      </c>
      <c r="W34" s="57">
        <v>50.2</v>
      </c>
      <c r="X34" s="57">
        <v>51.6</v>
      </c>
      <c r="Y34" s="57">
        <v>53</v>
      </c>
    </row>
    <row r="35" spans="1:25">
      <c r="A35" s="57">
        <v>30</v>
      </c>
      <c r="B35" s="57">
        <v>1</v>
      </c>
      <c r="C35" s="57">
        <v>47.933999999999997</v>
      </c>
      <c r="D35" s="57">
        <v>2.9329999999999998E-2</v>
      </c>
      <c r="E35" s="57">
        <v>1.4058999999999999</v>
      </c>
      <c r="F35" s="57">
        <v>43.7</v>
      </c>
      <c r="G35" s="57">
        <v>45.1</v>
      </c>
      <c r="H35" s="57">
        <v>46.5</v>
      </c>
      <c r="I35" s="57">
        <v>47.9</v>
      </c>
      <c r="J35" s="57">
        <v>49.3</v>
      </c>
      <c r="K35" s="57">
        <v>50.7</v>
      </c>
      <c r="L35" s="57">
        <v>52.2</v>
      </c>
      <c r="N35" s="57">
        <v>30</v>
      </c>
      <c r="O35" s="57">
        <v>1</v>
      </c>
      <c r="P35" s="57">
        <v>48.935099999999998</v>
      </c>
      <c r="Q35" s="57">
        <v>2.8469999999999999E-2</v>
      </c>
      <c r="R35" s="57">
        <v>1.3932</v>
      </c>
      <c r="S35" s="57">
        <v>44.8</v>
      </c>
      <c r="T35" s="57">
        <v>46.1</v>
      </c>
      <c r="U35" s="57">
        <v>47.5</v>
      </c>
      <c r="V35" s="57">
        <v>48.9</v>
      </c>
      <c r="W35" s="57">
        <v>50.3</v>
      </c>
      <c r="X35" s="57">
        <v>51.7</v>
      </c>
      <c r="Y35" s="57">
        <v>53.1</v>
      </c>
    </row>
    <row r="36" spans="1:25">
      <c r="A36" s="57">
        <v>31</v>
      </c>
      <c r="B36" s="57">
        <v>1</v>
      </c>
      <c r="C36" s="57">
        <v>48.040999999999997</v>
      </c>
      <c r="D36" s="57">
        <v>2.929E-2</v>
      </c>
      <c r="E36" s="57">
        <v>1.4071</v>
      </c>
      <c r="F36" s="57">
        <v>43.8</v>
      </c>
      <c r="G36" s="57">
        <v>45.2</v>
      </c>
      <c r="H36" s="57">
        <v>46.6</v>
      </c>
      <c r="I36" s="57">
        <v>48</v>
      </c>
      <c r="J36" s="57">
        <v>49.4</v>
      </c>
      <c r="K36" s="57">
        <v>50.9</v>
      </c>
      <c r="L36" s="57">
        <v>52.3</v>
      </c>
      <c r="N36" s="57">
        <v>31</v>
      </c>
      <c r="O36" s="57">
        <v>1</v>
      </c>
      <c r="P36" s="57">
        <v>49.032699999999998</v>
      </c>
      <c r="Q36" s="57">
        <v>2.8510000000000001E-2</v>
      </c>
      <c r="R36" s="57">
        <v>1.3978999999999999</v>
      </c>
      <c r="S36" s="57">
        <v>44.8</v>
      </c>
      <c r="T36" s="57">
        <v>46.2</v>
      </c>
      <c r="U36" s="57">
        <v>47.6</v>
      </c>
      <c r="V36" s="57">
        <v>49</v>
      </c>
      <c r="W36" s="57">
        <v>50.4</v>
      </c>
      <c r="X36" s="57">
        <v>51.8</v>
      </c>
      <c r="Y36" s="57">
        <v>53.2</v>
      </c>
    </row>
    <row r="37" spans="1:25">
      <c r="A37" s="57">
        <v>32</v>
      </c>
      <c r="B37" s="57">
        <v>1</v>
      </c>
      <c r="C37" s="57">
        <v>48.1432</v>
      </c>
      <c r="D37" s="57">
        <v>2.9260000000000001E-2</v>
      </c>
      <c r="E37" s="57">
        <v>1.4087000000000001</v>
      </c>
      <c r="F37" s="57">
        <v>43.9</v>
      </c>
      <c r="G37" s="57">
        <v>45.3</v>
      </c>
      <c r="H37" s="57">
        <v>46.7</v>
      </c>
      <c r="I37" s="57">
        <v>48.1</v>
      </c>
      <c r="J37" s="57">
        <v>49.6</v>
      </c>
      <c r="K37" s="57">
        <v>51</v>
      </c>
      <c r="L37" s="57">
        <v>52.4</v>
      </c>
      <c r="N37" s="57">
        <v>32</v>
      </c>
      <c r="O37" s="57">
        <v>1</v>
      </c>
      <c r="P37" s="57">
        <v>49.125999999999998</v>
      </c>
      <c r="Q37" s="57">
        <v>2.8549999999999999E-2</v>
      </c>
      <c r="R37" s="57">
        <v>1.4026000000000001</v>
      </c>
      <c r="S37" s="57">
        <v>44.9</v>
      </c>
      <c r="T37" s="57">
        <v>46.3</v>
      </c>
      <c r="U37" s="57">
        <v>47.7</v>
      </c>
      <c r="V37" s="57">
        <v>49.1</v>
      </c>
      <c r="W37" s="57">
        <v>50.5</v>
      </c>
      <c r="X37" s="57">
        <v>51.9</v>
      </c>
      <c r="Y37" s="57">
        <v>53.3</v>
      </c>
    </row>
    <row r="38" spans="1:25">
      <c r="A38" s="57">
        <v>33</v>
      </c>
      <c r="B38" s="57">
        <v>1</v>
      </c>
      <c r="C38" s="57">
        <v>48.2408</v>
      </c>
      <c r="D38" s="57">
        <v>2.9219999999999999E-2</v>
      </c>
      <c r="E38" s="57">
        <v>1.4096</v>
      </c>
      <c r="F38" s="57">
        <v>44</v>
      </c>
      <c r="G38" s="57">
        <v>45.4</v>
      </c>
      <c r="H38" s="57">
        <v>46.8</v>
      </c>
      <c r="I38" s="57">
        <v>48.2</v>
      </c>
      <c r="J38" s="57">
        <v>49.7</v>
      </c>
      <c r="K38" s="57">
        <v>51.1</v>
      </c>
      <c r="L38" s="57">
        <v>52.5</v>
      </c>
      <c r="N38" s="57">
        <v>33</v>
      </c>
      <c r="O38" s="57">
        <v>1</v>
      </c>
      <c r="P38" s="57">
        <v>49.215299999999999</v>
      </c>
      <c r="Q38" s="57">
        <v>2.8590000000000001E-2</v>
      </c>
      <c r="R38" s="57">
        <v>1.4071</v>
      </c>
      <c r="S38" s="57">
        <v>45</v>
      </c>
      <c r="T38" s="57">
        <v>46.4</v>
      </c>
      <c r="U38" s="57">
        <v>47.8</v>
      </c>
      <c r="V38" s="57">
        <v>49.2</v>
      </c>
      <c r="W38" s="57">
        <v>50.6</v>
      </c>
      <c r="X38" s="57">
        <v>52</v>
      </c>
      <c r="Y38" s="57">
        <v>53.4</v>
      </c>
    </row>
    <row r="39" spans="1:25">
      <c r="A39" s="57">
        <v>34</v>
      </c>
      <c r="B39" s="57">
        <v>1</v>
      </c>
      <c r="C39" s="57">
        <v>48.334299999999999</v>
      </c>
      <c r="D39" s="57">
        <v>2.9190000000000001E-2</v>
      </c>
      <c r="E39" s="57">
        <v>1.4109</v>
      </c>
      <c r="F39" s="57">
        <v>44.1</v>
      </c>
      <c r="G39" s="57">
        <v>45.5</v>
      </c>
      <c r="H39" s="57">
        <v>46.9</v>
      </c>
      <c r="I39" s="57">
        <v>48.3</v>
      </c>
      <c r="J39" s="57">
        <v>49.7</v>
      </c>
      <c r="K39" s="57">
        <v>51.2</v>
      </c>
      <c r="L39" s="57">
        <v>52.6</v>
      </c>
      <c r="N39" s="57">
        <v>34</v>
      </c>
      <c r="O39" s="57">
        <v>1</v>
      </c>
      <c r="P39" s="57">
        <v>49.300699999999999</v>
      </c>
      <c r="Q39" s="57">
        <v>2.8629999999999999E-2</v>
      </c>
      <c r="R39" s="57">
        <v>1.4115</v>
      </c>
      <c r="S39" s="57">
        <v>45.1</v>
      </c>
      <c r="T39" s="57">
        <v>46.5</v>
      </c>
      <c r="U39" s="57">
        <v>47.9</v>
      </c>
      <c r="V39" s="57">
        <v>49.3</v>
      </c>
      <c r="W39" s="57">
        <v>50.7</v>
      </c>
      <c r="X39" s="57">
        <v>52.1</v>
      </c>
      <c r="Y39" s="57">
        <v>53.5</v>
      </c>
    </row>
    <row r="40" spans="1:25">
      <c r="A40" s="57">
        <v>35</v>
      </c>
      <c r="B40" s="57">
        <v>1</v>
      </c>
      <c r="C40" s="57">
        <v>48.423900000000003</v>
      </c>
      <c r="D40" s="57">
        <v>2.9149999999999999E-2</v>
      </c>
      <c r="E40" s="57">
        <v>1.4116</v>
      </c>
      <c r="F40" s="57">
        <v>44.2</v>
      </c>
      <c r="G40" s="57">
        <v>45.6</v>
      </c>
      <c r="H40" s="57">
        <v>47</v>
      </c>
      <c r="I40" s="57">
        <v>48.4</v>
      </c>
      <c r="J40" s="57">
        <v>49.8</v>
      </c>
      <c r="K40" s="57">
        <v>51.2</v>
      </c>
      <c r="L40" s="57">
        <v>52.7</v>
      </c>
      <c r="N40" s="57">
        <v>35</v>
      </c>
      <c r="O40" s="57">
        <v>1</v>
      </c>
      <c r="P40" s="57">
        <v>49.382599999999996</v>
      </c>
      <c r="Q40" s="57">
        <v>2.8670000000000001E-2</v>
      </c>
      <c r="R40" s="57">
        <v>1.4157999999999999</v>
      </c>
      <c r="S40" s="57">
        <v>45.1</v>
      </c>
      <c r="T40" s="57">
        <v>46.6</v>
      </c>
      <c r="U40" s="57">
        <v>48</v>
      </c>
      <c r="V40" s="57">
        <v>49.4</v>
      </c>
      <c r="W40" s="57">
        <v>50.8</v>
      </c>
      <c r="X40" s="57">
        <v>52.2</v>
      </c>
      <c r="Y40" s="57">
        <v>53.6</v>
      </c>
    </row>
    <row r="41" spans="1:25">
      <c r="A41" s="57">
        <v>36</v>
      </c>
      <c r="B41" s="57">
        <v>1</v>
      </c>
      <c r="C41" s="57">
        <v>48.509900000000002</v>
      </c>
      <c r="D41" s="57">
        <v>2.912E-2</v>
      </c>
      <c r="E41" s="57">
        <v>1.4126000000000001</v>
      </c>
      <c r="F41" s="57">
        <v>44.3</v>
      </c>
      <c r="G41" s="57">
        <v>45.7</v>
      </c>
      <c r="H41" s="57">
        <v>47.1</v>
      </c>
      <c r="I41" s="57">
        <v>48.5</v>
      </c>
      <c r="J41" s="57">
        <v>49.9</v>
      </c>
      <c r="K41" s="57">
        <v>51.3</v>
      </c>
      <c r="L41" s="57">
        <v>52.7</v>
      </c>
      <c r="N41" s="57">
        <v>36</v>
      </c>
      <c r="O41" s="57">
        <v>1</v>
      </c>
      <c r="P41" s="57">
        <v>49.461199999999998</v>
      </c>
      <c r="Q41" s="57">
        <v>2.8709999999999999E-2</v>
      </c>
      <c r="R41" s="57">
        <v>1.42</v>
      </c>
      <c r="S41" s="57">
        <v>45.2</v>
      </c>
      <c r="T41" s="57">
        <v>46.6</v>
      </c>
      <c r="U41" s="57">
        <v>48</v>
      </c>
      <c r="V41" s="57">
        <v>49.5</v>
      </c>
      <c r="W41" s="57">
        <v>50.9</v>
      </c>
      <c r="X41" s="57">
        <v>52.3</v>
      </c>
      <c r="Y41" s="57">
        <v>53.7</v>
      </c>
    </row>
    <row r="42" spans="1:25">
      <c r="A42" s="57">
        <v>37</v>
      </c>
      <c r="B42" s="57">
        <v>1</v>
      </c>
      <c r="C42" s="57">
        <v>48.592599999999997</v>
      </c>
      <c r="D42" s="57">
        <v>2.9090000000000001E-2</v>
      </c>
      <c r="E42" s="57">
        <v>1.4136</v>
      </c>
      <c r="F42" s="57">
        <v>44.4</v>
      </c>
      <c r="G42" s="57">
        <v>45.8</v>
      </c>
      <c r="H42" s="57">
        <v>47.2</v>
      </c>
      <c r="I42" s="57">
        <v>48.6</v>
      </c>
      <c r="J42" s="57">
        <v>50</v>
      </c>
      <c r="K42" s="57">
        <v>51.4</v>
      </c>
      <c r="L42" s="57">
        <v>52.8</v>
      </c>
      <c r="N42" s="57">
        <v>37</v>
      </c>
      <c r="O42" s="57">
        <v>1</v>
      </c>
      <c r="P42" s="57">
        <v>49.536700000000003</v>
      </c>
      <c r="Q42" s="57">
        <v>2.8750000000000001E-2</v>
      </c>
      <c r="R42" s="57">
        <v>1.4241999999999999</v>
      </c>
      <c r="S42" s="57">
        <v>45.3</v>
      </c>
      <c r="T42" s="57">
        <v>46.7</v>
      </c>
      <c r="U42" s="57">
        <v>48.1</v>
      </c>
      <c r="V42" s="57">
        <v>49.5</v>
      </c>
      <c r="W42" s="57">
        <v>51</v>
      </c>
      <c r="X42" s="57">
        <v>52.4</v>
      </c>
      <c r="Y42" s="57">
        <v>53.8</v>
      </c>
    </row>
    <row r="43" spans="1:25">
      <c r="A43" s="57">
        <v>38</v>
      </c>
      <c r="B43" s="57">
        <v>1</v>
      </c>
      <c r="C43" s="57">
        <v>48.672199999999997</v>
      </c>
      <c r="D43" s="57">
        <v>2.9059999999999999E-2</v>
      </c>
      <c r="E43" s="57">
        <v>1.4144000000000001</v>
      </c>
      <c r="F43" s="57">
        <v>44.4</v>
      </c>
      <c r="G43" s="57">
        <v>45.8</v>
      </c>
      <c r="H43" s="57">
        <v>47.3</v>
      </c>
      <c r="I43" s="57">
        <v>48.7</v>
      </c>
      <c r="J43" s="57">
        <v>50.1</v>
      </c>
      <c r="K43" s="57">
        <v>51.5</v>
      </c>
      <c r="L43" s="57">
        <v>52.9</v>
      </c>
      <c r="N43" s="57">
        <v>38</v>
      </c>
      <c r="O43" s="57">
        <v>1</v>
      </c>
      <c r="P43" s="57">
        <v>49.609299999999998</v>
      </c>
      <c r="Q43" s="57">
        <v>2.878E-2</v>
      </c>
      <c r="R43" s="57">
        <v>1.4278</v>
      </c>
      <c r="S43" s="57">
        <v>45.3</v>
      </c>
      <c r="T43" s="57">
        <v>46.8</v>
      </c>
      <c r="U43" s="57">
        <v>48.2</v>
      </c>
      <c r="V43" s="57">
        <v>49.6</v>
      </c>
      <c r="W43" s="57">
        <v>51</v>
      </c>
      <c r="X43" s="57">
        <v>52.5</v>
      </c>
      <c r="Y43" s="57">
        <v>53.9</v>
      </c>
    </row>
    <row r="44" spans="1:25">
      <c r="A44" s="57">
        <v>39</v>
      </c>
      <c r="B44" s="57">
        <v>1</v>
      </c>
      <c r="C44" s="57">
        <v>48.748899999999999</v>
      </c>
      <c r="D44" s="57">
        <v>2.903E-2</v>
      </c>
      <c r="E44" s="57">
        <v>1.4152</v>
      </c>
      <c r="F44" s="57">
        <v>44.5</v>
      </c>
      <c r="G44" s="57">
        <v>45.9</v>
      </c>
      <c r="H44" s="57">
        <v>47.3</v>
      </c>
      <c r="I44" s="57">
        <v>48.7</v>
      </c>
      <c r="J44" s="57">
        <v>50.2</v>
      </c>
      <c r="K44" s="57">
        <v>51.6</v>
      </c>
      <c r="L44" s="57">
        <v>53</v>
      </c>
      <c r="N44" s="57">
        <v>39</v>
      </c>
      <c r="O44" s="57">
        <v>1</v>
      </c>
      <c r="P44" s="57">
        <v>49.679099999999998</v>
      </c>
      <c r="Q44" s="57">
        <v>2.8819999999999998E-2</v>
      </c>
      <c r="R44" s="57">
        <v>1.4318</v>
      </c>
      <c r="S44" s="57">
        <v>45.4</v>
      </c>
      <c r="T44" s="57">
        <v>46.8</v>
      </c>
      <c r="U44" s="57">
        <v>48.2</v>
      </c>
      <c r="V44" s="57">
        <v>49.7</v>
      </c>
      <c r="W44" s="57">
        <v>51.1</v>
      </c>
      <c r="X44" s="57">
        <v>52.5</v>
      </c>
      <c r="Y44" s="57">
        <v>54</v>
      </c>
    </row>
    <row r="45" spans="1:25">
      <c r="A45" s="57">
        <v>40</v>
      </c>
      <c r="B45" s="57">
        <v>1</v>
      </c>
      <c r="C45" s="57">
        <v>48.822800000000001</v>
      </c>
      <c r="D45" s="57">
        <v>2.9000000000000001E-2</v>
      </c>
      <c r="E45" s="57">
        <v>1.4158999999999999</v>
      </c>
      <c r="F45" s="57">
        <v>44.6</v>
      </c>
      <c r="G45" s="57">
        <v>46</v>
      </c>
      <c r="H45" s="57">
        <v>47.4</v>
      </c>
      <c r="I45" s="57">
        <v>48.8</v>
      </c>
      <c r="J45" s="57">
        <v>50.2</v>
      </c>
      <c r="K45" s="57">
        <v>51.7</v>
      </c>
      <c r="L45" s="57">
        <v>53.1</v>
      </c>
      <c r="N45" s="57">
        <v>40</v>
      </c>
      <c r="O45" s="57">
        <v>1</v>
      </c>
      <c r="P45" s="57">
        <v>49.746499999999997</v>
      </c>
      <c r="Q45" s="57">
        <v>2.886E-2</v>
      </c>
      <c r="R45" s="57">
        <v>1.4357</v>
      </c>
      <c r="S45" s="57">
        <v>45.4</v>
      </c>
      <c r="T45" s="57">
        <v>46.9</v>
      </c>
      <c r="U45" s="57">
        <v>48.3</v>
      </c>
      <c r="V45" s="57">
        <v>49.7</v>
      </c>
      <c r="W45" s="57">
        <v>51.2</v>
      </c>
      <c r="X45" s="57">
        <v>52.6</v>
      </c>
      <c r="Y45" s="57">
        <v>54.1</v>
      </c>
    </row>
    <row r="46" spans="1:25">
      <c r="A46" s="57">
        <v>41</v>
      </c>
      <c r="B46" s="57">
        <v>1</v>
      </c>
      <c r="C46" s="57">
        <v>48.894100000000002</v>
      </c>
      <c r="D46" s="57">
        <v>2.8969999999999999E-2</v>
      </c>
      <c r="E46" s="57">
        <v>1.4165000000000001</v>
      </c>
      <c r="F46" s="57">
        <v>44.6</v>
      </c>
      <c r="G46" s="57">
        <v>46.1</v>
      </c>
      <c r="H46" s="57">
        <v>47.5</v>
      </c>
      <c r="I46" s="57">
        <v>48.9</v>
      </c>
      <c r="J46" s="57">
        <v>50.3</v>
      </c>
      <c r="K46" s="57">
        <v>51.7</v>
      </c>
      <c r="L46" s="57">
        <v>53.1</v>
      </c>
      <c r="N46" s="57">
        <v>41</v>
      </c>
      <c r="O46" s="57">
        <v>1</v>
      </c>
      <c r="P46" s="57">
        <v>49.811599999999999</v>
      </c>
      <c r="Q46" s="57">
        <v>2.8889999999999999E-2</v>
      </c>
      <c r="R46" s="57">
        <v>1.4391</v>
      </c>
      <c r="S46" s="57">
        <v>45.5</v>
      </c>
      <c r="T46" s="57">
        <v>46.9</v>
      </c>
      <c r="U46" s="57">
        <v>48.4</v>
      </c>
      <c r="V46" s="57">
        <v>49.8</v>
      </c>
      <c r="W46" s="57">
        <v>51.3</v>
      </c>
      <c r="X46" s="57">
        <v>52.7</v>
      </c>
      <c r="Y46" s="57">
        <v>54.1</v>
      </c>
    </row>
    <row r="47" spans="1:25">
      <c r="A47" s="57">
        <v>42</v>
      </c>
      <c r="B47" s="57">
        <v>1</v>
      </c>
      <c r="C47" s="57">
        <v>48.962899999999998</v>
      </c>
      <c r="D47" s="57">
        <v>2.894E-2</v>
      </c>
      <c r="E47" s="57">
        <v>1.417</v>
      </c>
      <c r="F47" s="57">
        <v>44.7</v>
      </c>
      <c r="G47" s="57">
        <v>46.1</v>
      </c>
      <c r="H47" s="57">
        <v>47.5</v>
      </c>
      <c r="I47" s="57">
        <v>49</v>
      </c>
      <c r="J47" s="57">
        <v>50.4</v>
      </c>
      <c r="K47" s="57">
        <v>51.8</v>
      </c>
      <c r="L47" s="57">
        <v>53.2</v>
      </c>
      <c r="N47" s="57">
        <v>42</v>
      </c>
      <c r="O47" s="57">
        <v>1</v>
      </c>
      <c r="P47" s="57">
        <v>49.874499999999998</v>
      </c>
      <c r="Q47" s="57">
        <v>2.8930000000000001E-2</v>
      </c>
      <c r="R47" s="57">
        <v>1.4429000000000001</v>
      </c>
      <c r="S47" s="57">
        <v>45.5</v>
      </c>
      <c r="T47" s="57">
        <v>47</v>
      </c>
      <c r="U47" s="57">
        <v>48.4</v>
      </c>
      <c r="V47" s="57">
        <v>49.9</v>
      </c>
      <c r="W47" s="57">
        <v>51.3</v>
      </c>
      <c r="X47" s="57">
        <v>52.8</v>
      </c>
      <c r="Y47" s="57">
        <v>54.2</v>
      </c>
    </row>
    <row r="48" spans="1:25">
      <c r="A48" s="57">
        <v>43</v>
      </c>
      <c r="B48" s="57">
        <v>1</v>
      </c>
      <c r="C48" s="57">
        <v>49.029400000000003</v>
      </c>
      <c r="D48" s="57">
        <v>2.8910000000000002E-2</v>
      </c>
      <c r="E48" s="57">
        <v>1.4174</v>
      </c>
      <c r="F48" s="57">
        <v>44.8</v>
      </c>
      <c r="G48" s="57">
        <v>46.2</v>
      </c>
      <c r="H48" s="57">
        <v>47.6</v>
      </c>
      <c r="I48" s="57">
        <v>49</v>
      </c>
      <c r="J48" s="57">
        <v>50.4</v>
      </c>
      <c r="K48" s="57">
        <v>51.9</v>
      </c>
      <c r="L48" s="57">
        <v>53.3</v>
      </c>
      <c r="N48" s="57">
        <v>43</v>
      </c>
      <c r="O48" s="57">
        <v>1</v>
      </c>
      <c r="P48" s="57">
        <v>49.935400000000001</v>
      </c>
      <c r="Q48" s="57">
        <v>2.896E-2</v>
      </c>
      <c r="R48" s="57">
        <v>1.4460999999999999</v>
      </c>
      <c r="S48" s="57">
        <v>45.6</v>
      </c>
      <c r="T48" s="57">
        <v>47</v>
      </c>
      <c r="U48" s="57">
        <v>48.5</v>
      </c>
      <c r="V48" s="57">
        <v>49.9</v>
      </c>
      <c r="W48" s="57">
        <v>51.4</v>
      </c>
      <c r="X48" s="57">
        <v>52.8</v>
      </c>
      <c r="Y48" s="57">
        <v>54.3</v>
      </c>
    </row>
    <row r="49" spans="1:25">
      <c r="A49" s="57">
        <v>44</v>
      </c>
      <c r="B49" s="57">
        <v>1</v>
      </c>
      <c r="C49" s="57">
        <v>49.093699999999998</v>
      </c>
      <c r="D49" s="57">
        <v>2.8879999999999999E-2</v>
      </c>
      <c r="E49" s="57">
        <v>1.4177999999999999</v>
      </c>
      <c r="F49" s="57">
        <v>44.8</v>
      </c>
      <c r="G49" s="57">
        <v>46.3</v>
      </c>
      <c r="H49" s="57">
        <v>47.7</v>
      </c>
      <c r="I49" s="57">
        <v>49.1</v>
      </c>
      <c r="J49" s="57">
        <v>50.5</v>
      </c>
      <c r="K49" s="57">
        <v>51.9</v>
      </c>
      <c r="L49" s="57">
        <v>53.3</v>
      </c>
      <c r="N49" s="57">
        <v>44</v>
      </c>
      <c r="O49" s="57">
        <v>1</v>
      </c>
      <c r="P49" s="57">
        <v>49.994199999999999</v>
      </c>
      <c r="Q49" s="57">
        <v>2.8989999999999998E-2</v>
      </c>
      <c r="R49" s="57">
        <v>1.4493</v>
      </c>
      <c r="S49" s="57">
        <v>45.6</v>
      </c>
      <c r="T49" s="57">
        <v>47.1</v>
      </c>
      <c r="U49" s="57">
        <v>48.5</v>
      </c>
      <c r="V49" s="57">
        <v>50</v>
      </c>
      <c r="W49" s="57">
        <v>51.4</v>
      </c>
      <c r="X49" s="57">
        <v>52.9</v>
      </c>
      <c r="Y49" s="57">
        <v>54.3</v>
      </c>
    </row>
    <row r="50" spans="1:25">
      <c r="A50" s="57">
        <v>45</v>
      </c>
      <c r="B50" s="57">
        <v>1</v>
      </c>
      <c r="C50" s="57">
        <v>49.155999999999999</v>
      </c>
      <c r="D50" s="57">
        <v>2.886E-2</v>
      </c>
      <c r="E50" s="57">
        <v>1.4186000000000001</v>
      </c>
      <c r="F50" s="57">
        <v>44.9</v>
      </c>
      <c r="G50" s="57">
        <v>46.3</v>
      </c>
      <c r="H50" s="57">
        <v>47.7</v>
      </c>
      <c r="I50" s="57">
        <v>49.2</v>
      </c>
      <c r="J50" s="57">
        <v>50.6</v>
      </c>
      <c r="K50" s="57">
        <v>52</v>
      </c>
      <c r="L50" s="57">
        <v>53.4</v>
      </c>
      <c r="N50" s="57">
        <v>45</v>
      </c>
      <c r="O50" s="57">
        <v>1</v>
      </c>
      <c r="P50" s="57">
        <v>50.051200000000001</v>
      </c>
      <c r="Q50" s="57">
        <v>2.903E-2</v>
      </c>
      <c r="R50" s="57">
        <v>1.4530000000000001</v>
      </c>
      <c r="S50" s="57">
        <v>45.7</v>
      </c>
      <c r="T50" s="57">
        <v>47.1</v>
      </c>
      <c r="U50" s="57">
        <v>48.6</v>
      </c>
      <c r="V50" s="57">
        <v>50.1</v>
      </c>
      <c r="W50" s="57">
        <v>51.5</v>
      </c>
      <c r="X50" s="57">
        <v>53</v>
      </c>
      <c r="Y50" s="57">
        <v>54.4</v>
      </c>
    </row>
    <row r="51" spans="1:25">
      <c r="A51" s="57">
        <v>46</v>
      </c>
      <c r="B51" s="57">
        <v>1</v>
      </c>
      <c r="C51" s="57">
        <v>49.2164</v>
      </c>
      <c r="D51" s="57">
        <v>2.8830000000000001E-2</v>
      </c>
      <c r="E51" s="57">
        <v>1.4189000000000001</v>
      </c>
      <c r="F51" s="57">
        <v>45</v>
      </c>
      <c r="G51" s="57">
        <v>46.4</v>
      </c>
      <c r="H51" s="57">
        <v>47.8</v>
      </c>
      <c r="I51" s="57">
        <v>49.2</v>
      </c>
      <c r="J51" s="57">
        <v>50.6</v>
      </c>
      <c r="K51" s="57">
        <v>52.1</v>
      </c>
      <c r="L51" s="57">
        <v>53.5</v>
      </c>
      <c r="N51" s="57">
        <v>46</v>
      </c>
      <c r="O51" s="57">
        <v>1</v>
      </c>
      <c r="P51" s="57">
        <v>50.106400000000001</v>
      </c>
      <c r="Q51" s="57">
        <v>2.9059999999999999E-2</v>
      </c>
      <c r="R51" s="57">
        <v>1.4560999999999999</v>
      </c>
      <c r="S51" s="57">
        <v>45.7</v>
      </c>
      <c r="T51" s="57">
        <v>47.2</v>
      </c>
      <c r="U51" s="57">
        <v>48.7</v>
      </c>
      <c r="V51" s="57">
        <v>50.1</v>
      </c>
      <c r="W51" s="57">
        <v>51.6</v>
      </c>
      <c r="X51" s="57">
        <v>53</v>
      </c>
      <c r="Y51" s="57">
        <v>54.5</v>
      </c>
    </row>
    <row r="52" spans="1:25">
      <c r="A52" s="57">
        <v>47</v>
      </c>
      <c r="B52" s="57">
        <v>1</v>
      </c>
      <c r="C52" s="57">
        <v>49.275100000000002</v>
      </c>
      <c r="D52" s="57">
        <v>2.8799999999999999E-2</v>
      </c>
      <c r="E52" s="57">
        <v>1.4191</v>
      </c>
      <c r="F52" s="57">
        <v>45</v>
      </c>
      <c r="G52" s="57">
        <v>46.4</v>
      </c>
      <c r="H52" s="57">
        <v>47.9</v>
      </c>
      <c r="I52" s="57">
        <v>49.3</v>
      </c>
      <c r="J52" s="57">
        <v>50.7</v>
      </c>
      <c r="K52" s="57">
        <v>52.1</v>
      </c>
      <c r="L52" s="57">
        <v>53.5</v>
      </c>
      <c r="N52" s="57">
        <v>47</v>
      </c>
      <c r="O52" s="57">
        <v>1</v>
      </c>
      <c r="P52" s="57">
        <v>50.159799999999997</v>
      </c>
      <c r="Q52" s="57">
        <v>2.9090000000000001E-2</v>
      </c>
      <c r="R52" s="57">
        <v>1.4592000000000001</v>
      </c>
      <c r="S52" s="57">
        <v>45.8</v>
      </c>
      <c r="T52" s="57">
        <v>47.2</v>
      </c>
      <c r="U52" s="57">
        <v>48.7</v>
      </c>
      <c r="V52" s="57">
        <v>50.2</v>
      </c>
      <c r="W52" s="57">
        <v>51.6</v>
      </c>
      <c r="X52" s="57">
        <v>53.1</v>
      </c>
      <c r="Y52" s="57">
        <v>54.5</v>
      </c>
    </row>
    <row r="53" spans="1:25">
      <c r="A53" s="57">
        <v>48</v>
      </c>
      <c r="B53" s="57">
        <v>1</v>
      </c>
      <c r="C53" s="57">
        <v>49.332099999999997</v>
      </c>
      <c r="D53" s="57">
        <v>2.878E-2</v>
      </c>
      <c r="E53" s="57">
        <v>1.4198</v>
      </c>
      <c r="F53" s="57">
        <v>45.1</v>
      </c>
      <c r="G53" s="57">
        <v>46.5</v>
      </c>
      <c r="H53" s="57">
        <v>47.9</v>
      </c>
      <c r="I53" s="57">
        <v>49.3</v>
      </c>
      <c r="J53" s="57">
        <v>50.8</v>
      </c>
      <c r="K53" s="57">
        <v>52.2</v>
      </c>
      <c r="L53" s="57">
        <v>53.6</v>
      </c>
      <c r="N53" s="57">
        <v>48</v>
      </c>
      <c r="O53" s="57">
        <v>1</v>
      </c>
      <c r="P53" s="57">
        <v>50.211500000000001</v>
      </c>
      <c r="Q53" s="57">
        <v>2.912E-2</v>
      </c>
      <c r="R53" s="57">
        <v>1.4621999999999999</v>
      </c>
      <c r="S53" s="57">
        <v>45.8</v>
      </c>
      <c r="T53" s="57">
        <v>47.3</v>
      </c>
      <c r="U53" s="57">
        <v>48.7</v>
      </c>
      <c r="V53" s="57">
        <v>50.2</v>
      </c>
      <c r="W53" s="57">
        <v>51.7</v>
      </c>
      <c r="X53" s="57">
        <v>53.1</v>
      </c>
      <c r="Y53" s="57">
        <v>54.6</v>
      </c>
    </row>
    <row r="54" spans="1:25">
      <c r="A54" s="57">
        <v>49</v>
      </c>
      <c r="B54" s="57">
        <v>1</v>
      </c>
      <c r="C54" s="57">
        <v>49.387700000000002</v>
      </c>
      <c r="D54" s="57">
        <v>2.8750000000000001E-2</v>
      </c>
      <c r="E54" s="57">
        <v>1.4198999999999999</v>
      </c>
      <c r="F54" s="57">
        <v>45.1</v>
      </c>
      <c r="G54" s="57">
        <v>46.5</v>
      </c>
      <c r="H54" s="57">
        <v>48</v>
      </c>
      <c r="I54" s="57">
        <v>49.4</v>
      </c>
      <c r="J54" s="57">
        <v>50.8</v>
      </c>
      <c r="K54" s="57">
        <v>52.2</v>
      </c>
      <c r="L54" s="57">
        <v>53.6</v>
      </c>
      <c r="N54" s="57">
        <v>49</v>
      </c>
      <c r="O54" s="57">
        <v>1</v>
      </c>
      <c r="P54" s="57">
        <v>50.261699999999998</v>
      </c>
      <c r="Q54" s="57">
        <v>2.9149999999999999E-2</v>
      </c>
      <c r="R54" s="57">
        <v>1.4651000000000001</v>
      </c>
      <c r="S54" s="57">
        <v>45.9</v>
      </c>
      <c r="T54" s="57">
        <v>47.3</v>
      </c>
      <c r="U54" s="57">
        <v>48.8</v>
      </c>
      <c r="V54" s="57">
        <v>50.3</v>
      </c>
      <c r="W54" s="57">
        <v>51.7</v>
      </c>
      <c r="X54" s="57">
        <v>53.2</v>
      </c>
      <c r="Y54" s="57">
        <v>54.7</v>
      </c>
    </row>
    <row r="55" spans="1:25">
      <c r="A55" s="57">
        <v>50</v>
      </c>
      <c r="B55" s="57">
        <v>1</v>
      </c>
      <c r="C55" s="57">
        <v>49.441899999999997</v>
      </c>
      <c r="D55" s="57">
        <v>2.8729999999999999E-2</v>
      </c>
      <c r="E55" s="57">
        <v>1.4205000000000001</v>
      </c>
      <c r="F55" s="57">
        <v>45.2</v>
      </c>
      <c r="G55" s="57">
        <v>46.6</v>
      </c>
      <c r="H55" s="57">
        <v>48</v>
      </c>
      <c r="I55" s="57">
        <v>49.4</v>
      </c>
      <c r="J55" s="57">
        <v>50.9</v>
      </c>
      <c r="K55" s="57">
        <v>52.3</v>
      </c>
      <c r="L55" s="57">
        <v>53.7</v>
      </c>
      <c r="N55" s="57">
        <v>50</v>
      </c>
      <c r="O55" s="57">
        <v>1</v>
      </c>
      <c r="P55" s="57">
        <v>50.310499999999998</v>
      </c>
      <c r="Q55" s="57">
        <v>2.9180000000000001E-2</v>
      </c>
      <c r="R55" s="57">
        <v>1.4681</v>
      </c>
      <c r="S55" s="57">
        <v>45.9</v>
      </c>
      <c r="T55" s="57">
        <v>47.4</v>
      </c>
      <c r="U55" s="57">
        <v>48.8</v>
      </c>
      <c r="V55" s="57">
        <v>50.3</v>
      </c>
      <c r="W55" s="57">
        <v>51.8</v>
      </c>
      <c r="X55" s="57">
        <v>53.2</v>
      </c>
      <c r="Y55" s="57">
        <v>54.7</v>
      </c>
    </row>
    <row r="56" spans="1:25">
      <c r="A56" s="57">
        <v>51</v>
      </c>
      <c r="B56" s="57">
        <v>1</v>
      </c>
      <c r="C56" s="57">
        <v>49.494700000000002</v>
      </c>
      <c r="D56" s="57">
        <v>2.87E-2</v>
      </c>
      <c r="E56" s="57">
        <v>1.4205000000000001</v>
      </c>
      <c r="F56" s="57">
        <v>45.2</v>
      </c>
      <c r="G56" s="57">
        <v>46.7</v>
      </c>
      <c r="H56" s="57">
        <v>48.1</v>
      </c>
      <c r="I56" s="57">
        <v>49.5</v>
      </c>
      <c r="J56" s="57">
        <v>50.9</v>
      </c>
      <c r="K56" s="57">
        <v>52.3</v>
      </c>
      <c r="L56" s="57">
        <v>53.8</v>
      </c>
      <c r="N56" s="57">
        <v>51</v>
      </c>
      <c r="O56" s="57">
        <v>1</v>
      </c>
      <c r="P56" s="57">
        <v>50.357799999999997</v>
      </c>
      <c r="Q56" s="57">
        <v>2.921E-2</v>
      </c>
      <c r="R56" s="57">
        <v>1.4710000000000001</v>
      </c>
      <c r="S56" s="57">
        <v>45.9</v>
      </c>
      <c r="T56" s="57">
        <v>47.4</v>
      </c>
      <c r="U56" s="57">
        <v>48.9</v>
      </c>
      <c r="V56" s="57">
        <v>50.4</v>
      </c>
      <c r="W56" s="57">
        <v>51.8</v>
      </c>
      <c r="X56" s="57">
        <v>53.3</v>
      </c>
      <c r="Y56" s="57">
        <v>54.8</v>
      </c>
    </row>
    <row r="57" spans="1:25">
      <c r="A57" s="57">
        <v>52</v>
      </c>
      <c r="B57" s="57">
        <v>1</v>
      </c>
      <c r="C57" s="57">
        <v>49.546399999999998</v>
      </c>
      <c r="D57" s="57">
        <v>2.8680000000000001E-2</v>
      </c>
      <c r="E57" s="57">
        <v>1.421</v>
      </c>
      <c r="F57" s="57">
        <v>45.3</v>
      </c>
      <c r="G57" s="57">
        <v>46.7</v>
      </c>
      <c r="H57" s="57">
        <v>48.1</v>
      </c>
      <c r="I57" s="57">
        <v>49.5</v>
      </c>
      <c r="J57" s="57">
        <v>51</v>
      </c>
      <c r="K57" s="57">
        <v>52.4</v>
      </c>
      <c r="L57" s="57">
        <v>53.8</v>
      </c>
      <c r="N57" s="57">
        <v>52</v>
      </c>
      <c r="O57" s="57">
        <v>1</v>
      </c>
      <c r="P57" s="57">
        <v>50.4039</v>
      </c>
      <c r="Q57" s="57">
        <v>2.9239999999999999E-2</v>
      </c>
      <c r="R57" s="57">
        <v>1.4738</v>
      </c>
      <c r="S57" s="57">
        <v>46</v>
      </c>
      <c r="T57" s="57">
        <v>47.5</v>
      </c>
      <c r="U57" s="57">
        <v>48.9</v>
      </c>
      <c r="V57" s="57">
        <v>50.4</v>
      </c>
      <c r="W57" s="57">
        <v>51.9</v>
      </c>
      <c r="X57" s="57">
        <v>53.4</v>
      </c>
      <c r="Y57" s="57">
        <v>54.8</v>
      </c>
    </row>
    <row r="58" spans="1:25">
      <c r="A58" s="57">
        <v>53</v>
      </c>
      <c r="B58" s="57">
        <v>1</v>
      </c>
      <c r="C58" s="57">
        <v>49.596899999999998</v>
      </c>
      <c r="D58" s="57">
        <v>2.8649999999999998E-2</v>
      </c>
      <c r="E58" s="57">
        <v>1.421</v>
      </c>
      <c r="F58" s="57">
        <v>45.3</v>
      </c>
      <c r="G58" s="57">
        <v>46.8</v>
      </c>
      <c r="H58" s="57">
        <v>48.2</v>
      </c>
      <c r="I58" s="57">
        <v>49.6</v>
      </c>
      <c r="J58" s="57">
        <v>51</v>
      </c>
      <c r="K58" s="57">
        <v>52.4</v>
      </c>
      <c r="L58" s="57">
        <v>53.9</v>
      </c>
      <c r="N58" s="57">
        <v>53</v>
      </c>
      <c r="O58" s="57">
        <v>1</v>
      </c>
      <c r="P58" s="57">
        <v>50.448799999999999</v>
      </c>
      <c r="Q58" s="57">
        <v>2.9270000000000001E-2</v>
      </c>
      <c r="R58" s="57">
        <v>1.4765999999999999</v>
      </c>
      <c r="S58" s="57">
        <v>46</v>
      </c>
      <c r="T58" s="57">
        <v>47.5</v>
      </c>
      <c r="U58" s="57">
        <v>49</v>
      </c>
      <c r="V58" s="57">
        <v>50.4</v>
      </c>
      <c r="W58" s="57">
        <v>51.9</v>
      </c>
      <c r="X58" s="57">
        <v>53.4</v>
      </c>
      <c r="Y58" s="57">
        <v>54.9</v>
      </c>
    </row>
    <row r="59" spans="1:25">
      <c r="A59" s="57">
        <v>54</v>
      </c>
      <c r="B59" s="57">
        <v>1</v>
      </c>
      <c r="C59" s="57">
        <v>49.6464</v>
      </c>
      <c r="D59" s="57">
        <v>2.8629999999999999E-2</v>
      </c>
      <c r="E59" s="57">
        <v>1.4214</v>
      </c>
      <c r="F59" s="57">
        <v>45.4</v>
      </c>
      <c r="G59" s="57">
        <v>46.8</v>
      </c>
      <c r="H59" s="57">
        <v>48.2</v>
      </c>
      <c r="I59" s="57">
        <v>49.6</v>
      </c>
      <c r="J59" s="57">
        <v>51.1</v>
      </c>
      <c r="K59" s="57">
        <v>52.5</v>
      </c>
      <c r="L59" s="57">
        <v>53.9</v>
      </c>
      <c r="N59" s="57">
        <v>54</v>
      </c>
      <c r="O59" s="57">
        <v>1</v>
      </c>
      <c r="P59" s="57">
        <v>50.492600000000003</v>
      </c>
      <c r="Q59" s="57">
        <v>2.929E-2</v>
      </c>
      <c r="R59" s="57">
        <v>1.4789000000000001</v>
      </c>
      <c r="S59" s="57">
        <v>46.1</v>
      </c>
      <c r="T59" s="57">
        <v>47.5</v>
      </c>
      <c r="U59" s="57">
        <v>49</v>
      </c>
      <c r="V59" s="57">
        <v>50.5</v>
      </c>
      <c r="W59" s="57">
        <v>52</v>
      </c>
      <c r="X59" s="57">
        <v>53.5</v>
      </c>
      <c r="Y59" s="57">
        <v>54.9</v>
      </c>
    </row>
    <row r="60" spans="1:25">
      <c r="A60" s="57">
        <v>55</v>
      </c>
      <c r="B60" s="57">
        <v>1</v>
      </c>
      <c r="C60" s="57">
        <v>49.694699999999997</v>
      </c>
      <c r="D60" s="57">
        <v>2.861E-2</v>
      </c>
      <c r="E60" s="57">
        <v>1.4218</v>
      </c>
      <c r="F60" s="57">
        <v>45.4</v>
      </c>
      <c r="G60" s="57">
        <v>46.9</v>
      </c>
      <c r="H60" s="57">
        <v>48.3</v>
      </c>
      <c r="I60" s="57">
        <v>49.7</v>
      </c>
      <c r="J60" s="57">
        <v>51.1</v>
      </c>
      <c r="K60" s="57">
        <v>52.5</v>
      </c>
      <c r="L60" s="57">
        <v>54</v>
      </c>
      <c r="N60" s="57">
        <v>55</v>
      </c>
      <c r="O60" s="57">
        <v>1</v>
      </c>
      <c r="P60" s="57">
        <v>50.535400000000003</v>
      </c>
      <c r="Q60" s="57">
        <v>2.9319999999999999E-2</v>
      </c>
      <c r="R60" s="57">
        <v>1.4817</v>
      </c>
      <c r="S60" s="57">
        <v>46.1</v>
      </c>
      <c r="T60" s="57">
        <v>47.6</v>
      </c>
      <c r="U60" s="57">
        <v>49.1</v>
      </c>
      <c r="V60" s="57">
        <v>50.5</v>
      </c>
      <c r="W60" s="57">
        <v>52</v>
      </c>
      <c r="X60" s="57">
        <v>53.5</v>
      </c>
      <c r="Y60" s="57">
        <v>55</v>
      </c>
    </row>
    <row r="61" spans="1:25">
      <c r="A61" s="57">
        <v>56</v>
      </c>
      <c r="B61" s="57">
        <v>1</v>
      </c>
      <c r="C61" s="57">
        <v>49.742100000000001</v>
      </c>
      <c r="D61" s="57">
        <v>2.8590000000000001E-2</v>
      </c>
      <c r="E61" s="57">
        <v>1.4220999999999999</v>
      </c>
      <c r="F61" s="57">
        <v>45.5</v>
      </c>
      <c r="G61" s="57">
        <v>46.9</v>
      </c>
      <c r="H61" s="57">
        <v>48.3</v>
      </c>
      <c r="I61" s="57">
        <v>49.7</v>
      </c>
      <c r="J61" s="57">
        <v>51.2</v>
      </c>
      <c r="K61" s="57">
        <v>52.6</v>
      </c>
      <c r="L61" s="57">
        <v>54</v>
      </c>
      <c r="N61" s="57">
        <v>56</v>
      </c>
      <c r="O61" s="57">
        <v>1</v>
      </c>
      <c r="P61" s="57">
        <v>50.577199999999998</v>
      </c>
      <c r="Q61" s="57">
        <v>2.9350000000000001E-2</v>
      </c>
      <c r="R61" s="57">
        <v>1.4843999999999999</v>
      </c>
      <c r="S61" s="57">
        <v>46.1</v>
      </c>
      <c r="T61" s="57">
        <v>47.6</v>
      </c>
      <c r="U61" s="57">
        <v>49.1</v>
      </c>
      <c r="V61" s="57">
        <v>50.6</v>
      </c>
      <c r="W61" s="57">
        <v>52.1</v>
      </c>
      <c r="X61" s="57">
        <v>53.5</v>
      </c>
      <c r="Y61" s="57">
        <v>55</v>
      </c>
    </row>
    <row r="62" spans="1:25">
      <c r="A62" s="57">
        <v>57</v>
      </c>
      <c r="B62" s="57">
        <v>1</v>
      </c>
      <c r="C62" s="57">
        <v>49.788499999999999</v>
      </c>
      <c r="D62" s="57">
        <v>2.8559999999999999E-2</v>
      </c>
      <c r="E62" s="57">
        <v>1.4219999999999999</v>
      </c>
      <c r="F62" s="57">
        <v>45.5</v>
      </c>
      <c r="G62" s="57">
        <v>46.9</v>
      </c>
      <c r="H62" s="57">
        <v>48.4</v>
      </c>
      <c r="I62" s="57">
        <v>49.8</v>
      </c>
      <c r="J62" s="57">
        <v>51.2</v>
      </c>
      <c r="K62" s="57">
        <v>52.6</v>
      </c>
      <c r="L62" s="57">
        <v>54.1</v>
      </c>
      <c r="N62" s="57">
        <v>57</v>
      </c>
      <c r="O62" s="57">
        <v>1</v>
      </c>
      <c r="P62" s="57">
        <v>50.618299999999998</v>
      </c>
      <c r="Q62" s="57">
        <v>2.938E-2</v>
      </c>
      <c r="R62" s="57">
        <v>1.4872000000000001</v>
      </c>
      <c r="S62" s="57">
        <v>46.2</v>
      </c>
      <c r="T62" s="57">
        <v>47.6</v>
      </c>
      <c r="U62" s="57">
        <v>49.1</v>
      </c>
      <c r="V62" s="57">
        <v>50.6</v>
      </c>
      <c r="W62" s="57">
        <v>52.1</v>
      </c>
      <c r="X62" s="57">
        <v>53.6</v>
      </c>
      <c r="Y62" s="57">
        <v>55.1</v>
      </c>
    </row>
    <row r="63" spans="1:25">
      <c r="A63" s="57">
        <v>58</v>
      </c>
      <c r="B63" s="57">
        <v>1</v>
      </c>
      <c r="C63" s="57">
        <v>49.834099999999999</v>
      </c>
      <c r="D63" s="57">
        <v>2.8539999999999999E-2</v>
      </c>
      <c r="E63" s="57">
        <v>1.4222999999999999</v>
      </c>
      <c r="F63" s="57">
        <v>45.6</v>
      </c>
      <c r="G63" s="57">
        <v>47</v>
      </c>
      <c r="H63" s="57">
        <v>48.4</v>
      </c>
      <c r="I63" s="57">
        <v>49.8</v>
      </c>
      <c r="J63" s="57">
        <v>51.3</v>
      </c>
      <c r="K63" s="57">
        <v>52.7</v>
      </c>
      <c r="L63" s="57">
        <v>54.1</v>
      </c>
      <c r="N63" s="57">
        <v>58</v>
      </c>
      <c r="O63" s="57">
        <v>1</v>
      </c>
      <c r="P63" s="57">
        <v>50.658700000000003</v>
      </c>
      <c r="Q63" s="57">
        <v>2.9399999999999999E-2</v>
      </c>
      <c r="R63" s="57">
        <v>1.4894000000000001</v>
      </c>
      <c r="S63" s="57">
        <v>46.2</v>
      </c>
      <c r="T63" s="57">
        <v>47.7</v>
      </c>
      <c r="U63" s="57">
        <v>49.2</v>
      </c>
      <c r="V63" s="57">
        <v>50.7</v>
      </c>
      <c r="W63" s="57">
        <v>52.1</v>
      </c>
      <c r="X63" s="57">
        <v>53.6</v>
      </c>
      <c r="Y63" s="57">
        <v>55.1</v>
      </c>
    </row>
    <row r="64" spans="1:25">
      <c r="A64" s="57">
        <v>59</v>
      </c>
      <c r="B64" s="57">
        <v>1</v>
      </c>
      <c r="C64" s="57">
        <v>49.878900000000002</v>
      </c>
      <c r="D64" s="57">
        <v>2.852E-2</v>
      </c>
      <c r="E64" s="57">
        <v>1.4226000000000001</v>
      </c>
      <c r="F64" s="57">
        <v>45.6</v>
      </c>
      <c r="G64" s="57">
        <v>47</v>
      </c>
      <c r="H64" s="57">
        <v>48.5</v>
      </c>
      <c r="I64" s="57">
        <v>49.9</v>
      </c>
      <c r="J64" s="57">
        <v>51.3</v>
      </c>
      <c r="K64" s="57">
        <v>52.7</v>
      </c>
      <c r="L64" s="57">
        <v>54.1</v>
      </c>
      <c r="N64" s="57">
        <v>59</v>
      </c>
      <c r="O64" s="57">
        <v>1</v>
      </c>
      <c r="P64" s="57">
        <v>50.698399999999999</v>
      </c>
      <c r="Q64" s="57">
        <v>2.9430000000000001E-2</v>
      </c>
      <c r="R64" s="57">
        <v>1.4921</v>
      </c>
      <c r="S64" s="57">
        <v>46.2</v>
      </c>
      <c r="T64" s="57">
        <v>47.7</v>
      </c>
      <c r="U64" s="57">
        <v>49.2</v>
      </c>
      <c r="V64" s="57">
        <v>50.7</v>
      </c>
      <c r="W64" s="57">
        <v>52.2</v>
      </c>
      <c r="X64" s="57">
        <v>53.7</v>
      </c>
      <c r="Y64" s="57">
        <v>55.2</v>
      </c>
    </row>
    <row r="65" spans="1:25">
      <c r="A65" s="57">
        <v>60</v>
      </c>
      <c r="B65" s="57">
        <v>1</v>
      </c>
      <c r="C65" s="57">
        <v>49.922899999999998</v>
      </c>
      <c r="D65" s="57">
        <v>2.8500000000000001E-2</v>
      </c>
      <c r="E65" s="57">
        <v>1.4228000000000001</v>
      </c>
      <c r="F65" s="57">
        <v>45.7</v>
      </c>
      <c r="G65" s="57">
        <v>47.1</v>
      </c>
      <c r="H65" s="57">
        <v>48.5</v>
      </c>
      <c r="I65" s="57">
        <v>49.9</v>
      </c>
      <c r="J65" s="57">
        <v>51.3</v>
      </c>
      <c r="K65" s="57">
        <v>52.8</v>
      </c>
      <c r="L65" s="57">
        <v>54.2</v>
      </c>
      <c r="N65" s="57">
        <v>60</v>
      </c>
      <c r="O65" s="57">
        <v>1</v>
      </c>
      <c r="P65" s="57">
        <v>50.737499999999997</v>
      </c>
      <c r="Q65" s="57">
        <v>2.946E-2</v>
      </c>
      <c r="R65" s="57">
        <v>1.4946999999999999</v>
      </c>
      <c r="S65" s="57">
        <v>46.3</v>
      </c>
      <c r="T65" s="57">
        <v>47.7</v>
      </c>
      <c r="U65" s="57">
        <v>49.2</v>
      </c>
      <c r="V65" s="57">
        <v>50.7</v>
      </c>
      <c r="W65" s="57">
        <v>52.2</v>
      </c>
      <c r="X65" s="57">
        <v>53.7</v>
      </c>
      <c r="Y65" s="57">
        <v>55.2</v>
      </c>
    </row>
    <row r="67" spans="1:25" ht="178.5">
      <c r="A67" s="18" t="s">
        <v>1341</v>
      </c>
      <c r="B67" s="57" t="s">
        <v>1342</v>
      </c>
    </row>
    <row r="68" spans="1:25" ht="178.5">
      <c r="A68" s="18" t="s">
        <v>1343</v>
      </c>
      <c r="B68" s="57" t="s">
        <v>1344</v>
      </c>
    </row>
    <row r="69" spans="1:25" ht="102">
      <c r="A69" s="18" t="s">
        <v>1345</v>
      </c>
      <c r="B69" s="57" t="s">
        <v>1346</v>
      </c>
    </row>
    <row r="70" spans="1:25" ht="30">
      <c r="A70" s="18" t="s">
        <v>1347</v>
      </c>
      <c r="B70" s="57" t="s">
        <v>281</v>
      </c>
    </row>
  </sheetData>
  <mergeCells count="2">
    <mergeCell ref="A1:Y1"/>
    <mergeCell ref="A2:Y2"/>
  </mergeCells>
  <pageMargins left="0.7" right="0.7" top="0.75" bottom="0.75" header="0.511811023622047" footer="0.511811023622047"/>
  <pageSetup paperSize="9" orientation="portrait" horizontalDpi="300" verticalDpi="300"/>
</worksheet>
</file>

<file path=xl/worksheets/sheet2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600-000000000000}">
  <dimension ref="A1:G91"/>
  <sheetViews>
    <sheetView zoomScaleNormal="100" workbookViewId="0">
      <selection sqref="A1:G1"/>
    </sheetView>
  </sheetViews>
  <sheetFormatPr baseColWidth="10" defaultColWidth="9.140625" defaultRowHeight="15"/>
  <cols>
    <col min="1" max="1" width="35" style="1" customWidth="1"/>
    <col min="2" max="2" width="27" style="1" customWidth="1"/>
    <col min="3" max="7" width="13" style="1" customWidth="1"/>
  </cols>
  <sheetData>
    <row r="1" spans="1:7" ht="19.5">
      <c r="A1" s="188" t="s">
        <v>1348</v>
      </c>
      <c r="B1" s="188"/>
      <c r="C1" s="188"/>
      <c r="D1" s="188"/>
      <c r="E1" s="188"/>
      <c r="F1" s="188"/>
      <c r="G1" s="188"/>
    </row>
    <row r="2" spans="1:7" ht="23.85" customHeight="1">
      <c r="A2" s="190" t="s">
        <v>1349</v>
      </c>
      <c r="B2" s="190"/>
      <c r="C2" s="190"/>
      <c r="D2" s="190"/>
      <c r="E2" s="190"/>
      <c r="F2" s="190"/>
      <c r="G2" s="190"/>
    </row>
    <row r="4" spans="1:7">
      <c r="A4" s="58" t="s">
        <v>1350</v>
      </c>
      <c r="B4" s="58" t="s">
        <v>1351</v>
      </c>
    </row>
    <row r="5" spans="1:7">
      <c r="A5" s="18" t="s">
        <v>500</v>
      </c>
      <c r="B5" s="57" t="str">
        <f>Ingreso!C3</f>
        <v>Masculino</v>
      </c>
    </row>
    <row r="6" spans="1:7">
      <c r="A6" s="18" t="s">
        <v>1352</v>
      </c>
      <c r="B6" s="86">
        <f>Cálculos!C6</f>
        <v>192</v>
      </c>
    </row>
    <row r="7" spans="1:7">
      <c r="A7" s="18" t="s">
        <v>1353</v>
      </c>
      <c r="B7" s="57">
        <f>IF(Ingreso!C9="","",Ingreso!C9)</f>
        <v>168</v>
      </c>
    </row>
    <row r="8" spans="1:7">
      <c r="A8" s="18" t="s">
        <v>1354</v>
      </c>
      <c r="B8" s="57" t="str">
        <f>IF(Ingreso!C10="","",Ingreso!C10)</f>
        <v/>
      </c>
    </row>
    <row r="9" spans="1:7">
      <c r="A9" s="18" t="s">
        <v>1355</v>
      </c>
      <c r="B9" s="57" t="str">
        <f>IF(Interpretación!E6="","",Interpretación!E6)</f>
        <v/>
      </c>
    </row>
    <row r="10" spans="1:7">
      <c r="A10" s="18" t="s">
        <v>1356</v>
      </c>
      <c r="B10" s="87">
        <f>Cálculos!C22</f>
        <v>-0.62820512820512797</v>
      </c>
    </row>
    <row r="11" spans="1:7">
      <c r="A11" s="18" t="s">
        <v>1357</v>
      </c>
      <c r="B11" s="57" t="str">
        <f>IF(AND(OR(Ingreso!C16="GENERAL",Ingreso!C16="PREMATURIDAD"),B9="Macrocefalia",B6&gt;=0,B6&lt;=60,B7&lt;&gt;"",B8&lt;&gt;""),"SÍ","NO")</f>
        <v>NO</v>
      </c>
    </row>
    <row r="12" spans="1:7">
      <c r="A12" s="18" t="s">
        <v>1358</v>
      </c>
      <c r="B12" s="57" t="str">
        <f>IF(B11&lt;&gt;"SÍ","",IF(OR(B7&lt;MIN(B24:B84),B7&gt;MAX(B24:B84)),"",IF(B7=MAX(B24:B84),60,INDEX(A24:A84,MATCH(B7,B24:B84,1))+(B7-INDEX(B24:B84,MATCH(B7,B24:B84,1)))/(INDEX(B24:B84,MATCH(B7,B24:B84,1)+1)-INDEX(B24:B84,MATCH(B7,B24:B84,1))))))</f>
        <v/>
      </c>
    </row>
    <row r="13" spans="1:7">
      <c r="A13" s="18" t="s">
        <v>1359</v>
      </c>
      <c r="B13" s="57" t="str">
        <f>IF(B11&lt;&gt;"SÍ","NO_REQUERIDA",IF(B12="","FUERA_DOMINIO_TALLA_OMS_0_60","EDAD_EQUIVALENTE_CALCULADA"))</f>
        <v>NO_REQUERIDA</v>
      </c>
    </row>
    <row r="14" spans="1:7">
      <c r="A14" s="18" t="s">
        <v>1360</v>
      </c>
      <c r="B14" s="57" t="str">
        <f>IF($B$12="","",IF($B$12=60,INDEX(C$24:C$84,61),INDEX(C$24:C$84,INT($B$12)+1)+($B$12-INT($B$12))*(INDEX(C$24:C$84,INT($B$12)+2)-INDEX(C$24:C$84,INT($B$12)+1))))</f>
        <v/>
      </c>
    </row>
    <row r="15" spans="1:7">
      <c r="A15" s="18" t="s">
        <v>1361</v>
      </c>
      <c r="B15" s="57" t="str">
        <f>IF($B$12="","",IF($B$12=60,INDEX(D$24:D$84,61),INDEX(D$24:D$84,INT($B$12)+1)+($B$12-INT($B$12))*(INDEX(D$24:D$84,INT($B$12)+2)-INDEX(D$24:D$84,INT($B$12)+1))))</f>
        <v/>
      </c>
    </row>
    <row r="16" spans="1:7">
      <c r="A16" s="18" t="s">
        <v>1362</v>
      </c>
      <c r="B16" s="57" t="str">
        <f>IF($B$12="","",IF($B$12=60,INDEX(E$24:E$84,61),INDEX(E$24:E$84,INT($B$12)+1)+($B$12-INT($B$12))*(INDEX(E$24:E$84,INT($B$12)+2)-INDEX(E$24:E$84,INT($B$12)+1))))</f>
        <v/>
      </c>
    </row>
    <row r="17" spans="1:7">
      <c r="A17" s="18" t="s">
        <v>1363</v>
      </c>
      <c r="B17" s="57" t="str">
        <f>IF($B$12="","",IF($B$12=60,INDEX(F$24:F$84,61),INDEX(F$24:F$84,INT($B$12)+1)+($B$12-INT($B$12))*(INDEX(F$24:F$84,INT($B$12)+2)-INDEX(F$24:F$84,INT($B$12)+1))))</f>
        <v/>
      </c>
    </row>
    <row r="18" spans="1:7">
      <c r="A18" s="18" t="s">
        <v>1364</v>
      </c>
      <c r="B18" s="57" t="str">
        <f>IF($B$12="","",IF($B$12=60,INDEX(G$24:G$84,61),INDEX(G$24:G$84,INT($B$12)+1)+($B$12-INT($B$12))*(INDEX(G$24:G$84,INT($B$12)+2)-INDEX(G$24:G$84,INT($B$12)+1))))</f>
        <v/>
      </c>
    </row>
    <row r="19" spans="1:7">
      <c r="B19" s="86"/>
    </row>
    <row r="20" spans="1:7">
      <c r="A20" s="58" t="s">
        <v>1365</v>
      </c>
      <c r="B20" s="57" t="s">
        <v>1351</v>
      </c>
    </row>
    <row r="21" spans="1:7">
      <c r="A21" s="18" t="s">
        <v>1366</v>
      </c>
      <c r="B21" s="1" t="str">
        <f>IF(OR(B14="",B15="",B16="",B17="",B18="",B8=""),"",IF(B8&lt;B15,-1+(B8-B15)/(B15-B14),IF(B8&lt;B16,(B8-B16)/(B16-B15),IF(B8&lt;B17,(B8-B16)/(B17-B16),1+(B8-B17)/(B18-B17)))))</f>
        <v/>
      </c>
    </row>
    <row r="22" spans="1:7">
      <c r="A22" s="18" t="s">
        <v>1367</v>
      </c>
      <c r="B22" s="58" t="str">
        <f>IF(B21="","",IF(B21&lt;=-2,"Microcefalia",IF(B21&gt;=2,"Macrocefalia","Normal")))</f>
        <v/>
      </c>
    </row>
    <row r="23" spans="1:7">
      <c r="A23" s="58" t="s">
        <v>549</v>
      </c>
      <c r="B23" s="88" t="s">
        <v>1368</v>
      </c>
      <c r="C23" s="58" t="s">
        <v>1369</v>
      </c>
      <c r="D23" s="58" t="s">
        <v>1370</v>
      </c>
      <c r="E23" s="58" t="s">
        <v>1371</v>
      </c>
      <c r="F23" s="58" t="s">
        <v>1372</v>
      </c>
      <c r="G23" s="58" t="s">
        <v>1373</v>
      </c>
    </row>
    <row r="24" spans="1:7">
      <c r="A24" s="1">
        <v>0</v>
      </c>
      <c r="B24" s="58">
        <f>IF($B$5="Femenino",Tablas_OMS!X2,IF($B$5="Masculino",Tablas_OMS!AE2,""))</f>
        <v>49.9</v>
      </c>
      <c r="C24" s="88">
        <f>IF($B$5="Femenino",OMS_PCE_0_60!G5,IF($B$5="Masculino",OMS_PCE_0_60!T5,""))</f>
        <v>31.9</v>
      </c>
      <c r="D24" s="88">
        <f>IF($B$5="Femenino",OMS_PCE_0_60!H5,IF($B$5="Masculino",OMS_PCE_0_60!U5,""))</f>
        <v>33.200000000000003</v>
      </c>
      <c r="E24" s="88">
        <f>IF($B$5="Femenino",OMS_PCE_0_60!I5,IF($B$5="Masculino",OMS_PCE_0_60!V5,""))</f>
        <v>34.5</v>
      </c>
      <c r="F24" s="88">
        <f>IF($B$5="Femenino",OMS_PCE_0_60!J5,IF($B$5="Masculino",OMS_PCE_0_60!W5,""))</f>
        <v>35.700000000000003</v>
      </c>
      <c r="G24" s="88">
        <f>IF($B$5="Femenino",OMS_PCE_0_60!K5,IF($B$5="Masculino",OMS_PCE_0_60!X5,""))</f>
        <v>37</v>
      </c>
    </row>
    <row r="25" spans="1:7">
      <c r="A25" s="1">
        <v>1</v>
      </c>
      <c r="B25" s="1">
        <f>IF($B$5="Femenino",Tablas_OMS!X3,IF($B$5="Masculino",Tablas_OMS!AE3,""))</f>
        <v>54.7</v>
      </c>
      <c r="C25" s="1">
        <f>IF($B$5="Femenino",OMS_PCE_0_60!G6,IF($B$5="Masculino",OMS_PCE_0_60!T6,""))</f>
        <v>34.9</v>
      </c>
      <c r="D25" s="1">
        <f>IF($B$5="Femenino",OMS_PCE_0_60!H6,IF($B$5="Masculino",OMS_PCE_0_60!U6,""))</f>
        <v>36.1</v>
      </c>
      <c r="E25" s="1">
        <f>IF($B$5="Femenino",OMS_PCE_0_60!I6,IF($B$5="Masculino",OMS_PCE_0_60!V6,""))</f>
        <v>37.299999999999997</v>
      </c>
      <c r="F25" s="1">
        <f>IF($B$5="Femenino",OMS_PCE_0_60!J6,IF($B$5="Masculino",OMS_PCE_0_60!W6,""))</f>
        <v>38.4</v>
      </c>
      <c r="G25" s="1">
        <f>IF($B$5="Femenino",OMS_PCE_0_60!K6,IF($B$5="Masculino",OMS_PCE_0_60!X6,""))</f>
        <v>39.6</v>
      </c>
    </row>
    <row r="26" spans="1:7">
      <c r="A26" s="1">
        <v>2</v>
      </c>
      <c r="B26" s="1">
        <f>IF($B$5="Femenino",Tablas_OMS!X4,IF($B$5="Masculino",Tablas_OMS!AE4,""))</f>
        <v>58.4</v>
      </c>
      <c r="C26" s="1">
        <f>IF($B$5="Femenino",OMS_PCE_0_60!G7,IF($B$5="Masculino",OMS_PCE_0_60!T7,""))</f>
        <v>36.799999999999997</v>
      </c>
      <c r="D26" s="1">
        <f>IF($B$5="Femenino",OMS_PCE_0_60!H7,IF($B$5="Masculino",OMS_PCE_0_60!U7,""))</f>
        <v>38</v>
      </c>
      <c r="E26" s="1">
        <f>IF($B$5="Femenino",OMS_PCE_0_60!I7,IF($B$5="Masculino",OMS_PCE_0_60!V7,""))</f>
        <v>39.1</v>
      </c>
      <c r="F26" s="1">
        <f>IF($B$5="Femenino",OMS_PCE_0_60!J7,IF($B$5="Masculino",OMS_PCE_0_60!W7,""))</f>
        <v>40.299999999999997</v>
      </c>
      <c r="G26" s="1">
        <f>IF($B$5="Femenino",OMS_PCE_0_60!K7,IF($B$5="Masculino",OMS_PCE_0_60!X7,""))</f>
        <v>41.5</v>
      </c>
    </row>
    <row r="27" spans="1:7">
      <c r="A27" s="1">
        <v>3</v>
      </c>
      <c r="B27" s="1">
        <f>IF($B$5="Femenino",Tablas_OMS!X5,IF($B$5="Masculino",Tablas_OMS!AE5,""))</f>
        <v>61.4</v>
      </c>
      <c r="C27" s="1">
        <f>IF($B$5="Femenino",OMS_PCE_0_60!G8,IF($B$5="Masculino",OMS_PCE_0_60!T8,""))</f>
        <v>38.1</v>
      </c>
      <c r="D27" s="1">
        <f>IF($B$5="Femenino",OMS_PCE_0_60!H8,IF($B$5="Masculino",OMS_PCE_0_60!U8,""))</f>
        <v>39.299999999999997</v>
      </c>
      <c r="E27" s="1">
        <f>IF($B$5="Femenino",OMS_PCE_0_60!I8,IF($B$5="Masculino",OMS_PCE_0_60!V8,""))</f>
        <v>40.5</v>
      </c>
      <c r="F27" s="1">
        <f>IF($B$5="Femenino",OMS_PCE_0_60!J8,IF($B$5="Masculino",OMS_PCE_0_60!W8,""))</f>
        <v>41.7</v>
      </c>
      <c r="G27" s="1">
        <f>IF($B$5="Femenino",OMS_PCE_0_60!K8,IF($B$5="Masculino",OMS_PCE_0_60!X8,""))</f>
        <v>42.9</v>
      </c>
    </row>
    <row r="28" spans="1:7">
      <c r="A28" s="1">
        <v>4</v>
      </c>
      <c r="B28" s="1">
        <f>IF($B$5="Femenino",Tablas_OMS!X6,IF($B$5="Masculino",Tablas_OMS!AE6,""))</f>
        <v>63.9</v>
      </c>
      <c r="C28" s="1">
        <f>IF($B$5="Femenino",OMS_PCE_0_60!G9,IF($B$5="Masculino",OMS_PCE_0_60!T9,""))</f>
        <v>39.200000000000003</v>
      </c>
      <c r="D28" s="1">
        <f>IF($B$5="Femenino",OMS_PCE_0_60!H9,IF($B$5="Masculino",OMS_PCE_0_60!U9,""))</f>
        <v>40.4</v>
      </c>
      <c r="E28" s="1">
        <f>IF($B$5="Femenino",OMS_PCE_0_60!I9,IF($B$5="Masculino",OMS_PCE_0_60!V9,""))</f>
        <v>41.6</v>
      </c>
      <c r="F28" s="1">
        <f>IF($B$5="Femenino",OMS_PCE_0_60!J9,IF($B$5="Masculino",OMS_PCE_0_60!W9,""))</f>
        <v>42.8</v>
      </c>
      <c r="G28" s="1">
        <f>IF($B$5="Femenino",OMS_PCE_0_60!K9,IF($B$5="Masculino",OMS_PCE_0_60!X9,""))</f>
        <v>44</v>
      </c>
    </row>
    <row r="29" spans="1:7">
      <c r="A29" s="1">
        <v>5</v>
      </c>
      <c r="B29" s="1">
        <f>IF($B$5="Femenino",Tablas_OMS!X7,IF($B$5="Masculino",Tablas_OMS!AE7,""))</f>
        <v>65.900000000000006</v>
      </c>
      <c r="C29" s="1">
        <f>IF($B$5="Femenino",OMS_PCE_0_60!G10,IF($B$5="Masculino",OMS_PCE_0_60!T10,""))</f>
        <v>40.1</v>
      </c>
      <c r="D29" s="1">
        <f>IF($B$5="Femenino",OMS_PCE_0_60!H10,IF($B$5="Masculino",OMS_PCE_0_60!U10,""))</f>
        <v>41.4</v>
      </c>
      <c r="E29" s="1">
        <f>IF($B$5="Femenino",OMS_PCE_0_60!I10,IF($B$5="Masculino",OMS_PCE_0_60!V10,""))</f>
        <v>42.6</v>
      </c>
      <c r="F29" s="1">
        <f>IF($B$5="Femenino",OMS_PCE_0_60!J10,IF($B$5="Masculino",OMS_PCE_0_60!W10,""))</f>
        <v>43.8</v>
      </c>
      <c r="G29" s="1">
        <f>IF($B$5="Femenino",OMS_PCE_0_60!K10,IF($B$5="Masculino",OMS_PCE_0_60!X10,""))</f>
        <v>45</v>
      </c>
    </row>
    <row r="30" spans="1:7">
      <c r="A30" s="1">
        <v>6</v>
      </c>
      <c r="B30" s="1">
        <f>IF($B$5="Femenino",Tablas_OMS!X8,IF($B$5="Masculino",Tablas_OMS!AE8,""))</f>
        <v>67.599999999999994</v>
      </c>
      <c r="C30" s="1">
        <f>IF($B$5="Femenino",OMS_PCE_0_60!G11,IF($B$5="Masculino",OMS_PCE_0_60!T11,""))</f>
        <v>40.9</v>
      </c>
      <c r="D30" s="1">
        <f>IF($B$5="Femenino",OMS_PCE_0_60!H11,IF($B$5="Masculino",OMS_PCE_0_60!U11,""))</f>
        <v>42.1</v>
      </c>
      <c r="E30" s="1">
        <f>IF($B$5="Femenino",OMS_PCE_0_60!I11,IF($B$5="Masculino",OMS_PCE_0_60!V11,""))</f>
        <v>43.3</v>
      </c>
      <c r="F30" s="1">
        <f>IF($B$5="Femenino",OMS_PCE_0_60!J11,IF($B$5="Masculino",OMS_PCE_0_60!W11,""))</f>
        <v>44.6</v>
      </c>
      <c r="G30" s="1">
        <f>IF($B$5="Femenino",OMS_PCE_0_60!K11,IF($B$5="Masculino",OMS_PCE_0_60!X11,""))</f>
        <v>45.8</v>
      </c>
    </row>
    <row r="31" spans="1:7">
      <c r="A31" s="1">
        <v>7</v>
      </c>
      <c r="B31" s="1">
        <f>IF($B$5="Femenino",Tablas_OMS!X9,IF($B$5="Masculino",Tablas_OMS!AE9,""))</f>
        <v>69.2</v>
      </c>
      <c r="C31" s="1">
        <f>IF($B$5="Femenino",OMS_PCE_0_60!G12,IF($B$5="Masculino",OMS_PCE_0_60!T12,""))</f>
        <v>41.5</v>
      </c>
      <c r="D31" s="1">
        <f>IF($B$5="Femenino",OMS_PCE_0_60!H12,IF($B$5="Masculino",OMS_PCE_0_60!U12,""))</f>
        <v>42.7</v>
      </c>
      <c r="E31" s="1">
        <f>IF($B$5="Femenino",OMS_PCE_0_60!I12,IF($B$5="Masculino",OMS_PCE_0_60!V12,""))</f>
        <v>44</v>
      </c>
      <c r="F31" s="1">
        <f>IF($B$5="Femenino",OMS_PCE_0_60!J12,IF($B$5="Masculino",OMS_PCE_0_60!W12,""))</f>
        <v>45.2</v>
      </c>
      <c r="G31" s="1">
        <f>IF($B$5="Femenino",OMS_PCE_0_60!K12,IF($B$5="Masculino",OMS_PCE_0_60!X12,""))</f>
        <v>46.4</v>
      </c>
    </row>
    <row r="32" spans="1:7">
      <c r="A32" s="1">
        <v>8</v>
      </c>
      <c r="B32" s="1">
        <f>IF($B$5="Femenino",Tablas_OMS!X10,IF($B$5="Masculino",Tablas_OMS!AE10,""))</f>
        <v>70.599999999999994</v>
      </c>
      <c r="C32" s="1">
        <f>IF($B$5="Femenino",OMS_PCE_0_60!G13,IF($B$5="Masculino",OMS_PCE_0_60!T13,""))</f>
        <v>42</v>
      </c>
      <c r="D32" s="1">
        <f>IF($B$5="Femenino",OMS_PCE_0_60!H13,IF($B$5="Masculino",OMS_PCE_0_60!U13,""))</f>
        <v>43.3</v>
      </c>
      <c r="E32" s="1">
        <f>IF($B$5="Femenino",OMS_PCE_0_60!I13,IF($B$5="Masculino",OMS_PCE_0_60!V13,""))</f>
        <v>44.5</v>
      </c>
      <c r="F32" s="1">
        <f>IF($B$5="Femenino",OMS_PCE_0_60!J13,IF($B$5="Masculino",OMS_PCE_0_60!W13,""))</f>
        <v>45.8</v>
      </c>
      <c r="G32" s="1">
        <f>IF($B$5="Femenino",OMS_PCE_0_60!K13,IF($B$5="Masculino",OMS_PCE_0_60!X13,""))</f>
        <v>47</v>
      </c>
    </row>
    <row r="33" spans="1:7">
      <c r="A33" s="1">
        <v>9</v>
      </c>
      <c r="B33" s="1">
        <f>IF($B$5="Femenino",Tablas_OMS!X11,IF($B$5="Masculino",Tablas_OMS!AE11,""))</f>
        <v>72</v>
      </c>
      <c r="C33" s="1">
        <f>IF($B$5="Femenino",OMS_PCE_0_60!G14,IF($B$5="Masculino",OMS_PCE_0_60!T14,""))</f>
        <v>42.5</v>
      </c>
      <c r="D33" s="1">
        <f>IF($B$5="Femenino",OMS_PCE_0_60!H14,IF($B$5="Masculino",OMS_PCE_0_60!U14,""))</f>
        <v>43.7</v>
      </c>
      <c r="E33" s="1">
        <f>IF($B$5="Femenino",OMS_PCE_0_60!I14,IF($B$5="Masculino",OMS_PCE_0_60!V14,""))</f>
        <v>45</v>
      </c>
      <c r="F33" s="1">
        <f>IF($B$5="Femenino",OMS_PCE_0_60!J14,IF($B$5="Masculino",OMS_PCE_0_60!W14,""))</f>
        <v>46.3</v>
      </c>
      <c r="G33" s="1">
        <f>IF($B$5="Femenino",OMS_PCE_0_60!K14,IF($B$5="Masculino",OMS_PCE_0_60!X14,""))</f>
        <v>47.5</v>
      </c>
    </row>
    <row r="34" spans="1:7">
      <c r="A34" s="1">
        <v>10</v>
      </c>
      <c r="B34" s="1">
        <f>IF($B$5="Femenino",Tablas_OMS!X12,IF($B$5="Masculino",Tablas_OMS!AE12,""))</f>
        <v>73.3</v>
      </c>
      <c r="C34" s="1">
        <f>IF($B$5="Femenino",OMS_PCE_0_60!G15,IF($B$5="Masculino",OMS_PCE_0_60!T15,""))</f>
        <v>42.9</v>
      </c>
      <c r="D34" s="1">
        <f>IF($B$5="Femenino",OMS_PCE_0_60!H15,IF($B$5="Masculino",OMS_PCE_0_60!U15,""))</f>
        <v>44.1</v>
      </c>
      <c r="E34" s="1">
        <f>IF($B$5="Femenino",OMS_PCE_0_60!I15,IF($B$5="Masculino",OMS_PCE_0_60!V15,""))</f>
        <v>45.4</v>
      </c>
      <c r="F34" s="1">
        <f>IF($B$5="Femenino",OMS_PCE_0_60!J15,IF($B$5="Masculino",OMS_PCE_0_60!W15,""))</f>
        <v>46.7</v>
      </c>
      <c r="G34" s="1">
        <f>IF($B$5="Femenino",OMS_PCE_0_60!K15,IF($B$5="Masculino",OMS_PCE_0_60!X15,""))</f>
        <v>47.9</v>
      </c>
    </row>
    <row r="35" spans="1:7">
      <c r="A35" s="1">
        <v>11</v>
      </c>
      <c r="B35" s="1">
        <f>IF($B$5="Femenino",Tablas_OMS!X13,IF($B$5="Masculino",Tablas_OMS!AE13,""))</f>
        <v>74.5</v>
      </c>
      <c r="C35" s="1">
        <f>IF($B$5="Femenino",OMS_PCE_0_60!G16,IF($B$5="Masculino",OMS_PCE_0_60!T16,""))</f>
        <v>43.2</v>
      </c>
      <c r="D35" s="1">
        <f>IF($B$5="Femenino",OMS_PCE_0_60!H16,IF($B$5="Masculino",OMS_PCE_0_60!U16,""))</f>
        <v>44.5</v>
      </c>
      <c r="E35" s="1">
        <f>IF($B$5="Femenino",OMS_PCE_0_60!I16,IF($B$5="Masculino",OMS_PCE_0_60!V16,""))</f>
        <v>45.8</v>
      </c>
      <c r="F35" s="1">
        <f>IF($B$5="Femenino",OMS_PCE_0_60!J16,IF($B$5="Masculino",OMS_PCE_0_60!W16,""))</f>
        <v>47</v>
      </c>
      <c r="G35" s="1">
        <f>IF($B$5="Femenino",OMS_PCE_0_60!K16,IF($B$5="Masculino",OMS_PCE_0_60!X16,""))</f>
        <v>48.3</v>
      </c>
    </row>
    <row r="36" spans="1:7">
      <c r="A36" s="1">
        <v>12</v>
      </c>
      <c r="B36" s="1">
        <f>IF($B$5="Femenino",Tablas_OMS!X14,IF($B$5="Masculino",Tablas_OMS!AE14,""))</f>
        <v>75.7</v>
      </c>
      <c r="C36" s="1">
        <f>IF($B$5="Femenino",OMS_PCE_0_60!G17,IF($B$5="Masculino",OMS_PCE_0_60!T17,""))</f>
        <v>43.5</v>
      </c>
      <c r="D36" s="1">
        <f>IF($B$5="Femenino",OMS_PCE_0_60!H17,IF($B$5="Masculino",OMS_PCE_0_60!U17,""))</f>
        <v>44.8</v>
      </c>
      <c r="E36" s="1">
        <f>IF($B$5="Femenino",OMS_PCE_0_60!I17,IF($B$5="Masculino",OMS_PCE_0_60!V17,""))</f>
        <v>46.1</v>
      </c>
      <c r="F36" s="1">
        <f>IF($B$5="Femenino",OMS_PCE_0_60!J17,IF($B$5="Masculino",OMS_PCE_0_60!W17,""))</f>
        <v>47.4</v>
      </c>
      <c r="G36" s="1">
        <f>IF($B$5="Femenino",OMS_PCE_0_60!K17,IF($B$5="Masculino",OMS_PCE_0_60!X17,""))</f>
        <v>48.6</v>
      </c>
    </row>
    <row r="37" spans="1:7">
      <c r="A37" s="1">
        <v>13</v>
      </c>
      <c r="B37" s="1">
        <f>IF($B$5="Femenino",Tablas_OMS!X15,IF($B$5="Masculino",Tablas_OMS!AE15,""))</f>
        <v>76.900000000000006</v>
      </c>
      <c r="C37" s="1">
        <f>IF($B$5="Femenino",OMS_PCE_0_60!G18,IF($B$5="Masculino",OMS_PCE_0_60!T18,""))</f>
        <v>43.8</v>
      </c>
      <c r="D37" s="1">
        <f>IF($B$5="Femenino",OMS_PCE_0_60!H18,IF($B$5="Masculino",OMS_PCE_0_60!U18,""))</f>
        <v>45</v>
      </c>
      <c r="E37" s="1">
        <f>IF($B$5="Femenino",OMS_PCE_0_60!I18,IF($B$5="Masculino",OMS_PCE_0_60!V18,""))</f>
        <v>46.3</v>
      </c>
      <c r="F37" s="1">
        <f>IF($B$5="Femenino",OMS_PCE_0_60!J18,IF($B$5="Masculino",OMS_PCE_0_60!W18,""))</f>
        <v>47.6</v>
      </c>
      <c r="G37" s="1">
        <f>IF($B$5="Femenino",OMS_PCE_0_60!K18,IF($B$5="Masculino",OMS_PCE_0_60!X18,""))</f>
        <v>48.9</v>
      </c>
    </row>
    <row r="38" spans="1:7">
      <c r="A38" s="1">
        <v>14</v>
      </c>
      <c r="B38" s="1">
        <f>IF($B$5="Femenino",Tablas_OMS!X16,IF($B$5="Masculino",Tablas_OMS!AE16,""))</f>
        <v>78</v>
      </c>
      <c r="C38" s="1">
        <f>IF($B$5="Femenino",OMS_PCE_0_60!G19,IF($B$5="Masculino",OMS_PCE_0_60!T19,""))</f>
        <v>44</v>
      </c>
      <c r="D38" s="1">
        <f>IF($B$5="Femenino",OMS_PCE_0_60!H19,IF($B$5="Masculino",OMS_PCE_0_60!U19,""))</f>
        <v>45.3</v>
      </c>
      <c r="E38" s="1">
        <f>IF($B$5="Femenino",OMS_PCE_0_60!I19,IF($B$5="Masculino",OMS_PCE_0_60!V19,""))</f>
        <v>46.6</v>
      </c>
      <c r="F38" s="1">
        <f>IF($B$5="Femenino",OMS_PCE_0_60!J19,IF($B$5="Masculino",OMS_PCE_0_60!W19,""))</f>
        <v>47.9</v>
      </c>
      <c r="G38" s="1">
        <f>IF($B$5="Femenino",OMS_PCE_0_60!K19,IF($B$5="Masculino",OMS_PCE_0_60!X19,""))</f>
        <v>49.2</v>
      </c>
    </row>
    <row r="39" spans="1:7">
      <c r="A39" s="1">
        <v>15</v>
      </c>
      <c r="B39" s="1">
        <f>IF($B$5="Femenino",Tablas_OMS!X17,IF($B$5="Masculino",Tablas_OMS!AE17,""))</f>
        <v>79.099999999999994</v>
      </c>
      <c r="C39" s="1">
        <f>IF($B$5="Femenino",OMS_PCE_0_60!G20,IF($B$5="Masculino",OMS_PCE_0_60!T20,""))</f>
        <v>44.2</v>
      </c>
      <c r="D39" s="1">
        <f>IF($B$5="Femenino",OMS_PCE_0_60!H20,IF($B$5="Masculino",OMS_PCE_0_60!U20,""))</f>
        <v>45.5</v>
      </c>
      <c r="E39" s="1">
        <f>IF($B$5="Femenino",OMS_PCE_0_60!I20,IF($B$5="Masculino",OMS_PCE_0_60!V20,""))</f>
        <v>46.8</v>
      </c>
      <c r="F39" s="1">
        <f>IF($B$5="Femenino",OMS_PCE_0_60!J20,IF($B$5="Masculino",OMS_PCE_0_60!W20,""))</f>
        <v>48.1</v>
      </c>
      <c r="G39" s="1">
        <f>IF($B$5="Femenino",OMS_PCE_0_60!K20,IF($B$5="Masculino",OMS_PCE_0_60!X20,""))</f>
        <v>49.4</v>
      </c>
    </row>
    <row r="40" spans="1:7">
      <c r="A40" s="1">
        <v>16</v>
      </c>
      <c r="B40" s="1">
        <f>IF($B$5="Femenino",Tablas_OMS!X18,IF($B$5="Masculino",Tablas_OMS!AE18,""))</f>
        <v>80.2</v>
      </c>
      <c r="C40" s="1">
        <f>IF($B$5="Femenino",OMS_PCE_0_60!G21,IF($B$5="Masculino",OMS_PCE_0_60!T21,""))</f>
        <v>44.4</v>
      </c>
      <c r="D40" s="1">
        <f>IF($B$5="Femenino",OMS_PCE_0_60!H21,IF($B$5="Masculino",OMS_PCE_0_60!U21,""))</f>
        <v>45.7</v>
      </c>
      <c r="E40" s="1">
        <f>IF($B$5="Femenino",OMS_PCE_0_60!I21,IF($B$5="Masculino",OMS_PCE_0_60!V21,""))</f>
        <v>47</v>
      </c>
      <c r="F40" s="1">
        <f>IF($B$5="Femenino",OMS_PCE_0_60!J21,IF($B$5="Masculino",OMS_PCE_0_60!W21,""))</f>
        <v>48.3</v>
      </c>
      <c r="G40" s="1">
        <f>IF($B$5="Femenino",OMS_PCE_0_60!K21,IF($B$5="Masculino",OMS_PCE_0_60!X21,""))</f>
        <v>49.6</v>
      </c>
    </row>
    <row r="41" spans="1:7">
      <c r="A41" s="1">
        <v>17</v>
      </c>
      <c r="B41" s="1">
        <f>IF($B$5="Femenino",Tablas_OMS!X19,IF($B$5="Masculino",Tablas_OMS!AE19,""))</f>
        <v>81.2</v>
      </c>
      <c r="C41" s="1">
        <f>IF($B$5="Femenino",OMS_PCE_0_60!G22,IF($B$5="Masculino",OMS_PCE_0_60!T22,""))</f>
        <v>44.6</v>
      </c>
      <c r="D41" s="1">
        <f>IF($B$5="Femenino",OMS_PCE_0_60!H22,IF($B$5="Masculino",OMS_PCE_0_60!U22,""))</f>
        <v>45.9</v>
      </c>
      <c r="E41" s="1">
        <f>IF($B$5="Femenino",OMS_PCE_0_60!I22,IF($B$5="Masculino",OMS_PCE_0_60!V22,""))</f>
        <v>47.2</v>
      </c>
      <c r="F41" s="1">
        <f>IF($B$5="Femenino",OMS_PCE_0_60!J22,IF($B$5="Masculino",OMS_PCE_0_60!W22,""))</f>
        <v>48.5</v>
      </c>
      <c r="G41" s="1">
        <f>IF($B$5="Femenino",OMS_PCE_0_60!K22,IF($B$5="Masculino",OMS_PCE_0_60!X22,""))</f>
        <v>49.8</v>
      </c>
    </row>
    <row r="42" spans="1:7">
      <c r="A42" s="1">
        <v>18</v>
      </c>
      <c r="B42" s="1">
        <f>IF($B$5="Femenino",Tablas_OMS!X20,IF($B$5="Masculino",Tablas_OMS!AE20,""))</f>
        <v>82.3</v>
      </c>
      <c r="C42" s="1">
        <f>IF($B$5="Femenino",OMS_PCE_0_60!G23,IF($B$5="Masculino",OMS_PCE_0_60!T23,""))</f>
        <v>44.7</v>
      </c>
      <c r="D42" s="1">
        <f>IF($B$5="Femenino",OMS_PCE_0_60!H23,IF($B$5="Masculino",OMS_PCE_0_60!U23,""))</f>
        <v>46</v>
      </c>
      <c r="E42" s="1">
        <f>IF($B$5="Femenino",OMS_PCE_0_60!I23,IF($B$5="Masculino",OMS_PCE_0_60!V23,""))</f>
        <v>47.4</v>
      </c>
      <c r="F42" s="1">
        <f>IF($B$5="Femenino",OMS_PCE_0_60!J23,IF($B$5="Masculino",OMS_PCE_0_60!W23,""))</f>
        <v>48.7</v>
      </c>
      <c r="G42" s="1">
        <f>IF($B$5="Femenino",OMS_PCE_0_60!K23,IF($B$5="Masculino",OMS_PCE_0_60!X23,""))</f>
        <v>50</v>
      </c>
    </row>
    <row r="43" spans="1:7">
      <c r="A43" s="1">
        <v>19</v>
      </c>
      <c r="B43" s="1">
        <f>IF($B$5="Femenino",Tablas_OMS!X21,IF($B$5="Masculino",Tablas_OMS!AE21,""))</f>
        <v>83.2</v>
      </c>
      <c r="C43" s="1">
        <f>IF($B$5="Femenino",OMS_PCE_0_60!G24,IF($B$5="Masculino",OMS_PCE_0_60!T24,""))</f>
        <v>44.9</v>
      </c>
      <c r="D43" s="1">
        <f>IF($B$5="Femenino",OMS_PCE_0_60!H24,IF($B$5="Masculino",OMS_PCE_0_60!U24,""))</f>
        <v>46.2</v>
      </c>
      <c r="E43" s="1">
        <f>IF($B$5="Femenino",OMS_PCE_0_60!I24,IF($B$5="Masculino",OMS_PCE_0_60!V24,""))</f>
        <v>47.5</v>
      </c>
      <c r="F43" s="1">
        <f>IF($B$5="Femenino",OMS_PCE_0_60!J24,IF($B$5="Masculino",OMS_PCE_0_60!W24,""))</f>
        <v>48.9</v>
      </c>
      <c r="G43" s="1">
        <f>IF($B$5="Femenino",OMS_PCE_0_60!K24,IF($B$5="Masculino",OMS_PCE_0_60!X24,""))</f>
        <v>50.2</v>
      </c>
    </row>
    <row r="44" spans="1:7">
      <c r="A44" s="1">
        <v>20</v>
      </c>
      <c r="B44" s="1">
        <f>IF($B$5="Femenino",Tablas_OMS!X22,IF($B$5="Masculino",Tablas_OMS!AE22,""))</f>
        <v>84.2</v>
      </c>
      <c r="C44" s="1">
        <f>IF($B$5="Femenino",OMS_PCE_0_60!G25,IF($B$5="Masculino",OMS_PCE_0_60!T25,""))</f>
        <v>45</v>
      </c>
      <c r="D44" s="1">
        <f>IF($B$5="Femenino",OMS_PCE_0_60!H25,IF($B$5="Masculino",OMS_PCE_0_60!U25,""))</f>
        <v>46.4</v>
      </c>
      <c r="E44" s="1">
        <f>IF($B$5="Femenino",OMS_PCE_0_60!I25,IF($B$5="Masculino",OMS_PCE_0_60!V25,""))</f>
        <v>47.7</v>
      </c>
      <c r="F44" s="1">
        <f>IF($B$5="Femenino",OMS_PCE_0_60!J25,IF($B$5="Masculino",OMS_PCE_0_60!W25,""))</f>
        <v>49</v>
      </c>
      <c r="G44" s="1">
        <f>IF($B$5="Femenino",OMS_PCE_0_60!K25,IF($B$5="Masculino",OMS_PCE_0_60!X25,""))</f>
        <v>50.4</v>
      </c>
    </row>
    <row r="45" spans="1:7">
      <c r="A45" s="1">
        <v>21</v>
      </c>
      <c r="B45" s="1">
        <f>IF($B$5="Femenino",Tablas_OMS!X23,IF($B$5="Masculino",Tablas_OMS!AE23,""))</f>
        <v>85.1</v>
      </c>
      <c r="C45" s="1">
        <f>IF($B$5="Femenino",OMS_PCE_0_60!G26,IF($B$5="Masculino",OMS_PCE_0_60!T26,""))</f>
        <v>45.2</v>
      </c>
      <c r="D45" s="1">
        <f>IF($B$5="Femenino",OMS_PCE_0_60!H26,IF($B$5="Masculino",OMS_PCE_0_60!U26,""))</f>
        <v>46.5</v>
      </c>
      <c r="E45" s="1">
        <f>IF($B$5="Femenino",OMS_PCE_0_60!I26,IF($B$5="Masculino",OMS_PCE_0_60!V26,""))</f>
        <v>47.8</v>
      </c>
      <c r="F45" s="1">
        <f>IF($B$5="Femenino",OMS_PCE_0_60!J26,IF($B$5="Masculino",OMS_PCE_0_60!W26,""))</f>
        <v>49.2</v>
      </c>
      <c r="G45" s="1">
        <f>IF($B$5="Femenino",OMS_PCE_0_60!K26,IF($B$5="Masculino",OMS_PCE_0_60!X26,""))</f>
        <v>50.5</v>
      </c>
    </row>
    <row r="46" spans="1:7">
      <c r="A46" s="1">
        <v>22</v>
      </c>
      <c r="B46" s="1">
        <f>IF($B$5="Femenino",Tablas_OMS!X24,IF($B$5="Masculino",Tablas_OMS!AE24,""))</f>
        <v>86</v>
      </c>
      <c r="C46" s="1">
        <f>IF($B$5="Femenino",OMS_PCE_0_60!G27,IF($B$5="Masculino",OMS_PCE_0_60!T27,""))</f>
        <v>45.3</v>
      </c>
      <c r="D46" s="1">
        <f>IF($B$5="Femenino",OMS_PCE_0_60!H27,IF($B$5="Masculino",OMS_PCE_0_60!U27,""))</f>
        <v>46.6</v>
      </c>
      <c r="E46" s="1">
        <f>IF($B$5="Femenino",OMS_PCE_0_60!I27,IF($B$5="Masculino",OMS_PCE_0_60!V27,""))</f>
        <v>48</v>
      </c>
      <c r="F46" s="1">
        <f>IF($B$5="Femenino",OMS_PCE_0_60!J27,IF($B$5="Masculino",OMS_PCE_0_60!W27,""))</f>
        <v>49.3</v>
      </c>
      <c r="G46" s="1">
        <f>IF($B$5="Femenino",OMS_PCE_0_60!K27,IF($B$5="Masculino",OMS_PCE_0_60!X27,""))</f>
        <v>50.7</v>
      </c>
    </row>
    <row r="47" spans="1:7">
      <c r="A47" s="1">
        <v>23</v>
      </c>
      <c r="B47" s="1">
        <f>IF($B$5="Femenino",Tablas_OMS!X25,IF($B$5="Masculino",Tablas_OMS!AE25,""))</f>
        <v>86.9</v>
      </c>
      <c r="C47" s="1">
        <f>IF($B$5="Femenino",OMS_PCE_0_60!G28,IF($B$5="Masculino",OMS_PCE_0_60!T28,""))</f>
        <v>45.4</v>
      </c>
      <c r="D47" s="1">
        <f>IF($B$5="Femenino",OMS_PCE_0_60!H28,IF($B$5="Masculino",OMS_PCE_0_60!U28,""))</f>
        <v>46.8</v>
      </c>
      <c r="E47" s="1">
        <f>IF($B$5="Femenino",OMS_PCE_0_60!I28,IF($B$5="Masculino",OMS_PCE_0_60!V28,""))</f>
        <v>48.1</v>
      </c>
      <c r="F47" s="1">
        <f>IF($B$5="Femenino",OMS_PCE_0_60!J28,IF($B$5="Masculino",OMS_PCE_0_60!W28,""))</f>
        <v>49.5</v>
      </c>
      <c r="G47" s="1">
        <f>IF($B$5="Femenino",OMS_PCE_0_60!K28,IF($B$5="Masculino",OMS_PCE_0_60!X28,""))</f>
        <v>50.8</v>
      </c>
    </row>
    <row r="48" spans="1:7">
      <c r="A48" s="1">
        <v>24</v>
      </c>
      <c r="B48" s="1">
        <f>IF($B$5="Femenino",Tablas_OMS!X26,IF($B$5="Masculino",Tablas_OMS!AE26,""))</f>
        <v>87.1</v>
      </c>
      <c r="C48" s="1">
        <f>IF($B$5="Femenino",OMS_PCE_0_60!G29,IF($B$5="Masculino",OMS_PCE_0_60!T29,""))</f>
        <v>45.5</v>
      </c>
      <c r="D48" s="1">
        <f>IF($B$5="Femenino",OMS_PCE_0_60!H29,IF($B$5="Masculino",OMS_PCE_0_60!U29,""))</f>
        <v>46.9</v>
      </c>
      <c r="E48" s="1">
        <f>IF($B$5="Femenino",OMS_PCE_0_60!I29,IF($B$5="Masculino",OMS_PCE_0_60!V29,""))</f>
        <v>48.3</v>
      </c>
      <c r="F48" s="1">
        <f>IF($B$5="Femenino",OMS_PCE_0_60!J29,IF($B$5="Masculino",OMS_PCE_0_60!W29,""))</f>
        <v>49.6</v>
      </c>
      <c r="G48" s="1">
        <f>IF($B$5="Femenino",OMS_PCE_0_60!K29,IF($B$5="Masculino",OMS_PCE_0_60!X29,""))</f>
        <v>51</v>
      </c>
    </row>
    <row r="49" spans="1:7">
      <c r="A49" s="1">
        <v>25</v>
      </c>
      <c r="B49" s="1">
        <f>IF($B$5="Femenino",Tablas_OMS!X27,IF($B$5="Masculino",Tablas_OMS!AE27,""))</f>
        <v>88</v>
      </c>
      <c r="C49" s="1">
        <f>IF($B$5="Femenino",OMS_PCE_0_60!G30,IF($B$5="Masculino",OMS_PCE_0_60!T30,""))</f>
        <v>45.6</v>
      </c>
      <c r="D49" s="1">
        <f>IF($B$5="Femenino",OMS_PCE_0_60!H30,IF($B$5="Masculino",OMS_PCE_0_60!U30,""))</f>
        <v>47</v>
      </c>
      <c r="E49" s="1">
        <f>IF($B$5="Femenino",OMS_PCE_0_60!I30,IF($B$5="Masculino",OMS_PCE_0_60!V30,""))</f>
        <v>48.4</v>
      </c>
      <c r="F49" s="1">
        <f>IF($B$5="Femenino",OMS_PCE_0_60!J30,IF($B$5="Masculino",OMS_PCE_0_60!W30,""))</f>
        <v>49.7</v>
      </c>
      <c r="G49" s="1">
        <f>IF($B$5="Femenino",OMS_PCE_0_60!K30,IF($B$5="Masculino",OMS_PCE_0_60!X30,""))</f>
        <v>51.1</v>
      </c>
    </row>
    <row r="50" spans="1:7">
      <c r="A50" s="1">
        <v>26</v>
      </c>
      <c r="B50" s="1">
        <f>IF($B$5="Femenino",Tablas_OMS!X28,IF($B$5="Masculino",Tablas_OMS!AE28,""))</f>
        <v>88.8</v>
      </c>
      <c r="C50" s="1">
        <f>IF($B$5="Femenino",OMS_PCE_0_60!G31,IF($B$5="Masculino",OMS_PCE_0_60!T31,""))</f>
        <v>45.8</v>
      </c>
      <c r="D50" s="1">
        <f>IF($B$5="Femenino",OMS_PCE_0_60!H31,IF($B$5="Masculino",OMS_PCE_0_60!U31,""))</f>
        <v>47.1</v>
      </c>
      <c r="E50" s="1">
        <f>IF($B$5="Femenino",OMS_PCE_0_60!I31,IF($B$5="Masculino",OMS_PCE_0_60!V31,""))</f>
        <v>48.5</v>
      </c>
      <c r="F50" s="1">
        <f>IF($B$5="Femenino",OMS_PCE_0_60!J31,IF($B$5="Masculino",OMS_PCE_0_60!W31,""))</f>
        <v>49.9</v>
      </c>
      <c r="G50" s="1">
        <f>IF($B$5="Femenino",OMS_PCE_0_60!K31,IF($B$5="Masculino",OMS_PCE_0_60!X31,""))</f>
        <v>51.2</v>
      </c>
    </row>
    <row r="51" spans="1:7">
      <c r="A51" s="1">
        <v>27</v>
      </c>
      <c r="B51" s="1">
        <f>IF($B$5="Femenino",Tablas_OMS!X29,IF($B$5="Masculino",Tablas_OMS!AE29,""))</f>
        <v>89.6</v>
      </c>
      <c r="C51" s="1">
        <f>IF($B$5="Femenino",OMS_PCE_0_60!G32,IF($B$5="Masculino",OMS_PCE_0_60!T32,""))</f>
        <v>45.9</v>
      </c>
      <c r="D51" s="1">
        <f>IF($B$5="Femenino",OMS_PCE_0_60!H32,IF($B$5="Masculino",OMS_PCE_0_60!U32,""))</f>
        <v>47.2</v>
      </c>
      <c r="E51" s="1">
        <f>IF($B$5="Femenino",OMS_PCE_0_60!I32,IF($B$5="Masculino",OMS_PCE_0_60!V32,""))</f>
        <v>48.6</v>
      </c>
      <c r="F51" s="1">
        <f>IF($B$5="Femenino",OMS_PCE_0_60!J32,IF($B$5="Masculino",OMS_PCE_0_60!W32,""))</f>
        <v>50</v>
      </c>
      <c r="G51" s="1">
        <f>IF($B$5="Femenino",OMS_PCE_0_60!K32,IF($B$5="Masculino",OMS_PCE_0_60!X32,""))</f>
        <v>51.4</v>
      </c>
    </row>
    <row r="52" spans="1:7">
      <c r="A52" s="1">
        <v>28</v>
      </c>
      <c r="B52" s="1">
        <f>IF($B$5="Femenino",Tablas_OMS!X30,IF($B$5="Masculino",Tablas_OMS!AE30,""))</f>
        <v>90.4</v>
      </c>
      <c r="C52" s="1">
        <f>IF($B$5="Femenino",OMS_PCE_0_60!G33,IF($B$5="Masculino",OMS_PCE_0_60!T33,""))</f>
        <v>46</v>
      </c>
      <c r="D52" s="1">
        <f>IF($B$5="Femenino",OMS_PCE_0_60!H33,IF($B$5="Masculino",OMS_PCE_0_60!U33,""))</f>
        <v>47.3</v>
      </c>
      <c r="E52" s="1">
        <f>IF($B$5="Femenino",OMS_PCE_0_60!I33,IF($B$5="Masculino",OMS_PCE_0_60!V33,""))</f>
        <v>48.7</v>
      </c>
      <c r="F52" s="1">
        <f>IF($B$5="Femenino",OMS_PCE_0_60!J33,IF($B$5="Masculino",OMS_PCE_0_60!W33,""))</f>
        <v>50.1</v>
      </c>
      <c r="G52" s="1">
        <f>IF($B$5="Femenino",OMS_PCE_0_60!K33,IF($B$5="Masculino",OMS_PCE_0_60!X33,""))</f>
        <v>51.5</v>
      </c>
    </row>
    <row r="53" spans="1:7">
      <c r="A53" s="1">
        <v>29</v>
      </c>
      <c r="B53" s="1">
        <f>IF($B$5="Femenino",Tablas_OMS!X31,IF($B$5="Masculino",Tablas_OMS!AE31,""))</f>
        <v>91.2</v>
      </c>
      <c r="C53" s="1">
        <f>IF($B$5="Femenino",OMS_PCE_0_60!G34,IF($B$5="Masculino",OMS_PCE_0_60!T34,""))</f>
        <v>46.1</v>
      </c>
      <c r="D53" s="1">
        <f>IF($B$5="Femenino",OMS_PCE_0_60!H34,IF($B$5="Masculino",OMS_PCE_0_60!U34,""))</f>
        <v>47.4</v>
      </c>
      <c r="E53" s="1">
        <f>IF($B$5="Femenino",OMS_PCE_0_60!I34,IF($B$5="Masculino",OMS_PCE_0_60!V34,""))</f>
        <v>48.8</v>
      </c>
      <c r="F53" s="1">
        <f>IF($B$5="Femenino",OMS_PCE_0_60!J34,IF($B$5="Masculino",OMS_PCE_0_60!W34,""))</f>
        <v>50.2</v>
      </c>
      <c r="G53" s="1">
        <f>IF($B$5="Femenino",OMS_PCE_0_60!K34,IF($B$5="Masculino",OMS_PCE_0_60!X34,""))</f>
        <v>51.6</v>
      </c>
    </row>
    <row r="54" spans="1:7">
      <c r="A54" s="1">
        <v>30</v>
      </c>
      <c r="B54" s="1">
        <f>IF($B$5="Femenino",Tablas_OMS!X32,IF($B$5="Masculino",Tablas_OMS!AE32,""))</f>
        <v>91.9</v>
      </c>
      <c r="C54" s="1">
        <f>IF($B$5="Femenino",OMS_PCE_0_60!G35,IF($B$5="Masculino",OMS_PCE_0_60!T35,""))</f>
        <v>46.1</v>
      </c>
      <c r="D54" s="1">
        <f>IF($B$5="Femenino",OMS_PCE_0_60!H35,IF($B$5="Masculino",OMS_PCE_0_60!U35,""))</f>
        <v>47.5</v>
      </c>
      <c r="E54" s="1">
        <f>IF($B$5="Femenino",OMS_PCE_0_60!I35,IF($B$5="Masculino",OMS_PCE_0_60!V35,""))</f>
        <v>48.9</v>
      </c>
      <c r="F54" s="1">
        <f>IF($B$5="Femenino",OMS_PCE_0_60!J35,IF($B$5="Masculino",OMS_PCE_0_60!W35,""))</f>
        <v>50.3</v>
      </c>
      <c r="G54" s="1">
        <f>IF($B$5="Femenino",OMS_PCE_0_60!K35,IF($B$5="Masculino",OMS_PCE_0_60!X35,""))</f>
        <v>51.7</v>
      </c>
    </row>
    <row r="55" spans="1:7">
      <c r="A55" s="1">
        <v>31</v>
      </c>
      <c r="B55" s="1">
        <f>IF($B$5="Femenino",Tablas_OMS!X33,IF($B$5="Masculino",Tablas_OMS!AE33,""))</f>
        <v>92.7</v>
      </c>
      <c r="C55" s="1">
        <f>IF($B$5="Femenino",OMS_PCE_0_60!G36,IF($B$5="Masculino",OMS_PCE_0_60!T36,""))</f>
        <v>46.2</v>
      </c>
      <c r="D55" s="1">
        <f>IF($B$5="Femenino",OMS_PCE_0_60!H36,IF($B$5="Masculino",OMS_PCE_0_60!U36,""))</f>
        <v>47.6</v>
      </c>
      <c r="E55" s="1">
        <f>IF($B$5="Femenino",OMS_PCE_0_60!I36,IF($B$5="Masculino",OMS_PCE_0_60!V36,""))</f>
        <v>49</v>
      </c>
      <c r="F55" s="1">
        <f>IF($B$5="Femenino",OMS_PCE_0_60!J36,IF($B$5="Masculino",OMS_PCE_0_60!W36,""))</f>
        <v>50.4</v>
      </c>
      <c r="G55" s="1">
        <f>IF($B$5="Femenino",OMS_PCE_0_60!K36,IF($B$5="Masculino",OMS_PCE_0_60!X36,""))</f>
        <v>51.8</v>
      </c>
    </row>
    <row r="56" spans="1:7">
      <c r="A56" s="1">
        <v>32</v>
      </c>
      <c r="B56" s="1">
        <f>IF($B$5="Femenino",Tablas_OMS!X34,IF($B$5="Masculino",Tablas_OMS!AE34,""))</f>
        <v>93.4</v>
      </c>
      <c r="C56" s="1">
        <f>IF($B$5="Femenino",OMS_PCE_0_60!G37,IF($B$5="Masculino",OMS_PCE_0_60!T37,""))</f>
        <v>46.3</v>
      </c>
      <c r="D56" s="1">
        <f>IF($B$5="Femenino",OMS_PCE_0_60!H37,IF($B$5="Masculino",OMS_PCE_0_60!U37,""))</f>
        <v>47.7</v>
      </c>
      <c r="E56" s="1">
        <f>IF($B$5="Femenino",OMS_PCE_0_60!I37,IF($B$5="Masculino",OMS_PCE_0_60!V37,""))</f>
        <v>49.1</v>
      </c>
      <c r="F56" s="1">
        <f>IF($B$5="Femenino",OMS_PCE_0_60!J37,IF($B$5="Masculino",OMS_PCE_0_60!W37,""))</f>
        <v>50.5</v>
      </c>
      <c r="G56" s="1">
        <f>IF($B$5="Femenino",OMS_PCE_0_60!K37,IF($B$5="Masculino",OMS_PCE_0_60!X37,""))</f>
        <v>51.9</v>
      </c>
    </row>
    <row r="57" spans="1:7">
      <c r="A57" s="1">
        <v>33</v>
      </c>
      <c r="B57" s="1">
        <f>IF($B$5="Femenino",Tablas_OMS!X35,IF($B$5="Masculino",Tablas_OMS!AE35,""))</f>
        <v>94.1</v>
      </c>
      <c r="C57" s="1">
        <f>IF($B$5="Femenino",OMS_PCE_0_60!G38,IF($B$5="Masculino",OMS_PCE_0_60!T38,""))</f>
        <v>46.4</v>
      </c>
      <c r="D57" s="1">
        <f>IF($B$5="Femenino",OMS_PCE_0_60!H38,IF($B$5="Masculino",OMS_PCE_0_60!U38,""))</f>
        <v>47.8</v>
      </c>
      <c r="E57" s="1">
        <f>IF($B$5="Femenino",OMS_PCE_0_60!I38,IF($B$5="Masculino",OMS_PCE_0_60!V38,""))</f>
        <v>49.2</v>
      </c>
      <c r="F57" s="1">
        <f>IF($B$5="Femenino",OMS_PCE_0_60!J38,IF($B$5="Masculino",OMS_PCE_0_60!W38,""))</f>
        <v>50.6</v>
      </c>
      <c r="G57" s="1">
        <f>IF($B$5="Femenino",OMS_PCE_0_60!K38,IF($B$5="Masculino",OMS_PCE_0_60!X38,""))</f>
        <v>52</v>
      </c>
    </row>
    <row r="58" spans="1:7">
      <c r="A58" s="1">
        <v>34</v>
      </c>
      <c r="B58" s="1">
        <f>IF($B$5="Femenino",Tablas_OMS!X36,IF($B$5="Masculino",Tablas_OMS!AE36,""))</f>
        <v>94.8</v>
      </c>
      <c r="C58" s="1">
        <f>IF($B$5="Femenino",OMS_PCE_0_60!G39,IF($B$5="Masculino",OMS_PCE_0_60!T39,""))</f>
        <v>46.5</v>
      </c>
      <c r="D58" s="1">
        <f>IF($B$5="Femenino",OMS_PCE_0_60!H39,IF($B$5="Masculino",OMS_PCE_0_60!U39,""))</f>
        <v>47.9</v>
      </c>
      <c r="E58" s="1">
        <f>IF($B$5="Femenino",OMS_PCE_0_60!I39,IF($B$5="Masculino",OMS_PCE_0_60!V39,""))</f>
        <v>49.3</v>
      </c>
      <c r="F58" s="1">
        <f>IF($B$5="Femenino",OMS_PCE_0_60!J39,IF($B$5="Masculino",OMS_PCE_0_60!W39,""))</f>
        <v>50.7</v>
      </c>
      <c r="G58" s="1">
        <f>IF($B$5="Femenino",OMS_PCE_0_60!K39,IF($B$5="Masculino",OMS_PCE_0_60!X39,""))</f>
        <v>52.1</v>
      </c>
    </row>
    <row r="59" spans="1:7">
      <c r="A59" s="1">
        <v>35</v>
      </c>
      <c r="B59" s="1">
        <f>IF($B$5="Femenino",Tablas_OMS!X37,IF($B$5="Masculino",Tablas_OMS!AE37,""))</f>
        <v>95.4</v>
      </c>
      <c r="C59" s="1">
        <f>IF($B$5="Femenino",OMS_PCE_0_60!G40,IF($B$5="Masculino",OMS_PCE_0_60!T40,""))</f>
        <v>46.6</v>
      </c>
      <c r="D59" s="1">
        <f>IF($B$5="Femenino",OMS_PCE_0_60!H40,IF($B$5="Masculino",OMS_PCE_0_60!U40,""))</f>
        <v>48</v>
      </c>
      <c r="E59" s="1">
        <f>IF($B$5="Femenino",OMS_PCE_0_60!I40,IF($B$5="Masculino",OMS_PCE_0_60!V40,""))</f>
        <v>49.4</v>
      </c>
      <c r="F59" s="1">
        <f>IF($B$5="Femenino",OMS_PCE_0_60!J40,IF($B$5="Masculino",OMS_PCE_0_60!W40,""))</f>
        <v>50.8</v>
      </c>
      <c r="G59" s="1">
        <f>IF($B$5="Femenino",OMS_PCE_0_60!K40,IF($B$5="Masculino",OMS_PCE_0_60!X40,""))</f>
        <v>52.2</v>
      </c>
    </row>
    <row r="60" spans="1:7">
      <c r="A60" s="1">
        <v>36</v>
      </c>
      <c r="B60" s="1">
        <f>IF($B$5="Femenino",Tablas_OMS!X38,IF($B$5="Masculino",Tablas_OMS!AE38,""))</f>
        <v>96.1</v>
      </c>
      <c r="C60" s="1">
        <f>IF($B$5="Femenino",OMS_PCE_0_60!G41,IF($B$5="Masculino",OMS_PCE_0_60!T41,""))</f>
        <v>46.6</v>
      </c>
      <c r="D60" s="1">
        <f>IF($B$5="Femenino",OMS_PCE_0_60!H41,IF($B$5="Masculino",OMS_PCE_0_60!U41,""))</f>
        <v>48</v>
      </c>
      <c r="E60" s="1">
        <f>IF($B$5="Femenino",OMS_PCE_0_60!I41,IF($B$5="Masculino",OMS_PCE_0_60!V41,""))</f>
        <v>49.5</v>
      </c>
      <c r="F60" s="1">
        <f>IF($B$5="Femenino",OMS_PCE_0_60!J41,IF($B$5="Masculino",OMS_PCE_0_60!W41,""))</f>
        <v>50.9</v>
      </c>
      <c r="G60" s="1">
        <f>IF($B$5="Femenino",OMS_PCE_0_60!K41,IF($B$5="Masculino",OMS_PCE_0_60!X41,""))</f>
        <v>52.3</v>
      </c>
    </row>
    <row r="61" spans="1:7">
      <c r="A61" s="1">
        <v>37</v>
      </c>
      <c r="B61" s="1">
        <f>IF($B$5="Femenino",Tablas_OMS!X39,IF($B$5="Masculino",Tablas_OMS!AE39,""))</f>
        <v>96.7</v>
      </c>
      <c r="C61" s="1">
        <f>IF($B$5="Femenino",OMS_PCE_0_60!G42,IF($B$5="Masculino",OMS_PCE_0_60!T42,""))</f>
        <v>46.7</v>
      </c>
      <c r="D61" s="1">
        <f>IF($B$5="Femenino",OMS_PCE_0_60!H42,IF($B$5="Masculino",OMS_PCE_0_60!U42,""))</f>
        <v>48.1</v>
      </c>
      <c r="E61" s="1">
        <f>IF($B$5="Femenino",OMS_PCE_0_60!I42,IF($B$5="Masculino",OMS_PCE_0_60!V42,""))</f>
        <v>49.5</v>
      </c>
      <c r="F61" s="1">
        <f>IF($B$5="Femenino",OMS_PCE_0_60!J42,IF($B$5="Masculino",OMS_PCE_0_60!W42,""))</f>
        <v>51</v>
      </c>
      <c r="G61" s="1">
        <f>IF($B$5="Femenino",OMS_PCE_0_60!K42,IF($B$5="Masculino",OMS_PCE_0_60!X42,""))</f>
        <v>52.4</v>
      </c>
    </row>
    <row r="62" spans="1:7">
      <c r="A62" s="1">
        <v>38</v>
      </c>
      <c r="B62" s="1">
        <f>IF($B$5="Femenino",Tablas_OMS!X40,IF($B$5="Masculino",Tablas_OMS!AE40,""))</f>
        <v>97.4</v>
      </c>
      <c r="C62" s="1">
        <f>IF($B$5="Femenino",OMS_PCE_0_60!G43,IF($B$5="Masculino",OMS_PCE_0_60!T43,""))</f>
        <v>46.8</v>
      </c>
      <c r="D62" s="1">
        <f>IF($B$5="Femenino",OMS_PCE_0_60!H43,IF($B$5="Masculino",OMS_PCE_0_60!U43,""))</f>
        <v>48.2</v>
      </c>
      <c r="E62" s="1">
        <f>IF($B$5="Femenino",OMS_PCE_0_60!I43,IF($B$5="Masculino",OMS_PCE_0_60!V43,""))</f>
        <v>49.6</v>
      </c>
      <c r="F62" s="1">
        <f>IF($B$5="Femenino",OMS_PCE_0_60!J43,IF($B$5="Masculino",OMS_PCE_0_60!W43,""))</f>
        <v>51</v>
      </c>
      <c r="G62" s="1">
        <f>IF($B$5="Femenino",OMS_PCE_0_60!K43,IF($B$5="Masculino",OMS_PCE_0_60!X43,""))</f>
        <v>52.5</v>
      </c>
    </row>
    <row r="63" spans="1:7">
      <c r="A63" s="1">
        <v>39</v>
      </c>
      <c r="B63" s="1">
        <f>IF($B$5="Femenino",Tablas_OMS!X41,IF($B$5="Masculino",Tablas_OMS!AE41,""))</f>
        <v>98</v>
      </c>
      <c r="C63" s="1">
        <f>IF($B$5="Femenino",OMS_PCE_0_60!G44,IF($B$5="Masculino",OMS_PCE_0_60!T44,""))</f>
        <v>46.8</v>
      </c>
      <c r="D63" s="1">
        <f>IF($B$5="Femenino",OMS_PCE_0_60!H44,IF($B$5="Masculino",OMS_PCE_0_60!U44,""))</f>
        <v>48.2</v>
      </c>
      <c r="E63" s="1">
        <f>IF($B$5="Femenino",OMS_PCE_0_60!I44,IF($B$5="Masculino",OMS_PCE_0_60!V44,""))</f>
        <v>49.7</v>
      </c>
      <c r="F63" s="1">
        <f>IF($B$5="Femenino",OMS_PCE_0_60!J44,IF($B$5="Masculino",OMS_PCE_0_60!W44,""))</f>
        <v>51.1</v>
      </c>
      <c r="G63" s="1">
        <f>IF($B$5="Femenino",OMS_PCE_0_60!K44,IF($B$5="Masculino",OMS_PCE_0_60!X44,""))</f>
        <v>52.5</v>
      </c>
    </row>
    <row r="64" spans="1:7">
      <c r="A64" s="1">
        <v>40</v>
      </c>
      <c r="B64" s="1">
        <f>IF($B$5="Femenino",Tablas_OMS!X42,IF($B$5="Masculino",Tablas_OMS!AE42,""))</f>
        <v>98.6</v>
      </c>
      <c r="C64" s="1">
        <f>IF($B$5="Femenino",OMS_PCE_0_60!G45,IF($B$5="Masculino",OMS_PCE_0_60!T45,""))</f>
        <v>46.9</v>
      </c>
      <c r="D64" s="1">
        <f>IF($B$5="Femenino",OMS_PCE_0_60!H45,IF($B$5="Masculino",OMS_PCE_0_60!U45,""))</f>
        <v>48.3</v>
      </c>
      <c r="E64" s="1">
        <f>IF($B$5="Femenino",OMS_PCE_0_60!I45,IF($B$5="Masculino",OMS_PCE_0_60!V45,""))</f>
        <v>49.7</v>
      </c>
      <c r="F64" s="1">
        <f>IF($B$5="Femenino",OMS_PCE_0_60!J45,IF($B$5="Masculino",OMS_PCE_0_60!W45,""))</f>
        <v>51.2</v>
      </c>
      <c r="G64" s="1">
        <f>IF($B$5="Femenino",OMS_PCE_0_60!K45,IF($B$5="Masculino",OMS_PCE_0_60!X45,""))</f>
        <v>52.6</v>
      </c>
    </row>
    <row r="65" spans="1:7">
      <c r="A65" s="1">
        <v>41</v>
      </c>
      <c r="B65" s="1">
        <f>IF($B$5="Femenino",Tablas_OMS!X43,IF($B$5="Masculino",Tablas_OMS!AE43,""))</f>
        <v>99.2</v>
      </c>
      <c r="C65" s="1">
        <f>IF($B$5="Femenino",OMS_PCE_0_60!G46,IF($B$5="Masculino",OMS_PCE_0_60!T46,""))</f>
        <v>46.9</v>
      </c>
      <c r="D65" s="1">
        <f>IF($B$5="Femenino",OMS_PCE_0_60!H46,IF($B$5="Masculino",OMS_PCE_0_60!U46,""))</f>
        <v>48.4</v>
      </c>
      <c r="E65" s="1">
        <f>IF($B$5="Femenino",OMS_PCE_0_60!I46,IF($B$5="Masculino",OMS_PCE_0_60!V46,""))</f>
        <v>49.8</v>
      </c>
      <c r="F65" s="1">
        <f>IF($B$5="Femenino",OMS_PCE_0_60!J46,IF($B$5="Masculino",OMS_PCE_0_60!W46,""))</f>
        <v>51.3</v>
      </c>
      <c r="G65" s="1">
        <f>IF($B$5="Femenino",OMS_PCE_0_60!K46,IF($B$5="Masculino",OMS_PCE_0_60!X46,""))</f>
        <v>52.7</v>
      </c>
    </row>
    <row r="66" spans="1:7">
      <c r="A66" s="1">
        <v>42</v>
      </c>
      <c r="B66" s="1">
        <f>IF($B$5="Femenino",Tablas_OMS!X44,IF($B$5="Masculino",Tablas_OMS!AE44,""))</f>
        <v>99.9</v>
      </c>
      <c r="C66" s="1">
        <f>IF($B$5="Femenino",OMS_PCE_0_60!G47,IF($B$5="Masculino",OMS_PCE_0_60!T47,""))</f>
        <v>47</v>
      </c>
      <c r="D66" s="1">
        <f>IF($B$5="Femenino",OMS_PCE_0_60!H47,IF($B$5="Masculino",OMS_PCE_0_60!U47,""))</f>
        <v>48.4</v>
      </c>
      <c r="E66" s="1">
        <f>IF($B$5="Femenino",OMS_PCE_0_60!I47,IF($B$5="Masculino",OMS_PCE_0_60!V47,""))</f>
        <v>49.9</v>
      </c>
      <c r="F66" s="1">
        <f>IF($B$5="Femenino",OMS_PCE_0_60!J47,IF($B$5="Masculino",OMS_PCE_0_60!W47,""))</f>
        <v>51.3</v>
      </c>
      <c r="G66" s="1">
        <f>IF($B$5="Femenino",OMS_PCE_0_60!K47,IF($B$5="Masculino",OMS_PCE_0_60!X47,""))</f>
        <v>52.8</v>
      </c>
    </row>
    <row r="67" spans="1:7">
      <c r="A67" s="1">
        <v>43</v>
      </c>
      <c r="B67" s="1">
        <f>IF($B$5="Femenino",Tablas_OMS!X45,IF($B$5="Masculino",Tablas_OMS!AE45,""))</f>
        <v>100.4</v>
      </c>
      <c r="C67" s="1">
        <f>IF($B$5="Femenino",OMS_PCE_0_60!G48,IF($B$5="Masculino",OMS_PCE_0_60!T48,""))</f>
        <v>47</v>
      </c>
      <c r="D67" s="1">
        <f>IF($B$5="Femenino",OMS_PCE_0_60!H48,IF($B$5="Masculino",OMS_PCE_0_60!U48,""))</f>
        <v>48.5</v>
      </c>
      <c r="E67" s="1">
        <f>IF($B$5="Femenino",OMS_PCE_0_60!I48,IF($B$5="Masculino",OMS_PCE_0_60!V48,""))</f>
        <v>49.9</v>
      </c>
      <c r="F67" s="1">
        <f>IF($B$5="Femenino",OMS_PCE_0_60!J48,IF($B$5="Masculino",OMS_PCE_0_60!W48,""))</f>
        <v>51.4</v>
      </c>
      <c r="G67" s="1">
        <f>IF($B$5="Femenino",OMS_PCE_0_60!K48,IF($B$5="Masculino",OMS_PCE_0_60!X48,""))</f>
        <v>52.8</v>
      </c>
    </row>
    <row r="68" spans="1:7">
      <c r="A68" s="1">
        <v>44</v>
      </c>
      <c r="B68" s="1">
        <f>IF($B$5="Femenino",Tablas_OMS!X46,IF($B$5="Masculino",Tablas_OMS!AE46,""))</f>
        <v>101</v>
      </c>
      <c r="C68" s="1">
        <f>IF($B$5="Femenino",OMS_PCE_0_60!G49,IF($B$5="Masculino",OMS_PCE_0_60!T49,""))</f>
        <v>47.1</v>
      </c>
      <c r="D68" s="1">
        <f>IF($B$5="Femenino",OMS_PCE_0_60!H49,IF($B$5="Masculino",OMS_PCE_0_60!U49,""))</f>
        <v>48.5</v>
      </c>
      <c r="E68" s="1">
        <f>IF($B$5="Femenino",OMS_PCE_0_60!I49,IF($B$5="Masculino",OMS_PCE_0_60!V49,""))</f>
        <v>50</v>
      </c>
      <c r="F68" s="1">
        <f>IF($B$5="Femenino",OMS_PCE_0_60!J49,IF($B$5="Masculino",OMS_PCE_0_60!W49,""))</f>
        <v>51.4</v>
      </c>
      <c r="G68" s="1">
        <f>IF($B$5="Femenino",OMS_PCE_0_60!K49,IF($B$5="Masculino",OMS_PCE_0_60!X49,""))</f>
        <v>52.9</v>
      </c>
    </row>
    <row r="69" spans="1:7">
      <c r="A69" s="1">
        <v>45</v>
      </c>
      <c r="B69" s="1">
        <f>IF($B$5="Femenino",Tablas_OMS!X47,IF($B$5="Masculino",Tablas_OMS!AE47,""))</f>
        <v>101.6</v>
      </c>
      <c r="C69" s="1">
        <f>IF($B$5="Femenino",OMS_PCE_0_60!G50,IF($B$5="Masculino",OMS_PCE_0_60!T50,""))</f>
        <v>47.1</v>
      </c>
      <c r="D69" s="1">
        <f>IF($B$5="Femenino",OMS_PCE_0_60!H50,IF($B$5="Masculino",OMS_PCE_0_60!U50,""))</f>
        <v>48.6</v>
      </c>
      <c r="E69" s="1">
        <f>IF($B$5="Femenino",OMS_PCE_0_60!I50,IF($B$5="Masculino",OMS_PCE_0_60!V50,""))</f>
        <v>50.1</v>
      </c>
      <c r="F69" s="1">
        <f>IF($B$5="Femenino",OMS_PCE_0_60!J50,IF($B$5="Masculino",OMS_PCE_0_60!W50,""))</f>
        <v>51.5</v>
      </c>
      <c r="G69" s="1">
        <f>IF($B$5="Femenino",OMS_PCE_0_60!K50,IF($B$5="Masculino",OMS_PCE_0_60!X50,""))</f>
        <v>53</v>
      </c>
    </row>
    <row r="70" spans="1:7">
      <c r="A70" s="1">
        <v>46</v>
      </c>
      <c r="B70" s="1">
        <f>IF($B$5="Femenino",Tablas_OMS!X48,IF($B$5="Masculino",Tablas_OMS!AE48,""))</f>
        <v>102.2</v>
      </c>
      <c r="C70" s="1">
        <f>IF($B$5="Femenino",OMS_PCE_0_60!G51,IF($B$5="Masculino",OMS_PCE_0_60!T51,""))</f>
        <v>47.2</v>
      </c>
      <c r="D70" s="1">
        <f>IF($B$5="Femenino",OMS_PCE_0_60!H51,IF($B$5="Masculino",OMS_PCE_0_60!U51,""))</f>
        <v>48.7</v>
      </c>
      <c r="E70" s="1">
        <f>IF($B$5="Femenino",OMS_PCE_0_60!I51,IF($B$5="Masculino",OMS_PCE_0_60!V51,""))</f>
        <v>50.1</v>
      </c>
      <c r="F70" s="1">
        <f>IF($B$5="Femenino",OMS_PCE_0_60!J51,IF($B$5="Masculino",OMS_PCE_0_60!W51,""))</f>
        <v>51.6</v>
      </c>
      <c r="G70" s="1">
        <f>IF($B$5="Femenino",OMS_PCE_0_60!K51,IF($B$5="Masculino",OMS_PCE_0_60!X51,""))</f>
        <v>53</v>
      </c>
    </row>
    <row r="71" spans="1:7">
      <c r="A71" s="1">
        <v>47</v>
      </c>
      <c r="B71" s="1">
        <f>IF($B$5="Femenino",Tablas_OMS!X49,IF($B$5="Masculino",Tablas_OMS!AE49,""))</f>
        <v>102.8</v>
      </c>
      <c r="C71" s="1">
        <f>IF($B$5="Femenino",OMS_PCE_0_60!G52,IF($B$5="Masculino",OMS_PCE_0_60!T52,""))</f>
        <v>47.2</v>
      </c>
      <c r="D71" s="1">
        <f>IF($B$5="Femenino",OMS_PCE_0_60!H52,IF($B$5="Masculino",OMS_PCE_0_60!U52,""))</f>
        <v>48.7</v>
      </c>
      <c r="E71" s="1">
        <f>IF($B$5="Femenino",OMS_PCE_0_60!I52,IF($B$5="Masculino",OMS_PCE_0_60!V52,""))</f>
        <v>50.2</v>
      </c>
      <c r="F71" s="1">
        <f>IF($B$5="Femenino",OMS_PCE_0_60!J52,IF($B$5="Masculino",OMS_PCE_0_60!W52,""))</f>
        <v>51.6</v>
      </c>
      <c r="G71" s="1">
        <f>IF($B$5="Femenino",OMS_PCE_0_60!K52,IF($B$5="Masculino",OMS_PCE_0_60!X52,""))</f>
        <v>53.1</v>
      </c>
    </row>
    <row r="72" spans="1:7">
      <c r="A72" s="1">
        <v>48</v>
      </c>
      <c r="B72" s="1">
        <f>IF($B$5="Femenino",Tablas_OMS!X50,IF($B$5="Masculino",Tablas_OMS!AE50,""))</f>
        <v>103.3</v>
      </c>
      <c r="C72" s="1">
        <f>IF($B$5="Femenino",OMS_PCE_0_60!G53,IF($B$5="Masculino",OMS_PCE_0_60!T53,""))</f>
        <v>47.3</v>
      </c>
      <c r="D72" s="1">
        <f>IF($B$5="Femenino",OMS_PCE_0_60!H53,IF($B$5="Masculino",OMS_PCE_0_60!U53,""))</f>
        <v>48.7</v>
      </c>
      <c r="E72" s="1">
        <f>IF($B$5="Femenino",OMS_PCE_0_60!I53,IF($B$5="Masculino",OMS_PCE_0_60!V53,""))</f>
        <v>50.2</v>
      </c>
      <c r="F72" s="1">
        <f>IF($B$5="Femenino",OMS_PCE_0_60!J53,IF($B$5="Masculino",OMS_PCE_0_60!W53,""))</f>
        <v>51.7</v>
      </c>
      <c r="G72" s="1">
        <f>IF($B$5="Femenino",OMS_PCE_0_60!K53,IF($B$5="Masculino",OMS_PCE_0_60!X53,""))</f>
        <v>53.1</v>
      </c>
    </row>
    <row r="73" spans="1:7">
      <c r="A73" s="1">
        <v>49</v>
      </c>
      <c r="B73" s="1">
        <f>IF($B$5="Femenino",Tablas_OMS!X51,IF($B$5="Masculino",Tablas_OMS!AE51,""))</f>
        <v>103.9</v>
      </c>
      <c r="C73" s="1">
        <f>IF($B$5="Femenino",OMS_PCE_0_60!G54,IF($B$5="Masculino",OMS_PCE_0_60!T54,""))</f>
        <v>47.3</v>
      </c>
      <c r="D73" s="1">
        <f>IF($B$5="Femenino",OMS_PCE_0_60!H54,IF($B$5="Masculino",OMS_PCE_0_60!U54,""))</f>
        <v>48.8</v>
      </c>
      <c r="E73" s="1">
        <f>IF($B$5="Femenino",OMS_PCE_0_60!I54,IF($B$5="Masculino",OMS_PCE_0_60!V54,""))</f>
        <v>50.3</v>
      </c>
      <c r="F73" s="1">
        <f>IF($B$5="Femenino",OMS_PCE_0_60!J54,IF($B$5="Masculino",OMS_PCE_0_60!W54,""))</f>
        <v>51.7</v>
      </c>
      <c r="G73" s="1">
        <f>IF($B$5="Femenino",OMS_PCE_0_60!K54,IF($B$5="Masculino",OMS_PCE_0_60!X54,""))</f>
        <v>53.2</v>
      </c>
    </row>
    <row r="74" spans="1:7">
      <c r="A74" s="1">
        <v>50</v>
      </c>
      <c r="B74" s="1">
        <f>IF($B$5="Femenino",Tablas_OMS!X52,IF($B$5="Masculino",Tablas_OMS!AE52,""))</f>
        <v>104.4</v>
      </c>
      <c r="C74" s="1">
        <f>IF($B$5="Femenino",OMS_PCE_0_60!G55,IF($B$5="Masculino",OMS_PCE_0_60!T55,""))</f>
        <v>47.4</v>
      </c>
      <c r="D74" s="1">
        <f>IF($B$5="Femenino",OMS_PCE_0_60!H55,IF($B$5="Masculino",OMS_PCE_0_60!U55,""))</f>
        <v>48.8</v>
      </c>
      <c r="E74" s="1">
        <f>IF($B$5="Femenino",OMS_PCE_0_60!I55,IF($B$5="Masculino",OMS_PCE_0_60!V55,""))</f>
        <v>50.3</v>
      </c>
      <c r="F74" s="1">
        <f>IF($B$5="Femenino",OMS_PCE_0_60!J55,IF($B$5="Masculino",OMS_PCE_0_60!W55,""))</f>
        <v>51.8</v>
      </c>
      <c r="G74" s="1">
        <f>IF($B$5="Femenino",OMS_PCE_0_60!K55,IF($B$5="Masculino",OMS_PCE_0_60!X55,""))</f>
        <v>53.2</v>
      </c>
    </row>
    <row r="75" spans="1:7">
      <c r="A75" s="1">
        <v>51</v>
      </c>
      <c r="B75" s="1">
        <f>IF($B$5="Femenino",Tablas_OMS!X53,IF($B$5="Masculino",Tablas_OMS!AE53,""))</f>
        <v>105</v>
      </c>
      <c r="C75" s="1">
        <f>IF($B$5="Femenino",OMS_PCE_0_60!G56,IF($B$5="Masculino",OMS_PCE_0_60!T56,""))</f>
        <v>47.4</v>
      </c>
      <c r="D75" s="1">
        <f>IF($B$5="Femenino",OMS_PCE_0_60!H56,IF($B$5="Masculino",OMS_PCE_0_60!U56,""))</f>
        <v>48.9</v>
      </c>
      <c r="E75" s="1">
        <f>IF($B$5="Femenino",OMS_PCE_0_60!I56,IF($B$5="Masculino",OMS_PCE_0_60!V56,""))</f>
        <v>50.4</v>
      </c>
      <c r="F75" s="1">
        <f>IF($B$5="Femenino",OMS_PCE_0_60!J56,IF($B$5="Masculino",OMS_PCE_0_60!W56,""))</f>
        <v>51.8</v>
      </c>
      <c r="G75" s="1">
        <f>IF($B$5="Femenino",OMS_PCE_0_60!K56,IF($B$5="Masculino",OMS_PCE_0_60!X56,""))</f>
        <v>53.3</v>
      </c>
    </row>
    <row r="76" spans="1:7">
      <c r="A76" s="1">
        <v>52</v>
      </c>
      <c r="B76" s="1">
        <f>IF($B$5="Femenino",Tablas_OMS!X54,IF($B$5="Masculino",Tablas_OMS!AE54,""))</f>
        <v>105.6</v>
      </c>
      <c r="C76" s="1">
        <f>IF($B$5="Femenino",OMS_PCE_0_60!G57,IF($B$5="Masculino",OMS_PCE_0_60!T57,""))</f>
        <v>47.5</v>
      </c>
      <c r="D76" s="1">
        <f>IF($B$5="Femenino",OMS_PCE_0_60!H57,IF($B$5="Masculino",OMS_PCE_0_60!U57,""))</f>
        <v>48.9</v>
      </c>
      <c r="E76" s="1">
        <f>IF($B$5="Femenino",OMS_PCE_0_60!I57,IF($B$5="Masculino",OMS_PCE_0_60!V57,""))</f>
        <v>50.4</v>
      </c>
      <c r="F76" s="1">
        <f>IF($B$5="Femenino",OMS_PCE_0_60!J57,IF($B$5="Masculino",OMS_PCE_0_60!W57,""))</f>
        <v>51.9</v>
      </c>
      <c r="G76" s="1">
        <f>IF($B$5="Femenino",OMS_PCE_0_60!K57,IF($B$5="Masculino",OMS_PCE_0_60!X57,""))</f>
        <v>53.4</v>
      </c>
    </row>
    <row r="77" spans="1:7">
      <c r="A77" s="1">
        <v>53</v>
      </c>
      <c r="B77" s="1">
        <f>IF($B$5="Femenino",Tablas_OMS!X55,IF($B$5="Masculino",Tablas_OMS!AE55,""))</f>
        <v>106.1</v>
      </c>
      <c r="C77" s="1">
        <f>IF($B$5="Femenino",OMS_PCE_0_60!G58,IF($B$5="Masculino",OMS_PCE_0_60!T58,""))</f>
        <v>47.5</v>
      </c>
      <c r="D77" s="1">
        <f>IF($B$5="Femenino",OMS_PCE_0_60!H58,IF($B$5="Masculino",OMS_PCE_0_60!U58,""))</f>
        <v>49</v>
      </c>
      <c r="E77" s="1">
        <f>IF($B$5="Femenino",OMS_PCE_0_60!I58,IF($B$5="Masculino",OMS_PCE_0_60!V58,""))</f>
        <v>50.4</v>
      </c>
      <c r="F77" s="1">
        <f>IF($B$5="Femenino",OMS_PCE_0_60!J58,IF($B$5="Masculino",OMS_PCE_0_60!W58,""))</f>
        <v>51.9</v>
      </c>
      <c r="G77" s="1">
        <f>IF($B$5="Femenino",OMS_PCE_0_60!K58,IF($B$5="Masculino",OMS_PCE_0_60!X58,""))</f>
        <v>53.4</v>
      </c>
    </row>
    <row r="78" spans="1:7">
      <c r="A78" s="1">
        <v>54</v>
      </c>
      <c r="B78" s="1">
        <f>IF($B$5="Femenino",Tablas_OMS!X56,IF($B$5="Masculino",Tablas_OMS!AE56,""))</f>
        <v>106.7</v>
      </c>
      <c r="C78" s="1">
        <f>IF($B$5="Femenino",OMS_PCE_0_60!G59,IF($B$5="Masculino",OMS_PCE_0_60!T59,""))</f>
        <v>47.5</v>
      </c>
      <c r="D78" s="1">
        <f>IF($B$5="Femenino",OMS_PCE_0_60!H59,IF($B$5="Masculino",OMS_PCE_0_60!U59,""))</f>
        <v>49</v>
      </c>
      <c r="E78" s="1">
        <f>IF($B$5="Femenino",OMS_PCE_0_60!I59,IF($B$5="Masculino",OMS_PCE_0_60!V59,""))</f>
        <v>50.5</v>
      </c>
      <c r="F78" s="1">
        <f>IF($B$5="Femenino",OMS_PCE_0_60!J59,IF($B$5="Masculino",OMS_PCE_0_60!W59,""))</f>
        <v>52</v>
      </c>
      <c r="G78" s="1">
        <f>IF($B$5="Femenino",OMS_PCE_0_60!K59,IF($B$5="Masculino",OMS_PCE_0_60!X59,""))</f>
        <v>53.5</v>
      </c>
    </row>
    <row r="79" spans="1:7">
      <c r="A79" s="1">
        <v>55</v>
      </c>
      <c r="B79" s="1">
        <f>IF($B$5="Femenino",Tablas_OMS!X57,IF($B$5="Masculino",Tablas_OMS!AE57,""))</f>
        <v>107.2</v>
      </c>
      <c r="C79" s="1">
        <f>IF($B$5="Femenino",OMS_PCE_0_60!G60,IF($B$5="Masculino",OMS_PCE_0_60!T60,""))</f>
        <v>47.6</v>
      </c>
      <c r="D79" s="1">
        <f>IF($B$5="Femenino",OMS_PCE_0_60!H60,IF($B$5="Masculino",OMS_PCE_0_60!U60,""))</f>
        <v>49.1</v>
      </c>
      <c r="E79" s="1">
        <f>IF($B$5="Femenino",OMS_PCE_0_60!I60,IF($B$5="Masculino",OMS_PCE_0_60!V60,""))</f>
        <v>50.5</v>
      </c>
      <c r="F79" s="1">
        <f>IF($B$5="Femenino",OMS_PCE_0_60!J60,IF($B$5="Masculino",OMS_PCE_0_60!W60,""))</f>
        <v>52</v>
      </c>
      <c r="G79" s="1">
        <f>IF($B$5="Femenino",OMS_PCE_0_60!K60,IF($B$5="Masculino",OMS_PCE_0_60!X60,""))</f>
        <v>53.5</v>
      </c>
    </row>
    <row r="80" spans="1:7">
      <c r="A80" s="1">
        <v>56</v>
      </c>
      <c r="B80" s="1">
        <f>IF($B$5="Femenino",Tablas_OMS!X58,IF($B$5="Masculino",Tablas_OMS!AE58,""))</f>
        <v>107.8</v>
      </c>
      <c r="C80" s="1">
        <f>IF($B$5="Femenino",OMS_PCE_0_60!G61,IF($B$5="Masculino",OMS_PCE_0_60!T61,""))</f>
        <v>47.6</v>
      </c>
      <c r="D80" s="1">
        <f>IF($B$5="Femenino",OMS_PCE_0_60!H61,IF($B$5="Masculino",OMS_PCE_0_60!U61,""))</f>
        <v>49.1</v>
      </c>
      <c r="E80" s="1">
        <f>IF($B$5="Femenino",OMS_PCE_0_60!I61,IF($B$5="Masculino",OMS_PCE_0_60!V61,""))</f>
        <v>50.6</v>
      </c>
      <c r="F80" s="1">
        <f>IF($B$5="Femenino",OMS_PCE_0_60!J61,IF($B$5="Masculino",OMS_PCE_0_60!W61,""))</f>
        <v>52.1</v>
      </c>
      <c r="G80" s="1">
        <f>IF($B$5="Femenino",OMS_PCE_0_60!K61,IF($B$5="Masculino",OMS_PCE_0_60!X61,""))</f>
        <v>53.5</v>
      </c>
    </row>
    <row r="81" spans="1:7">
      <c r="A81" s="1">
        <v>57</v>
      </c>
      <c r="B81" s="1">
        <f>IF($B$5="Femenino",Tablas_OMS!X59,IF($B$5="Masculino",Tablas_OMS!AE59,""))</f>
        <v>108.3</v>
      </c>
      <c r="C81" s="1">
        <f>IF($B$5="Femenino",OMS_PCE_0_60!G62,IF($B$5="Masculino",OMS_PCE_0_60!T62,""))</f>
        <v>47.6</v>
      </c>
      <c r="D81" s="1">
        <f>IF($B$5="Femenino",OMS_PCE_0_60!H62,IF($B$5="Masculino",OMS_PCE_0_60!U62,""))</f>
        <v>49.1</v>
      </c>
      <c r="E81" s="1">
        <f>IF($B$5="Femenino",OMS_PCE_0_60!I62,IF($B$5="Masculino",OMS_PCE_0_60!V62,""))</f>
        <v>50.6</v>
      </c>
      <c r="F81" s="1">
        <f>IF($B$5="Femenino",OMS_PCE_0_60!J62,IF($B$5="Masculino",OMS_PCE_0_60!W62,""))</f>
        <v>52.1</v>
      </c>
      <c r="G81" s="1">
        <f>IF($B$5="Femenino",OMS_PCE_0_60!K62,IF($B$5="Masculino",OMS_PCE_0_60!X62,""))</f>
        <v>53.6</v>
      </c>
    </row>
    <row r="82" spans="1:7">
      <c r="A82" s="1">
        <v>58</v>
      </c>
      <c r="B82" s="1">
        <f>IF($B$5="Femenino",Tablas_OMS!X60,IF($B$5="Masculino",Tablas_OMS!AE60,""))</f>
        <v>108.9</v>
      </c>
      <c r="C82" s="1">
        <f>IF($B$5="Femenino",OMS_PCE_0_60!G63,IF($B$5="Masculino",OMS_PCE_0_60!T63,""))</f>
        <v>47.7</v>
      </c>
      <c r="D82" s="1">
        <f>IF($B$5="Femenino",OMS_PCE_0_60!H63,IF($B$5="Masculino",OMS_PCE_0_60!U63,""))</f>
        <v>49.2</v>
      </c>
      <c r="E82" s="1">
        <f>IF($B$5="Femenino",OMS_PCE_0_60!I63,IF($B$5="Masculino",OMS_PCE_0_60!V63,""))</f>
        <v>50.7</v>
      </c>
      <c r="F82" s="1">
        <f>IF($B$5="Femenino",OMS_PCE_0_60!J63,IF($B$5="Masculino",OMS_PCE_0_60!W63,""))</f>
        <v>52.1</v>
      </c>
      <c r="G82" s="1">
        <f>IF($B$5="Femenino",OMS_PCE_0_60!K63,IF($B$5="Masculino",OMS_PCE_0_60!X63,""))</f>
        <v>53.6</v>
      </c>
    </row>
    <row r="83" spans="1:7">
      <c r="A83" s="1">
        <v>59</v>
      </c>
      <c r="B83" s="1">
        <f>IF($B$5="Femenino",Tablas_OMS!X61,IF($B$5="Masculino",Tablas_OMS!AE61,""))</f>
        <v>109.4</v>
      </c>
      <c r="C83" s="1">
        <f>IF($B$5="Femenino",OMS_PCE_0_60!G64,IF($B$5="Masculino",OMS_PCE_0_60!T64,""))</f>
        <v>47.7</v>
      </c>
      <c r="D83" s="1">
        <f>IF($B$5="Femenino",OMS_PCE_0_60!H64,IF($B$5="Masculino",OMS_PCE_0_60!U64,""))</f>
        <v>49.2</v>
      </c>
      <c r="E83" s="1">
        <f>IF($B$5="Femenino",OMS_PCE_0_60!I64,IF($B$5="Masculino",OMS_PCE_0_60!V64,""))</f>
        <v>50.7</v>
      </c>
      <c r="F83" s="1">
        <f>IF($B$5="Femenino",OMS_PCE_0_60!J64,IF($B$5="Masculino",OMS_PCE_0_60!W64,""))</f>
        <v>52.2</v>
      </c>
      <c r="G83" s="1">
        <f>IF($B$5="Femenino",OMS_PCE_0_60!K64,IF($B$5="Masculino",OMS_PCE_0_60!X64,""))</f>
        <v>53.7</v>
      </c>
    </row>
    <row r="84" spans="1:7">
      <c r="A84" s="1">
        <v>60</v>
      </c>
      <c r="B84" s="1">
        <f>IF($B$5="Femenino",Tablas_OMS!X62,IF($B$5="Masculino",Tablas_OMS!AE62,""))</f>
        <v>110</v>
      </c>
      <c r="C84" s="1">
        <f>IF($B$5="Femenino",OMS_PCE_0_60!G65,IF($B$5="Masculino",OMS_PCE_0_60!T65,""))</f>
        <v>47.7</v>
      </c>
      <c r="D84" s="1">
        <f>IF($B$5="Femenino",OMS_PCE_0_60!H65,IF($B$5="Masculino",OMS_PCE_0_60!U65,""))</f>
        <v>49.2</v>
      </c>
      <c r="E84" s="1">
        <f>IF($B$5="Femenino",OMS_PCE_0_60!I65,IF($B$5="Masculino",OMS_PCE_0_60!V65,""))</f>
        <v>50.7</v>
      </c>
      <c r="F84" s="1">
        <f>IF($B$5="Femenino",OMS_PCE_0_60!J65,IF($B$5="Masculino",OMS_PCE_0_60!W65,""))</f>
        <v>52.2</v>
      </c>
      <c r="G84" s="1">
        <f>IF($B$5="Femenino",OMS_PCE_0_60!K65,IF($B$5="Masculino",OMS_PCE_0_60!X65,""))</f>
        <v>53.7</v>
      </c>
    </row>
    <row r="87" spans="1:7">
      <c r="A87" s="58" t="s">
        <v>924</v>
      </c>
      <c r="B87" s="58"/>
      <c r="C87" s="58"/>
      <c r="D87" s="58"/>
      <c r="E87" s="58"/>
      <c r="F87" s="58"/>
      <c r="G87" s="58"/>
    </row>
    <row r="88" spans="1:7" ht="25.5">
      <c r="A88" s="18" t="s">
        <v>1027</v>
      </c>
      <c r="B88" s="57" t="s">
        <v>1374</v>
      </c>
      <c r="C88" s="57"/>
      <c r="D88" s="57"/>
      <c r="E88" s="57"/>
      <c r="F88" s="57"/>
      <c r="G88" s="57"/>
    </row>
    <row r="89" spans="1:7" ht="51">
      <c r="A89" s="18" t="s">
        <v>1375</v>
      </c>
      <c r="B89" s="57" t="s">
        <v>1376</v>
      </c>
      <c r="C89" s="57"/>
      <c r="D89" s="57"/>
      <c r="E89" s="57"/>
      <c r="F89" s="57"/>
      <c r="G89" s="57"/>
    </row>
    <row r="90" spans="1:7" ht="38.25">
      <c r="A90" s="18" t="s">
        <v>1377</v>
      </c>
      <c r="B90" s="57" t="s">
        <v>1378</v>
      </c>
      <c r="C90" s="57"/>
      <c r="D90" s="57"/>
      <c r="E90" s="57"/>
      <c r="F90" s="57"/>
      <c r="G90" s="57"/>
    </row>
    <row r="91" spans="1:7" ht="63.75">
      <c r="A91" s="18" t="s">
        <v>1029</v>
      </c>
      <c r="B91" s="57" t="s">
        <v>1379</v>
      </c>
      <c r="C91" s="57"/>
      <c r="D91" s="57"/>
      <c r="E91" s="57"/>
      <c r="F91" s="57"/>
      <c r="G91" s="57"/>
    </row>
  </sheetData>
  <mergeCells count="2">
    <mergeCell ref="A1:G1"/>
    <mergeCell ref="A2:G2"/>
  </mergeCells>
  <pageMargins left="0.7" right="0.7" top="0.75" bottom="0.75" header="0.511811023622047" footer="0.511811023622047"/>
  <pageSetup paperSize="9" orientation="portrait" horizontalDpi="300" verticalDpi="300"/>
</worksheet>
</file>

<file path=xl/worksheets/sheet2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700-000000000000}">
  <dimension ref="A1:H34"/>
  <sheetViews>
    <sheetView zoomScaleNormal="100" workbookViewId="0">
      <selection activeCell="B24" sqref="B24"/>
    </sheetView>
  </sheetViews>
  <sheetFormatPr baseColWidth="10" defaultColWidth="9.140625" defaultRowHeight="15"/>
  <cols>
    <col min="1" max="1" width="35" style="1" customWidth="1"/>
    <col min="2" max="2" width="32" style="1" customWidth="1"/>
    <col min="3" max="3" width="38" style="1" customWidth="1"/>
    <col min="4" max="4" width="28" style="1" customWidth="1"/>
    <col min="6" max="6" width="27" style="1" customWidth="1"/>
    <col min="7" max="7" width="26" style="1" customWidth="1"/>
    <col min="8" max="8" width="20" style="1" customWidth="1"/>
  </cols>
  <sheetData>
    <row r="1" spans="1:8" ht="19.5">
      <c r="A1" s="188" t="s">
        <v>1380</v>
      </c>
      <c r="B1" s="188"/>
      <c r="C1" s="188"/>
      <c r="D1" s="188"/>
      <c r="E1" s="188"/>
      <c r="F1" s="188"/>
      <c r="G1" s="188"/>
      <c r="H1" s="188"/>
    </row>
    <row r="2" spans="1:8" ht="15" customHeight="1">
      <c r="A2" s="190" t="s">
        <v>1381</v>
      </c>
      <c r="B2" s="190"/>
      <c r="C2" s="190"/>
      <c r="D2" s="190"/>
      <c r="E2" s="190"/>
      <c r="F2" s="190"/>
      <c r="G2" s="190"/>
      <c r="H2" s="190"/>
    </row>
    <row r="4" spans="1:8">
      <c r="A4" s="58" t="s">
        <v>1382</v>
      </c>
      <c r="B4" s="58" t="s">
        <v>1351</v>
      </c>
      <c r="C4" s="58" t="s">
        <v>285</v>
      </c>
      <c r="D4" s="58" t="s">
        <v>504</v>
      </c>
      <c r="F4" s="58" t="s">
        <v>1383</v>
      </c>
      <c r="G4" s="58" t="s">
        <v>1351</v>
      </c>
      <c r="H4" s="58" t="s">
        <v>1384</v>
      </c>
    </row>
    <row r="5" spans="1:8">
      <c r="A5" s="18" t="s">
        <v>1385</v>
      </c>
      <c r="B5" s="57" t="str">
        <f>Ingreso!C16</f>
        <v>GENERAL</v>
      </c>
      <c r="C5" s="57" t="s">
        <v>1386</v>
      </c>
      <c r="D5" s="57"/>
      <c r="F5" s="18" t="s">
        <v>1387</v>
      </c>
      <c r="G5" s="57" t="str">
        <f>IF(OR(B5&lt;&gt;"SINDROME_DOWN",B7&lt;0,B7&gt;60,G14=""),"",IF(B7&lt;24,IF(B6="Femenino",IFERROR(INDEX(OMS_TABLAS_OFICIALES!$M$5:$M$135,MATCH(G14,OMS_TABLAS_OFICIALES!$K$5:$K$135,0)),""),IF(B6="Masculino",IFERROR(INDEX(OMS_TABLAS_OFICIALES!$R$5:$R$135,MATCH(G14,OMS_TABLAS_OFICIALES!$P$5:$P$135,0)),""),"")),IF(B6="Femenino",IFERROR(INDEX(OMS_TABLAS_OFICIALES!$W$5:$W$115,MATCH(G14,OMS_TABLAS_OFICIALES!$U$5:$U$115,0)),""),IF(B6="Masculino",IFERROR(INDEX(OMS_TABLAS_OFICIALES!$AB$5:$AB$115,MATCH(G14,OMS_TABLAS_OFICIALES!$Z$5:$Z$115,0)),""),""))))</f>
        <v/>
      </c>
      <c r="H5" s="57" t="s">
        <v>260</v>
      </c>
    </row>
    <row r="6" spans="1:8">
      <c r="A6" s="18" t="s">
        <v>500</v>
      </c>
      <c r="B6" s="57" t="str">
        <f>Ingreso!C3</f>
        <v>Masculino</v>
      </c>
      <c r="C6" s="57" t="s">
        <v>1386</v>
      </c>
      <c r="D6" s="57"/>
      <c r="F6" s="18" t="s">
        <v>1388</v>
      </c>
      <c r="G6" s="57" t="str">
        <f>IF(OR(B5&lt;&gt;"SINDROME_DOWN",B7&lt;0,B7&gt;60,G14=""),"",IF(B7&lt;24,IF(B6="Femenino",IFERROR(INDEX(OMS_TABLAS_OFICIALES!$L$5:$L$135,MATCH(G14,OMS_TABLAS_OFICIALES!$K$5:$K$135,0)),""),IF(B6="Masculino",IFERROR(INDEX(OMS_TABLAS_OFICIALES!$Q$5:$Q$135,MATCH(G14,OMS_TABLAS_OFICIALES!$P$5:$P$135,0)),""),"")),IF(B6="Femenino",IFERROR(INDEX(OMS_TABLAS_OFICIALES!$V$5:$V$115,MATCH(G14,OMS_TABLAS_OFICIALES!$U$5:$U$115,0)),""),IF(B6="Masculino",IFERROR(INDEX(OMS_TABLAS_OFICIALES!$AA$5:$AA$115,MATCH(G14,OMS_TABLAS_OFICIALES!$Z$5:$Z$115,0)),""),""))))</f>
        <v/>
      </c>
      <c r="H6" s="57" t="s">
        <v>260</v>
      </c>
    </row>
    <row r="7" spans="1:8">
      <c r="A7" s="18" t="s">
        <v>1352</v>
      </c>
      <c r="B7" s="86">
        <f>Cálculos!C6</f>
        <v>192</v>
      </c>
      <c r="C7" s="57" t="s">
        <v>1389</v>
      </c>
      <c r="D7" s="57"/>
      <c r="F7" s="18" t="s">
        <v>1390</v>
      </c>
      <c r="G7" s="57" t="str">
        <f>IF(OR(B5&lt;&gt;"SINDROME_DOWN",B7&lt;0,B7&gt;60,G14=""),"",IF(B7&lt;24,IF(B6="Femenino",IFERROR(INDEX(OMS_TABLAS_OFICIALES!$N$5:$N$135,MATCH(G14,OMS_TABLAS_OFICIALES!$K$5:$K$135,0)),""),IF(B6="Masculino",IFERROR(INDEX(OMS_TABLAS_OFICIALES!$S$5:$S$135,MATCH(G14,OMS_TABLAS_OFICIALES!$P$5:$P$135,0)),""),"")),IF(B6="Femenino",IFERROR(INDEX(OMS_TABLAS_OFICIALES!$X$5:$X$115,MATCH(G14,OMS_TABLAS_OFICIALES!$U$5:$U$115,0)),""),IF(B6="Masculino",IFERROR(INDEX(OMS_TABLAS_OFICIALES!$AC$5:$AC$115,MATCH(G14,OMS_TABLAS_OFICIALES!$Z$5:$Z$115,0)),""),""))))</f>
        <v/>
      </c>
      <c r="H7" s="57" t="s">
        <v>260</v>
      </c>
    </row>
    <row r="8" spans="1:8">
      <c r="A8" s="18" t="s">
        <v>44</v>
      </c>
      <c r="B8" s="57">
        <f>Ingreso!C8</f>
        <v>62</v>
      </c>
      <c r="C8" s="57" t="s">
        <v>1386</v>
      </c>
      <c r="D8" s="57"/>
      <c r="F8" s="18" t="s">
        <v>1391</v>
      </c>
      <c r="G8" s="57" t="str">
        <f>IF(OR(B8="",G5="",G6="",G7=""),"",IF(G6=0,LN(B8/G5)/G7,(((B8/G5)^G6)-1)/(G7*G6)))</f>
        <v/>
      </c>
      <c r="H8" s="57" t="s">
        <v>260</v>
      </c>
    </row>
    <row r="9" spans="1:8">
      <c r="A9" s="18" t="s">
        <v>1392</v>
      </c>
      <c r="B9" s="57">
        <f>Ingreso!C9</f>
        <v>168</v>
      </c>
      <c r="C9" s="57" t="s">
        <v>1386</v>
      </c>
      <c r="D9" s="57"/>
      <c r="F9" s="18" t="s">
        <v>1393</v>
      </c>
      <c r="G9" s="57" t="str">
        <f>IF(OR(B5&lt;&gt;"SINDROME_DOWN",B7&lt;61,B7&gt;228),"",IF(B6="Femenino",IFERROR(INDEX(Tablas_OMS!$C$2:$C$169,MATCH(B7,Tablas_OMS!$A$2:$A$169,0)),""),IF(B6="Masculino",IFERROR(INDEX(Tablas_OMS!$H$2:$H$169,MATCH(B7,Tablas_OMS!$F$2:$F$169,0)),""),"")))</f>
        <v/>
      </c>
      <c r="H9" s="57" t="s">
        <v>264</v>
      </c>
    </row>
    <row r="10" spans="1:8">
      <c r="A10" s="18" t="s">
        <v>1394</v>
      </c>
      <c r="B10" s="57">
        <f>IF(OR(B8="",B9="",B8&lt;=0,B9&lt;=0),"",B8/((B9/100)^2))</f>
        <v>21.9671201814059</v>
      </c>
      <c r="C10" s="57" t="s">
        <v>1395</v>
      </c>
      <c r="D10" s="57"/>
      <c r="F10" s="18" t="s">
        <v>1396</v>
      </c>
      <c r="G10" s="57" t="str">
        <f>IF(OR(B5&lt;&gt;"SINDROME_DOWN",B7&lt;61,B7&gt;228),"",IF(B6="Femenino",IFERROR(INDEX(Tablas_OMS!$B$2:$B$169,MATCH(B7,Tablas_OMS!$A$2:$A$169,0)),""),IF(B6="Masculino",IFERROR(INDEX(Tablas_OMS!$G$2:$G$169,MATCH(B7,Tablas_OMS!$F$2:$F$169,0)),""),"")))</f>
        <v/>
      </c>
      <c r="H10" s="57" t="s">
        <v>264</v>
      </c>
    </row>
    <row r="11" spans="1:8">
      <c r="A11" s="18" t="s">
        <v>1397</v>
      </c>
      <c r="B11" s="57" t="str">
        <f>IF(Ingreso!C20="","",Ingreso!C20)</f>
        <v/>
      </c>
      <c r="C11" s="57" t="s">
        <v>1398</v>
      </c>
      <c r="D11" s="57"/>
      <c r="F11" s="18" t="s">
        <v>1399</v>
      </c>
      <c r="G11" s="57" t="str">
        <f>IF(OR(B5&lt;&gt;"SINDROME_DOWN",B7&lt;61,B7&gt;228),"",IF(B6="Femenino",IFERROR(INDEX(Tablas_OMS!$D$2:$D$169,MATCH(B7,Tablas_OMS!$A$2:$A$169,0)),""),IF(B6="Masculino",IFERROR(INDEX(Tablas_OMS!$I$2:$I$169,MATCH(B7,Tablas_OMS!$F$2:$F$169,0)),""),"")))</f>
        <v/>
      </c>
      <c r="H11" s="57" t="s">
        <v>264</v>
      </c>
    </row>
    <row r="12" spans="1:8">
      <c r="A12" s="18" t="s">
        <v>1400</v>
      </c>
      <c r="B12" s="57" t="str">
        <f>IF(Ingreso!C21="","",Ingreso!C21)</f>
        <v/>
      </c>
      <c r="C12" s="57" t="s">
        <v>1398</v>
      </c>
      <c r="D12" s="57"/>
      <c r="F12" s="18" t="s">
        <v>1394</v>
      </c>
      <c r="G12" s="57">
        <f>B10</f>
        <v>21.9671201814059</v>
      </c>
      <c r="H12" s="57" t="s">
        <v>264</v>
      </c>
    </row>
    <row r="13" spans="1:8">
      <c r="A13" s="18" t="s">
        <v>1401</v>
      </c>
      <c r="B13" s="57" t="str">
        <f>IF(Ingreso!C22="","",Ingreso!C22)</f>
        <v/>
      </c>
      <c r="C13" s="57" t="s">
        <v>1398</v>
      </c>
      <c r="D13" s="57"/>
      <c r="F13" s="18" t="s">
        <v>1402</v>
      </c>
      <c r="G13" s="57" t="str">
        <f>IF(OR(G12="",G9="",G10="",G11=""),"",IF(G10=0,LN(G12/G9)/G11,(((G12/G9)^G10)-1)/(G11*G10)))</f>
        <v/>
      </c>
      <c r="H13" s="57" t="s">
        <v>264</v>
      </c>
    </row>
    <row r="14" spans="1:8">
      <c r="A14" s="18" t="s">
        <v>1403</v>
      </c>
      <c r="B14" s="57" t="str">
        <f>G8</f>
        <v/>
      </c>
      <c r="C14" s="57" t="s">
        <v>1404</v>
      </c>
      <c r="D14" s="57"/>
      <c r="F14" s="18" t="s">
        <v>1405</v>
      </c>
      <c r="G14" s="57">
        <f>IF(OR(B9="",B9&lt;=0),"",ROUND(B9*2,0)/2)</f>
        <v>168</v>
      </c>
      <c r="H14" s="57" t="s">
        <v>260</v>
      </c>
    </row>
    <row r="15" spans="1:8">
      <c r="A15" s="18" t="s">
        <v>1406</v>
      </c>
      <c r="B15" s="57" t="str">
        <f>G13</f>
        <v/>
      </c>
      <c r="C15" s="57" t="s">
        <v>1407</v>
      </c>
      <c r="D15" s="57"/>
      <c r="F15" s="18" t="s">
        <v>1408</v>
      </c>
      <c r="G15" s="57" t="str">
        <f>IF(B14&gt;=2,"Obesidad",IF(B14&gt;=1,"Sobrepeso",IF(B11="","PENDIENTE_PERCENTIL_P_E_ZEMEL",IF(OR(B11&lt;=0,B11&gt;100),"PERCENTIL_INVÁLIDO",IF(B11&lt;10,"Desnutrición",IF(B11&lt;25,"Riesgo de desnutrir",IF(B11&lt;90,"Normal o eutrófico","P_E_≥P90 · REVISAR_P_T_Y_TRAYECTORIA")))))))</f>
        <v>Obesidad</v>
      </c>
      <c r="H15" s="57" t="s">
        <v>1144</v>
      </c>
    </row>
    <row r="16" spans="1:8">
      <c r="A16" s="18" t="s">
        <v>1409</v>
      </c>
      <c r="B16" s="57" t="str">
        <f>IF(B5&lt;&gt;"SINDROME_DOWN","NO_APLICA",IF(OR(B7="",B7&lt;0,B7&gt;228),"FUERA_DE_DOMINIO",IF(B7&lt;12,G15,IF(B7&lt;=60,G16,G17))))</f>
        <v>NO_APLICA</v>
      </c>
      <c r="C16" s="57" t="s">
        <v>1410</v>
      </c>
      <c r="D16" s="57"/>
      <c r="F16" s="18" t="s">
        <v>1411</v>
      </c>
      <c r="G16" s="57" t="str">
        <f>IF(B14="","PENDIENTE_DATO_OMS_P_T",IF(B14&lt;=-2,"Desnutrición",IF(B14&lt;=-1,"Riesgo de desnutrir",IF(B14&lt;1,"Normal o eutrófico",IF(B14&lt;2,"Sobrepeso","Obesidad")))))</f>
        <v>PENDIENTE_DATO_OMS_P_T</v>
      </c>
      <c r="H16" s="57" t="s">
        <v>1144</v>
      </c>
    </row>
    <row r="17" spans="1:8">
      <c r="A17" s="18" t="s">
        <v>1412</v>
      </c>
      <c r="B17" s="57" t="str">
        <f>IF(B5&lt;&gt;"SINDROME_DOWN","NO_APLICA",IF(B11="","PENDIENTE_PERCENTIL",IF(OR(B11&lt;=0,B11&gt;100),"PERCENTIL_INVÁLIDO",IF(B11&lt;5,"Peso por debajo de lo normal",IF(B11&lt;95,"Normal","Peso por sobre lo normal")))))</f>
        <v>NO_APLICA</v>
      </c>
      <c r="C17" s="57" t="s">
        <v>1413</v>
      </c>
      <c r="D17" s="57"/>
      <c r="F17" s="18" t="s">
        <v>1414</v>
      </c>
      <c r="G17" s="57" t="str">
        <f>IF(B15="","PENDIENTE_DATO_OMS_IMC_E",IF(B15&lt;=-2,"Desnutrición",IF(B15&lt;=-1,"Riesgo de desnutrir",IF(B15&lt;1,"Normal o eutrófico",IF(B15&lt;2,"Sobrepeso",IF(B15&lt;3,"Obesidad","Obesidad severa"))))))</f>
        <v>PENDIENTE_DATO_OMS_IMC_E</v>
      </c>
      <c r="H17" s="57" t="s">
        <v>1144</v>
      </c>
    </row>
    <row r="18" spans="1:8" ht="25.5">
      <c r="A18" s="18" t="s">
        <v>1415</v>
      </c>
      <c r="B18" s="57" t="str">
        <f>IF(B5&lt;&gt;"SINDROME_DOWN","NO_APLICA",IF(B12="","PENDIENTE_PERCENTIL",IF(OR(B12&lt;=0,B12&gt;100),"PERCENTIL_INVÁLIDO",IF(B12&lt;5,"Talla baja",IF(B12&lt;95,"Normal","Talla alta")))))</f>
        <v>NO_APLICA</v>
      </c>
      <c r="C18" s="57" t="s">
        <v>1416</v>
      </c>
      <c r="D18" s="57"/>
      <c r="F18" s="18" t="s">
        <v>1417</v>
      </c>
      <c r="G18" s="57" t="str">
        <f>IF(AND(B7&lt;12,B14&lt;1,B11=""),"FALTA_P_E_ZEMEL",IF(AND(B7&lt;=60,B14=""),"FALTA_P_T_OMS",IF(AND(B7&gt;=61,B15=""),"FALTA_IMC_E_OMS","OK")))</f>
        <v>FALTA_IMC_E_OMS</v>
      </c>
      <c r="H18" s="57" t="s">
        <v>1418</v>
      </c>
    </row>
    <row r="19" spans="1:8">
      <c r="A19" s="18" t="s">
        <v>1419</v>
      </c>
      <c r="B19" s="57" t="str">
        <f>IF(B5&lt;&gt;"SINDROME_DOWN","NO_APLICA",IF(B7&gt;60,"FUERA_DE_DOMINIO_PCE_DOWN",IF(B13="","PENDIENTE_PERCENTIL",IF(OR(B13&lt;=0,B13&gt;100),"PERCENTIL_INVÁLIDO",IF(B13&lt;5,"Microcefalia",IF(B13&lt;95,"Normal","Macrocefalia"))))))</f>
        <v>NO_APLICA</v>
      </c>
      <c r="C19" s="57" t="s">
        <v>1420</v>
      </c>
      <c r="D19" s="57"/>
    </row>
    <row r="20" spans="1:8">
      <c r="A20" s="18" t="s">
        <v>183</v>
      </c>
      <c r="B20" s="86" t="str">
        <f>IF(B5&lt;&gt;"SINDROME_DOWN","NO_APLICA",IF(AND(B6&lt;&gt;"Femenino",B6&lt;&gt;"Masculino"),"SEXO_INVÁLIDO",IF(AND(B7&gt;=0,B7&lt;=228),"APLICA","FUERA_DE_DOMINIO")))</f>
        <v>NO_APLICA</v>
      </c>
      <c r="C20" s="57" t="s">
        <v>1421</v>
      </c>
      <c r="D20" s="57"/>
    </row>
    <row r="21" spans="1:8">
      <c r="A21" s="18" t="s">
        <v>907</v>
      </c>
      <c r="B21" s="57" t="str">
        <f>IF(B5&lt;&gt;"SINDROME_DOWN","NO_APLICA",IF(B20&lt;&gt;"APLICA",B20,G18))</f>
        <v>NO_APLICA</v>
      </c>
      <c r="C21" s="57" t="s">
        <v>1422</v>
      </c>
      <c r="D21" s="57"/>
    </row>
    <row r="22" spans="1:8">
      <c r="A22" s="88" t="s">
        <v>1423</v>
      </c>
      <c r="B22" s="57"/>
    </row>
    <row r="23" spans="1:8">
      <c r="A23" s="58" t="s">
        <v>1375</v>
      </c>
      <c r="C23" s="58" t="s">
        <v>285</v>
      </c>
      <c r="D23" s="58" t="s">
        <v>504</v>
      </c>
    </row>
    <row r="24" spans="1:8" ht="25.5">
      <c r="A24" s="57" t="s">
        <v>1424</v>
      </c>
      <c r="B24" s="58" t="s">
        <v>1425</v>
      </c>
      <c r="C24" s="57" t="s">
        <v>1144</v>
      </c>
      <c r="D24" s="57" t="s">
        <v>616</v>
      </c>
    </row>
    <row r="25" spans="1:8">
      <c r="A25" s="57" t="s">
        <v>1426</v>
      </c>
      <c r="B25" s="57" t="s">
        <v>1427</v>
      </c>
      <c r="C25" s="57" t="s">
        <v>1144</v>
      </c>
      <c r="D25" s="57" t="s">
        <v>616</v>
      </c>
    </row>
    <row r="26" spans="1:8" ht="25.5">
      <c r="A26" s="57" t="s">
        <v>1216</v>
      </c>
      <c r="B26" s="57" t="s">
        <v>1428</v>
      </c>
      <c r="C26" s="57" t="s">
        <v>1144</v>
      </c>
      <c r="D26" s="57" t="s">
        <v>616</v>
      </c>
    </row>
    <row r="27" spans="1:8" ht="25.5">
      <c r="A27" s="57" t="s">
        <v>1429</v>
      </c>
      <c r="B27" s="57" t="s">
        <v>1430</v>
      </c>
      <c r="C27" s="57" t="s">
        <v>1431</v>
      </c>
      <c r="D27" s="57" t="s">
        <v>616</v>
      </c>
    </row>
    <row r="28" spans="1:8">
      <c r="A28" s="57" t="s">
        <v>1432</v>
      </c>
      <c r="B28" s="57" t="s">
        <v>1433</v>
      </c>
      <c r="C28" s="57" t="s">
        <v>1434</v>
      </c>
      <c r="D28" s="57" t="s">
        <v>616</v>
      </c>
    </row>
    <row r="29" spans="1:8" ht="25.5">
      <c r="A29" s="57" t="s">
        <v>1435</v>
      </c>
      <c r="B29" s="57" t="s">
        <v>1436</v>
      </c>
      <c r="C29" s="57" t="s">
        <v>1437</v>
      </c>
      <c r="D29" s="57" t="s">
        <v>616</v>
      </c>
    </row>
    <row r="31" spans="1:8" ht="38.25">
      <c r="A31" s="18" t="s">
        <v>1438</v>
      </c>
      <c r="B31" s="57" t="s">
        <v>348</v>
      </c>
    </row>
    <row r="32" spans="1:8" ht="38.25">
      <c r="A32" s="18" t="s">
        <v>1439</v>
      </c>
      <c r="B32" s="57" t="s">
        <v>351</v>
      </c>
    </row>
    <row r="33" spans="1:2" ht="25.5">
      <c r="A33" s="18" t="s">
        <v>355</v>
      </c>
      <c r="B33" s="57" t="s">
        <v>354</v>
      </c>
    </row>
    <row r="34" spans="1:2" ht="38.25">
      <c r="A34" s="18" t="s">
        <v>1029</v>
      </c>
      <c r="B34" s="57" t="s">
        <v>1440</v>
      </c>
    </row>
  </sheetData>
  <mergeCells count="2">
    <mergeCell ref="A1:H1"/>
    <mergeCell ref="A2:H2"/>
  </mergeCells>
  <pageMargins left="0.7" right="0.7" top="0.75" bottom="0.75" header="0.511811023622047" footer="0.511811023622047"/>
  <pageSetup paperSize="9" orientation="portrait" horizontalDpi="300" verticalDpi="300"/>
</worksheet>
</file>

<file path=xl/worksheets/sheet2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800-000000000000}">
  <dimension ref="A1:J11"/>
  <sheetViews>
    <sheetView zoomScaleNormal="100" workbookViewId="0"/>
  </sheetViews>
  <sheetFormatPr baseColWidth="10" defaultColWidth="9.140625" defaultRowHeight="15"/>
  <cols>
    <col min="1" max="1" width="13" style="1" customWidth="1"/>
    <col min="2" max="2" width="30" style="1" customWidth="1"/>
    <col min="3" max="3" width="26" style="1" customWidth="1"/>
    <col min="4" max="4" width="24" style="1" customWidth="1"/>
    <col min="5" max="5" width="30" style="1" customWidth="1"/>
    <col min="6" max="6" width="24" style="1" customWidth="1"/>
    <col min="7" max="9" width="36" style="1" customWidth="1"/>
    <col min="10" max="10" width="15" style="1" customWidth="1"/>
  </cols>
  <sheetData>
    <row r="1" spans="1:10" ht="19.5">
      <c r="A1" s="188" t="s">
        <v>1441</v>
      </c>
      <c r="B1" s="188"/>
      <c r="C1" s="188"/>
      <c r="D1" s="188"/>
      <c r="E1" s="188"/>
      <c r="F1" s="188"/>
      <c r="G1" s="188"/>
      <c r="H1" s="188"/>
      <c r="I1" s="188"/>
      <c r="J1" s="188"/>
    </row>
    <row r="2" spans="1:10" ht="15" customHeight="1">
      <c r="A2" s="190" t="s">
        <v>1442</v>
      </c>
      <c r="B2" s="190"/>
      <c r="C2" s="190"/>
      <c r="D2" s="190"/>
      <c r="E2" s="190"/>
      <c r="F2" s="190"/>
      <c r="G2" s="190"/>
      <c r="H2" s="190"/>
      <c r="I2" s="190"/>
      <c r="J2" s="190"/>
    </row>
    <row r="4" spans="1:10">
      <c r="A4" s="58" t="s">
        <v>1443</v>
      </c>
      <c r="B4" s="58" t="s">
        <v>1444</v>
      </c>
      <c r="C4" s="58" t="s">
        <v>1445</v>
      </c>
      <c r="D4" s="58" t="s">
        <v>1446</v>
      </c>
      <c r="E4" s="58" t="s">
        <v>1447</v>
      </c>
      <c r="F4" s="58" t="s">
        <v>1448</v>
      </c>
      <c r="G4" s="58" t="s">
        <v>851</v>
      </c>
      <c r="H4" s="58" t="s">
        <v>1029</v>
      </c>
      <c r="I4" s="58" t="s">
        <v>1449</v>
      </c>
      <c r="J4" s="58" t="s">
        <v>435</v>
      </c>
    </row>
    <row r="5" spans="1:10">
      <c r="A5" s="57" t="s">
        <v>1450</v>
      </c>
      <c r="B5" s="57" t="s">
        <v>1451</v>
      </c>
      <c r="C5" s="57" t="s">
        <v>1452</v>
      </c>
      <c r="D5" s="57" t="s">
        <v>239</v>
      </c>
      <c r="E5" s="57" t="s">
        <v>1453</v>
      </c>
      <c r="F5" s="57" t="s">
        <v>1454</v>
      </c>
      <c r="G5" s="57" t="s">
        <v>1455</v>
      </c>
      <c r="H5" s="57" t="s">
        <v>1456</v>
      </c>
      <c r="I5" s="57" t="s">
        <v>1457</v>
      </c>
      <c r="J5" s="57" t="s">
        <v>281</v>
      </c>
    </row>
    <row r="6" spans="1:10">
      <c r="A6" s="57" t="s">
        <v>1458</v>
      </c>
      <c r="B6" s="57" t="s">
        <v>1459</v>
      </c>
      <c r="C6" s="57" t="s">
        <v>1452</v>
      </c>
      <c r="D6" s="57" t="s">
        <v>239</v>
      </c>
      <c r="E6" s="57" t="s">
        <v>1460</v>
      </c>
      <c r="F6" s="57" t="s">
        <v>1461</v>
      </c>
      <c r="G6" s="57" t="s">
        <v>1462</v>
      </c>
      <c r="H6" s="57" t="s">
        <v>1463</v>
      </c>
      <c r="I6" s="57" t="s">
        <v>873</v>
      </c>
      <c r="J6" s="57" t="s">
        <v>281</v>
      </c>
    </row>
    <row r="7" spans="1:10">
      <c r="A7" s="57" t="s">
        <v>1464</v>
      </c>
      <c r="B7" s="57" t="s">
        <v>1465</v>
      </c>
      <c r="C7" s="57" t="s">
        <v>1452</v>
      </c>
      <c r="D7" s="57" t="s">
        <v>890</v>
      </c>
      <c r="E7" s="57" t="s">
        <v>1466</v>
      </c>
      <c r="F7" s="57" t="s">
        <v>1467</v>
      </c>
      <c r="G7" s="57" t="s">
        <v>1468</v>
      </c>
      <c r="H7" s="57" t="s">
        <v>1469</v>
      </c>
      <c r="I7" s="57" t="s">
        <v>695</v>
      </c>
      <c r="J7" s="57" t="s">
        <v>281</v>
      </c>
    </row>
    <row r="8" spans="1:10">
      <c r="A8" s="57" t="s">
        <v>1470</v>
      </c>
      <c r="B8" s="57" t="s">
        <v>1471</v>
      </c>
      <c r="C8" s="57" t="s">
        <v>1452</v>
      </c>
      <c r="D8" s="57" t="s">
        <v>1472</v>
      </c>
      <c r="E8" s="57" t="s">
        <v>1473</v>
      </c>
      <c r="F8" s="57" t="s">
        <v>1474</v>
      </c>
      <c r="G8" s="57" t="s">
        <v>1475</v>
      </c>
      <c r="H8" s="57" t="s">
        <v>1476</v>
      </c>
      <c r="I8" s="57" t="s">
        <v>873</v>
      </c>
      <c r="J8" s="57" t="s">
        <v>281</v>
      </c>
    </row>
    <row r="9" spans="1:10" ht="25.5">
      <c r="A9" s="57" t="s">
        <v>1477</v>
      </c>
      <c r="B9" s="57" t="s">
        <v>202</v>
      </c>
      <c r="C9" s="57" t="s">
        <v>1478</v>
      </c>
      <c r="D9" s="57" t="s">
        <v>1479</v>
      </c>
      <c r="E9" s="57" t="s">
        <v>1480</v>
      </c>
      <c r="F9" s="57" t="s">
        <v>741</v>
      </c>
      <c r="G9" s="57" t="s">
        <v>1481</v>
      </c>
      <c r="H9" s="57" t="s">
        <v>317</v>
      </c>
      <c r="I9" s="57" t="s">
        <v>1482</v>
      </c>
      <c r="J9" s="57" t="s">
        <v>281</v>
      </c>
    </row>
    <row r="10" spans="1:10">
      <c r="A10" s="57" t="s">
        <v>1483</v>
      </c>
      <c r="B10" s="57" t="s">
        <v>307</v>
      </c>
      <c r="C10" s="57" t="s">
        <v>1484</v>
      </c>
      <c r="D10" s="57" t="s">
        <v>903</v>
      </c>
      <c r="E10" s="57" t="s">
        <v>1485</v>
      </c>
      <c r="F10" s="57" t="s">
        <v>1486</v>
      </c>
      <c r="G10" s="57" t="s">
        <v>1487</v>
      </c>
      <c r="H10" s="57" t="s">
        <v>1488</v>
      </c>
      <c r="I10" s="57" t="s">
        <v>750</v>
      </c>
      <c r="J10" s="57" t="s">
        <v>281</v>
      </c>
    </row>
    <row r="11" spans="1:10" ht="25.5">
      <c r="A11" s="57" t="s">
        <v>1489</v>
      </c>
      <c r="B11" s="57" t="s">
        <v>752</v>
      </c>
      <c r="C11" s="57" t="s">
        <v>1478</v>
      </c>
      <c r="D11" s="57" t="s">
        <v>239</v>
      </c>
      <c r="E11" s="57" t="s">
        <v>1460</v>
      </c>
      <c r="F11" s="57" t="s">
        <v>758</v>
      </c>
      <c r="G11" s="57" t="s">
        <v>1490</v>
      </c>
      <c r="H11" s="57" t="s">
        <v>1491</v>
      </c>
      <c r="I11" s="57" t="s">
        <v>759</v>
      </c>
      <c r="J11" s="57" t="s">
        <v>281</v>
      </c>
    </row>
  </sheetData>
  <mergeCells count="2">
    <mergeCell ref="A1:J1"/>
    <mergeCell ref="A2:J2"/>
  </mergeCells>
  <pageMargins left="0.7" right="0.7" top="0.75" bottom="0.75" header="0.511811023622047" footer="0.511811023622047"/>
  <pageSetup paperSize="9" orientation="portrait" horizontalDpi="300" verticalDpi="300"/>
</worksheet>
</file>

<file path=xl/worksheets/sheet2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900-000000000000}">
  <dimension ref="A1:B20"/>
  <sheetViews>
    <sheetView zoomScaleNormal="100" workbookViewId="0">
      <selection activeCell="B12" sqref="B12"/>
    </sheetView>
  </sheetViews>
  <sheetFormatPr baseColWidth="10" defaultColWidth="11.5703125" defaultRowHeight="15"/>
  <cols>
    <col min="1" max="1" width="40.85546875" style="1" customWidth="1"/>
    <col min="2" max="2" width="306.42578125" style="1" customWidth="1"/>
  </cols>
  <sheetData>
    <row r="1" spans="1:2" ht="17.25">
      <c r="A1" s="89" t="s">
        <v>1492</v>
      </c>
      <c r="B1" s="90"/>
    </row>
    <row r="2" spans="1:2">
      <c r="A2" s="1" t="s">
        <v>1493</v>
      </c>
    </row>
    <row r="4" spans="1:2">
      <c r="A4" s="1" t="s">
        <v>1494</v>
      </c>
      <c r="B4" s="1" t="s">
        <v>1495</v>
      </c>
    </row>
    <row r="5" spans="1:2">
      <c r="A5" s="1" t="s">
        <v>1496</v>
      </c>
      <c r="B5" s="1" t="s">
        <v>1497</v>
      </c>
    </row>
    <row r="6" spans="1:2">
      <c r="A6" s="1" t="s">
        <v>1498</v>
      </c>
      <c r="B6" s="1" t="s">
        <v>1499</v>
      </c>
    </row>
    <row r="7" spans="1:2">
      <c r="A7" s="1" t="s">
        <v>1500</v>
      </c>
      <c r="B7" s="1" t="s">
        <v>1501</v>
      </c>
    </row>
    <row r="8" spans="1:2">
      <c r="A8" s="1" t="s">
        <v>1502</v>
      </c>
      <c r="B8" s="1" t="s">
        <v>1503</v>
      </c>
    </row>
    <row r="9" spans="1:2">
      <c r="A9" s="1" t="s">
        <v>1504</v>
      </c>
      <c r="B9" s="1" t="s">
        <v>1505</v>
      </c>
    </row>
    <row r="11" spans="1:2">
      <c r="A11" s="1" t="s">
        <v>1506</v>
      </c>
      <c r="B11" s="1">
        <v>79</v>
      </c>
    </row>
    <row r="12" spans="1:2">
      <c r="A12" s="1" t="s">
        <v>1507</v>
      </c>
      <c r="B12" s="1">
        <v>1508</v>
      </c>
    </row>
    <row r="13" spans="1:2">
      <c r="A13" s="1" t="s">
        <v>1508</v>
      </c>
      <c r="B13" s="1">
        <v>1466</v>
      </c>
    </row>
    <row r="14" spans="1:2">
      <c r="A14" s="1" t="s">
        <v>1509</v>
      </c>
      <c r="B14" s="1">
        <v>0</v>
      </c>
    </row>
    <row r="15" spans="1:2">
      <c r="A15" s="1" t="s">
        <v>1510</v>
      </c>
      <c r="B15" s="1">
        <v>41</v>
      </c>
    </row>
    <row r="16" spans="1:2">
      <c r="A16" s="1" t="s">
        <v>1511</v>
      </c>
      <c r="B16" s="1">
        <v>1</v>
      </c>
    </row>
    <row r="18" spans="1:2">
      <c r="A18" s="1" t="s">
        <v>1512</v>
      </c>
      <c r="B18" s="1" t="s">
        <v>1513</v>
      </c>
    </row>
    <row r="20" spans="1:2">
      <c r="A20" s="1" t="s">
        <v>1514</v>
      </c>
      <c r="B20" s="1" t="s">
        <v>1515</v>
      </c>
    </row>
  </sheetData>
  <pageMargins left="0.78749999999999998" right="0.78749999999999998" top="1.05277777777778" bottom="1.05277777777778" header="0.78749999999999998" footer="0.78749999999999998"/>
  <pageSetup paperSize="9" orientation="portrait" horizontalDpi="300" verticalDpi="300"/>
  <headerFooter>
    <oddHeader>&amp;C&amp;"Times New Roman,Regular"&amp;12&amp;Kffffff&amp;A</oddHeader>
    <oddFooter>&amp;C&amp;"Times New Roman,Regular"&amp;12&amp;KffffffPage &amp;P</oddFooter>
  </headerFooter>
</worksheet>
</file>

<file path=xl/worksheets/sheet2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A00-000000000000}">
  <dimension ref="A1:M80"/>
  <sheetViews>
    <sheetView zoomScaleNormal="100" workbookViewId="0">
      <selection activeCell="N12" sqref="N12"/>
    </sheetView>
  </sheetViews>
  <sheetFormatPr baseColWidth="10" defaultColWidth="11.5703125" defaultRowHeight="15"/>
  <cols>
    <col min="1" max="1" width="20.42578125" style="1" customWidth="1"/>
    <col min="2" max="2" width="21.42578125" style="1" customWidth="1"/>
    <col min="3" max="3" width="12.28515625" style="1" customWidth="1"/>
    <col min="4" max="4" width="16.28515625" style="1" customWidth="1"/>
    <col min="5" max="6" width="11.28515625" style="1" customWidth="1"/>
    <col min="7" max="7" width="19.42578125" style="1" customWidth="1"/>
    <col min="8" max="8" width="11.28515625" style="1" customWidth="1"/>
    <col min="9" max="10" width="30.7109375" style="1" customWidth="1"/>
    <col min="11" max="11" width="14.28515625" style="1" customWidth="1"/>
    <col min="12" max="12" width="15.28515625" style="1" customWidth="1"/>
    <col min="13" max="13" width="13.28515625" style="1" customWidth="1"/>
  </cols>
  <sheetData>
    <row r="1" spans="1:13">
      <c r="A1" s="91" t="s">
        <v>498</v>
      </c>
      <c r="B1" s="91" t="s">
        <v>1516</v>
      </c>
      <c r="C1" s="91" t="s">
        <v>500</v>
      </c>
      <c r="D1" s="91" t="s">
        <v>1517</v>
      </c>
      <c r="E1" s="91" t="s">
        <v>44</v>
      </c>
      <c r="F1" s="91" t="s">
        <v>1392</v>
      </c>
      <c r="G1" s="91" t="s">
        <v>234</v>
      </c>
      <c r="H1" s="91" t="s">
        <v>1518</v>
      </c>
      <c r="I1" s="91" t="s">
        <v>1519</v>
      </c>
      <c r="J1" s="91" t="s">
        <v>1520</v>
      </c>
      <c r="K1" s="91" t="s">
        <v>1521</v>
      </c>
      <c r="L1" s="91" t="s">
        <v>1522</v>
      </c>
      <c r="M1" s="91" t="s">
        <v>1523</v>
      </c>
    </row>
    <row r="2" spans="1:13">
      <c r="A2" s="1" t="s">
        <v>1524</v>
      </c>
      <c r="B2" s="1" t="s">
        <v>1525</v>
      </c>
      <c r="C2" s="1" t="s">
        <v>33</v>
      </c>
      <c r="D2" s="1">
        <v>0</v>
      </c>
      <c r="E2" s="1">
        <v>3.3460000000000001</v>
      </c>
      <c r="F2" s="1">
        <v>50</v>
      </c>
      <c r="G2" s="1" t="s">
        <v>62</v>
      </c>
      <c r="H2" s="1" t="s">
        <v>40</v>
      </c>
      <c r="I2" s="1" t="s">
        <v>1526</v>
      </c>
      <c r="J2" s="1" t="s">
        <v>1526</v>
      </c>
      <c r="K2" s="1">
        <v>-8.0000000000000004E-4</v>
      </c>
      <c r="L2" s="92" t="s">
        <v>1527</v>
      </c>
      <c r="M2" s="1" t="s">
        <v>1526</v>
      </c>
    </row>
    <row r="3" spans="1:13">
      <c r="A3" s="1" t="s">
        <v>1528</v>
      </c>
      <c r="B3" s="1" t="s">
        <v>1525</v>
      </c>
      <c r="C3" s="1" t="s">
        <v>33</v>
      </c>
      <c r="D3" s="1">
        <v>6</v>
      </c>
      <c r="E3" s="1">
        <v>9.8490000000000002</v>
      </c>
      <c r="F3" s="1">
        <v>67.5</v>
      </c>
      <c r="G3" s="1" t="s">
        <v>62</v>
      </c>
      <c r="H3" s="1" t="s">
        <v>40</v>
      </c>
      <c r="I3" s="1" t="s">
        <v>1526</v>
      </c>
      <c r="J3" s="1" t="s">
        <v>1526</v>
      </c>
      <c r="K3" s="1">
        <v>2.6513</v>
      </c>
      <c r="L3" s="92" t="s">
        <v>1529</v>
      </c>
      <c r="M3" s="1" t="s">
        <v>1526</v>
      </c>
    </row>
    <row r="4" spans="1:13">
      <c r="A4" s="1" t="s">
        <v>1530</v>
      </c>
      <c r="B4" s="1" t="s">
        <v>1525</v>
      </c>
      <c r="C4" s="1" t="s">
        <v>33</v>
      </c>
      <c r="D4" s="1">
        <v>12</v>
      </c>
      <c r="E4" s="1">
        <v>7.742</v>
      </c>
      <c r="F4" s="1">
        <v>75.5</v>
      </c>
      <c r="G4" s="1" t="s">
        <v>62</v>
      </c>
      <c r="H4" s="1" t="s">
        <v>40</v>
      </c>
      <c r="I4" s="1" t="s">
        <v>1526</v>
      </c>
      <c r="J4" s="1" t="s">
        <v>1526</v>
      </c>
      <c r="K4" s="1">
        <v>-2.6974999999999998</v>
      </c>
      <c r="L4" s="92" t="s">
        <v>1531</v>
      </c>
      <c r="M4" s="1" t="s">
        <v>1526</v>
      </c>
    </row>
    <row r="5" spans="1:13">
      <c r="A5" s="1" t="s">
        <v>1532</v>
      </c>
      <c r="B5" s="1" t="s">
        <v>1525</v>
      </c>
      <c r="C5" s="1" t="s">
        <v>33</v>
      </c>
      <c r="D5" s="1">
        <v>24</v>
      </c>
      <c r="E5" s="1">
        <v>17.134</v>
      </c>
      <c r="F5" s="1">
        <v>87</v>
      </c>
      <c r="G5" s="1" t="s">
        <v>62</v>
      </c>
      <c r="H5" s="1" t="s">
        <v>40</v>
      </c>
      <c r="I5" s="1" t="s">
        <v>1526</v>
      </c>
      <c r="J5" s="1" t="s">
        <v>1526</v>
      </c>
      <c r="K5" s="1">
        <v>3.9887999999999999</v>
      </c>
      <c r="L5" s="92" t="s">
        <v>1533</v>
      </c>
      <c r="M5" s="1" t="s">
        <v>1534</v>
      </c>
    </row>
    <row r="6" spans="1:13">
      <c r="A6" s="1" t="s">
        <v>1535</v>
      </c>
      <c r="B6" s="1" t="s">
        <v>1525</v>
      </c>
      <c r="C6" s="1" t="s">
        <v>33</v>
      </c>
      <c r="D6" s="1">
        <v>36</v>
      </c>
      <c r="E6" s="1">
        <v>10.016999999999999</v>
      </c>
      <c r="F6" s="1">
        <v>96</v>
      </c>
      <c r="G6" s="1" t="s">
        <v>62</v>
      </c>
      <c r="H6" s="1" t="s">
        <v>40</v>
      </c>
      <c r="I6" s="1" t="s">
        <v>1526</v>
      </c>
      <c r="J6" s="1" t="s">
        <v>1526</v>
      </c>
      <c r="K6" s="1">
        <v>-4.6955</v>
      </c>
      <c r="L6" s="92" t="s">
        <v>1536</v>
      </c>
      <c r="M6" s="1" t="s">
        <v>1534</v>
      </c>
    </row>
    <row r="7" spans="1:13">
      <c r="A7" s="1" t="s">
        <v>1537</v>
      </c>
      <c r="B7" s="1" t="s">
        <v>1525</v>
      </c>
      <c r="C7" s="1" t="s">
        <v>33</v>
      </c>
      <c r="D7" s="1">
        <v>60</v>
      </c>
      <c r="E7" s="1">
        <v>18.337</v>
      </c>
      <c r="F7" s="1">
        <v>110</v>
      </c>
      <c r="G7" s="1" t="s">
        <v>62</v>
      </c>
      <c r="H7" s="1" t="s">
        <v>40</v>
      </c>
      <c r="I7" s="1" t="s">
        <v>1526</v>
      </c>
      <c r="J7" s="1" t="s">
        <v>1526</v>
      </c>
      <c r="K7" s="1">
        <v>-0.1105</v>
      </c>
      <c r="L7" s="92" t="s">
        <v>1538</v>
      </c>
      <c r="M7" s="1" t="s">
        <v>1526</v>
      </c>
    </row>
    <row r="8" spans="1:13">
      <c r="A8" s="1" t="s">
        <v>1539</v>
      </c>
      <c r="B8" s="1" t="s">
        <v>1525</v>
      </c>
      <c r="C8" s="1" t="s">
        <v>507</v>
      </c>
      <c r="D8" s="1">
        <v>0</v>
      </c>
      <c r="E8" s="1">
        <v>3.2320000000000002</v>
      </c>
      <c r="F8" s="1">
        <v>49</v>
      </c>
      <c r="G8" s="1" t="s">
        <v>62</v>
      </c>
      <c r="H8" s="1" t="s">
        <v>40</v>
      </c>
      <c r="I8" s="1" t="s">
        <v>1526</v>
      </c>
      <c r="J8" s="1" t="s">
        <v>1526</v>
      </c>
      <c r="K8" s="1">
        <v>-4.0000000000000002E-4</v>
      </c>
      <c r="L8" s="92" t="s">
        <v>1540</v>
      </c>
      <c r="M8" s="1" t="s">
        <v>1526</v>
      </c>
    </row>
    <row r="9" spans="1:13">
      <c r="A9" s="1" t="s">
        <v>1541</v>
      </c>
      <c r="B9" s="1" t="s">
        <v>1525</v>
      </c>
      <c r="C9" s="1" t="s">
        <v>507</v>
      </c>
      <c r="D9" s="1">
        <v>6</v>
      </c>
      <c r="E9" s="1">
        <v>9.3350000000000009</v>
      </c>
      <c r="F9" s="1">
        <v>65.5</v>
      </c>
      <c r="G9" s="1" t="s">
        <v>62</v>
      </c>
      <c r="H9" s="1" t="s">
        <v>40</v>
      </c>
      <c r="I9" s="1" t="s">
        <v>1526</v>
      </c>
      <c r="J9" s="1" t="s">
        <v>1526</v>
      </c>
      <c r="K9" s="1">
        <v>2.7187000000000001</v>
      </c>
      <c r="L9" s="92" t="s">
        <v>1542</v>
      </c>
      <c r="M9" s="1" t="s">
        <v>1526</v>
      </c>
    </row>
    <row r="10" spans="1:13">
      <c r="A10" s="1" t="s">
        <v>1543</v>
      </c>
      <c r="B10" s="1" t="s">
        <v>1525</v>
      </c>
      <c r="C10" s="1" t="s">
        <v>507</v>
      </c>
      <c r="D10" s="1">
        <v>12</v>
      </c>
      <c r="E10" s="1">
        <v>7.0430000000000001</v>
      </c>
      <c r="F10" s="1">
        <v>74</v>
      </c>
      <c r="G10" s="1" t="s">
        <v>62</v>
      </c>
      <c r="H10" s="1" t="s">
        <v>40</v>
      </c>
      <c r="I10" s="1" t="s">
        <v>1526</v>
      </c>
      <c r="J10" s="1" t="s">
        <v>1526</v>
      </c>
      <c r="K10" s="1">
        <v>-2.7967</v>
      </c>
      <c r="L10" s="92" t="s">
        <v>1544</v>
      </c>
      <c r="M10" s="1" t="s">
        <v>1526</v>
      </c>
    </row>
    <row r="11" spans="1:13">
      <c r="A11" s="1" t="s">
        <v>1545</v>
      </c>
      <c r="B11" s="1" t="s">
        <v>1525</v>
      </c>
      <c r="C11" s="1" t="s">
        <v>507</v>
      </c>
      <c r="D11" s="1">
        <v>24</v>
      </c>
      <c r="E11" s="1">
        <v>17.013999999999999</v>
      </c>
      <c r="F11" s="1">
        <v>85.5</v>
      </c>
      <c r="G11" s="1" t="s">
        <v>62</v>
      </c>
      <c r="H11" s="1" t="s">
        <v>40</v>
      </c>
      <c r="I11" s="1" t="s">
        <v>1526</v>
      </c>
      <c r="J11" s="1" t="s">
        <v>1526</v>
      </c>
      <c r="K11" s="1">
        <v>4.0731999999999999</v>
      </c>
      <c r="L11" s="92" t="s">
        <v>1546</v>
      </c>
      <c r="M11" s="1" t="s">
        <v>1534</v>
      </c>
    </row>
    <row r="12" spans="1:13">
      <c r="A12" s="1" t="s">
        <v>1547</v>
      </c>
      <c r="B12" s="1" t="s">
        <v>1525</v>
      </c>
      <c r="C12" s="1" t="s">
        <v>507</v>
      </c>
      <c r="D12" s="1">
        <v>36</v>
      </c>
      <c r="E12" s="1">
        <v>9.6110000000000007</v>
      </c>
      <c r="F12" s="1">
        <v>95</v>
      </c>
      <c r="G12" s="1" t="s">
        <v>62</v>
      </c>
      <c r="H12" s="1" t="s">
        <v>40</v>
      </c>
      <c r="I12" s="1" t="s">
        <v>1526</v>
      </c>
      <c r="J12" s="1" t="s">
        <v>1526</v>
      </c>
      <c r="K12" s="1">
        <v>-4.4081999999999999</v>
      </c>
      <c r="L12" s="92" t="s">
        <v>1548</v>
      </c>
      <c r="M12" s="1" t="s">
        <v>1534</v>
      </c>
    </row>
    <row r="13" spans="1:13">
      <c r="A13" s="1" t="s">
        <v>1549</v>
      </c>
      <c r="B13" s="1" t="s">
        <v>1525</v>
      </c>
      <c r="C13" s="1" t="s">
        <v>507</v>
      </c>
      <c r="D13" s="1">
        <v>60</v>
      </c>
      <c r="E13" s="1">
        <v>18.219000000000001</v>
      </c>
      <c r="F13" s="1">
        <v>109.5</v>
      </c>
      <c r="G13" s="1" t="s">
        <v>62</v>
      </c>
      <c r="H13" s="1" t="s">
        <v>40</v>
      </c>
      <c r="I13" s="1" t="s">
        <v>1526</v>
      </c>
      <c r="J13" s="1" t="s">
        <v>1526</v>
      </c>
      <c r="K13" s="1">
        <v>-0.1108</v>
      </c>
      <c r="L13" s="92" t="s">
        <v>1550</v>
      </c>
      <c r="M13" s="1" t="s">
        <v>1526</v>
      </c>
    </row>
    <row r="14" spans="1:13">
      <c r="A14" s="1" t="s">
        <v>1551</v>
      </c>
      <c r="B14" s="1" t="s">
        <v>1552</v>
      </c>
      <c r="C14" s="1" t="s">
        <v>33</v>
      </c>
      <c r="D14" s="1">
        <v>6</v>
      </c>
      <c r="E14" s="1">
        <v>7.7370000000000001</v>
      </c>
      <c r="F14" s="1">
        <v>67</v>
      </c>
      <c r="G14" s="1" t="s">
        <v>62</v>
      </c>
      <c r="H14" s="1" t="s">
        <v>40</v>
      </c>
      <c r="I14" s="1" t="s">
        <v>1526</v>
      </c>
      <c r="J14" s="1" t="s">
        <v>1526</v>
      </c>
      <c r="K14" s="1">
        <v>-0.2291</v>
      </c>
      <c r="L14" s="92" t="s">
        <v>1553</v>
      </c>
      <c r="M14" s="1" t="s">
        <v>1526</v>
      </c>
    </row>
    <row r="15" spans="1:13">
      <c r="A15" s="1" t="s">
        <v>1554</v>
      </c>
      <c r="B15" s="1" t="s">
        <v>1552</v>
      </c>
      <c r="C15" s="1" t="s">
        <v>33</v>
      </c>
      <c r="D15" s="1">
        <v>6</v>
      </c>
      <c r="E15" s="1">
        <v>9.1630000000000003</v>
      </c>
      <c r="F15" s="1">
        <v>67</v>
      </c>
      <c r="G15" s="1" t="s">
        <v>62</v>
      </c>
      <c r="H15" s="1" t="s">
        <v>40</v>
      </c>
      <c r="I15" s="1" t="s">
        <v>1526</v>
      </c>
      <c r="J15" s="1" t="s">
        <v>1526</v>
      </c>
      <c r="K15" s="1">
        <v>1.9998</v>
      </c>
      <c r="L15" s="92" t="s">
        <v>1555</v>
      </c>
      <c r="M15" s="1" t="s">
        <v>1526</v>
      </c>
    </row>
    <row r="16" spans="1:13">
      <c r="A16" s="1" t="s">
        <v>1556</v>
      </c>
      <c r="B16" s="1" t="s">
        <v>1552</v>
      </c>
      <c r="C16" s="1" t="s">
        <v>33</v>
      </c>
      <c r="D16" s="1">
        <v>6</v>
      </c>
      <c r="E16" s="1">
        <v>6.5949999999999998</v>
      </c>
      <c r="F16" s="1">
        <v>67</v>
      </c>
      <c r="G16" s="1" t="s">
        <v>62</v>
      </c>
      <c r="H16" s="1" t="s">
        <v>40</v>
      </c>
      <c r="I16" s="1" t="s">
        <v>1526</v>
      </c>
      <c r="J16" s="1" t="s">
        <v>1526</v>
      </c>
      <c r="K16" s="1">
        <v>-1.6674</v>
      </c>
      <c r="L16" s="92" t="s">
        <v>1557</v>
      </c>
      <c r="M16" s="1" t="s">
        <v>1526</v>
      </c>
    </row>
    <row r="17" spans="1:13">
      <c r="A17" s="1" t="s">
        <v>1558</v>
      </c>
      <c r="B17" s="1" t="s">
        <v>1552</v>
      </c>
      <c r="C17" s="1" t="s">
        <v>33</v>
      </c>
      <c r="D17" s="1">
        <v>30</v>
      </c>
      <c r="E17" s="1">
        <v>12.885999999999999</v>
      </c>
      <c r="F17" s="1">
        <v>90</v>
      </c>
      <c r="G17" s="1" t="s">
        <v>62</v>
      </c>
      <c r="H17" s="1" t="s">
        <v>40</v>
      </c>
      <c r="I17" s="1" t="s">
        <v>1526</v>
      </c>
      <c r="J17" s="1" t="s">
        <v>1526</v>
      </c>
      <c r="K17" s="1">
        <v>-4.0000000000000002E-4</v>
      </c>
      <c r="L17" s="92" t="s">
        <v>1540</v>
      </c>
      <c r="M17" s="1" t="s">
        <v>1526</v>
      </c>
    </row>
    <row r="18" spans="1:13">
      <c r="A18" s="1" t="s">
        <v>1559</v>
      </c>
      <c r="B18" s="1" t="s">
        <v>1552</v>
      </c>
      <c r="C18" s="1" t="s">
        <v>33</v>
      </c>
      <c r="D18" s="1">
        <v>30</v>
      </c>
      <c r="E18" s="1">
        <v>16.576000000000001</v>
      </c>
      <c r="F18" s="1">
        <v>90</v>
      </c>
      <c r="G18" s="1" t="s">
        <v>62</v>
      </c>
      <c r="H18" s="1" t="s">
        <v>40</v>
      </c>
      <c r="I18" s="1" t="s">
        <v>1526</v>
      </c>
      <c r="J18" s="1" t="s">
        <v>1526</v>
      </c>
      <c r="K18" s="1">
        <v>2.9998</v>
      </c>
      <c r="L18" s="92" t="s">
        <v>1560</v>
      </c>
      <c r="M18" s="1" t="s">
        <v>1526</v>
      </c>
    </row>
    <row r="19" spans="1:13">
      <c r="A19" s="1" t="s">
        <v>1561</v>
      </c>
      <c r="B19" s="1" t="s">
        <v>1552</v>
      </c>
      <c r="C19" s="1" t="s">
        <v>33</v>
      </c>
      <c r="D19" s="1">
        <v>48</v>
      </c>
      <c r="E19" s="1">
        <v>12.12</v>
      </c>
      <c r="F19" s="1">
        <v>100</v>
      </c>
      <c r="G19" s="1" t="s">
        <v>62</v>
      </c>
      <c r="H19" s="1" t="s">
        <v>40</v>
      </c>
      <c r="I19" s="1" t="s">
        <v>1526</v>
      </c>
      <c r="J19" s="1" t="s">
        <v>1526</v>
      </c>
      <c r="K19" s="1">
        <v>-3.0004</v>
      </c>
      <c r="L19" s="92" t="s">
        <v>1562</v>
      </c>
      <c r="M19" s="1" t="s">
        <v>1526</v>
      </c>
    </row>
    <row r="20" spans="1:13">
      <c r="A20" s="1" t="s">
        <v>1563</v>
      </c>
      <c r="B20" s="1" t="s">
        <v>1552</v>
      </c>
      <c r="C20" s="1" t="s">
        <v>507</v>
      </c>
      <c r="D20" s="1">
        <v>6</v>
      </c>
      <c r="E20" s="1">
        <v>7.5289999999999999</v>
      </c>
      <c r="F20" s="1">
        <v>67</v>
      </c>
      <c r="G20" s="1" t="s">
        <v>62</v>
      </c>
      <c r="H20" s="1" t="s">
        <v>40</v>
      </c>
      <c r="I20" s="1" t="s">
        <v>1526</v>
      </c>
      <c r="J20" s="1" t="s">
        <v>1526</v>
      </c>
      <c r="K20" s="1">
        <v>0.25619999999999998</v>
      </c>
      <c r="L20" s="92" t="s">
        <v>1564</v>
      </c>
      <c r="M20" s="1" t="s">
        <v>1526</v>
      </c>
    </row>
    <row r="21" spans="1:13">
      <c r="A21" s="1" t="s">
        <v>1565</v>
      </c>
      <c r="B21" s="1" t="s">
        <v>1552</v>
      </c>
      <c r="C21" s="1" t="s">
        <v>507</v>
      </c>
      <c r="D21" s="1">
        <v>6</v>
      </c>
      <c r="E21" s="1">
        <v>9.0920000000000005</v>
      </c>
      <c r="F21" s="1">
        <v>67</v>
      </c>
      <c r="G21" s="1" t="s">
        <v>62</v>
      </c>
      <c r="H21" s="1" t="s">
        <v>40</v>
      </c>
      <c r="I21" s="1" t="s">
        <v>1526</v>
      </c>
      <c r="J21" s="1" t="s">
        <v>1526</v>
      </c>
      <c r="K21" s="1">
        <v>1.9998</v>
      </c>
      <c r="L21" s="92" t="s">
        <v>1555</v>
      </c>
      <c r="M21" s="1" t="s">
        <v>1526</v>
      </c>
    </row>
    <row r="22" spans="1:13">
      <c r="A22" s="1" t="s">
        <v>1566</v>
      </c>
      <c r="B22" s="1" t="s">
        <v>1552</v>
      </c>
      <c r="C22" s="1" t="s">
        <v>507</v>
      </c>
      <c r="D22" s="1">
        <v>6</v>
      </c>
      <c r="E22" s="1">
        <v>6.3140000000000001</v>
      </c>
      <c r="F22" s="1">
        <v>67</v>
      </c>
      <c r="G22" s="1" t="s">
        <v>62</v>
      </c>
      <c r="H22" s="1" t="s">
        <v>40</v>
      </c>
      <c r="I22" s="1" t="s">
        <v>1526</v>
      </c>
      <c r="J22" s="1" t="s">
        <v>1526</v>
      </c>
      <c r="K22" s="1">
        <v>-1.1920999999999999</v>
      </c>
      <c r="L22" s="92" t="s">
        <v>1567</v>
      </c>
      <c r="M22" s="1" t="s">
        <v>1526</v>
      </c>
    </row>
    <row r="23" spans="1:13">
      <c r="A23" s="1" t="s">
        <v>1568</v>
      </c>
      <c r="B23" s="1" t="s">
        <v>1552</v>
      </c>
      <c r="C23" s="1" t="s">
        <v>507</v>
      </c>
      <c r="D23" s="1">
        <v>30</v>
      </c>
      <c r="E23" s="1">
        <v>12.646000000000001</v>
      </c>
      <c r="F23" s="1">
        <v>90</v>
      </c>
      <c r="G23" s="1" t="s">
        <v>62</v>
      </c>
      <c r="H23" s="1" t="s">
        <v>40</v>
      </c>
      <c r="I23" s="1" t="s">
        <v>1526</v>
      </c>
      <c r="J23" s="1" t="s">
        <v>1526</v>
      </c>
      <c r="K23" s="1">
        <v>-1E-4</v>
      </c>
      <c r="L23" s="92" t="s">
        <v>1540</v>
      </c>
      <c r="M23" s="1" t="s">
        <v>1526</v>
      </c>
    </row>
    <row r="24" spans="1:13">
      <c r="A24" s="1" t="s">
        <v>1569</v>
      </c>
      <c r="B24" s="1" t="s">
        <v>1552</v>
      </c>
      <c r="C24" s="1" t="s">
        <v>507</v>
      </c>
      <c r="D24" s="1">
        <v>30</v>
      </c>
      <c r="E24" s="1">
        <v>16.766999999999999</v>
      </c>
      <c r="F24" s="1">
        <v>90</v>
      </c>
      <c r="G24" s="1" t="s">
        <v>62</v>
      </c>
      <c r="H24" s="1" t="s">
        <v>40</v>
      </c>
      <c r="I24" s="1" t="s">
        <v>1526</v>
      </c>
      <c r="J24" s="1" t="s">
        <v>1526</v>
      </c>
      <c r="K24" s="1">
        <v>3.0002</v>
      </c>
      <c r="L24" s="92" t="s">
        <v>1560</v>
      </c>
      <c r="M24" s="1" t="s">
        <v>1526</v>
      </c>
    </row>
    <row r="25" spans="1:13">
      <c r="A25" s="1" t="s">
        <v>1570</v>
      </c>
      <c r="B25" s="1" t="s">
        <v>1552</v>
      </c>
      <c r="C25" s="1" t="s">
        <v>507</v>
      </c>
      <c r="D25" s="1">
        <v>48</v>
      </c>
      <c r="E25" s="1">
        <v>11.747</v>
      </c>
      <c r="F25" s="1">
        <v>100</v>
      </c>
      <c r="G25" s="1" t="s">
        <v>62</v>
      </c>
      <c r="H25" s="1" t="s">
        <v>40</v>
      </c>
      <c r="I25" s="1" t="s">
        <v>1526</v>
      </c>
      <c r="J25" s="1" t="s">
        <v>1526</v>
      </c>
      <c r="K25" s="1">
        <v>-3</v>
      </c>
      <c r="L25" s="92" t="s">
        <v>1562</v>
      </c>
      <c r="M25" s="1" t="s">
        <v>1526</v>
      </c>
    </row>
    <row r="26" spans="1:13">
      <c r="A26" s="1" t="s">
        <v>1571</v>
      </c>
      <c r="B26" s="1" t="s">
        <v>1572</v>
      </c>
      <c r="C26" s="1" t="s">
        <v>33</v>
      </c>
      <c r="D26" s="1">
        <v>61</v>
      </c>
      <c r="E26" s="1">
        <v>21.98</v>
      </c>
      <c r="F26" s="1">
        <v>120</v>
      </c>
      <c r="G26" s="1" t="s">
        <v>62</v>
      </c>
      <c r="H26" s="1" t="s">
        <v>40</v>
      </c>
      <c r="I26" s="1" t="s">
        <v>1526</v>
      </c>
      <c r="J26" s="1" t="s">
        <v>1526</v>
      </c>
      <c r="K26" s="1">
        <v>-2.0000000000000001E-4</v>
      </c>
      <c r="L26" s="92" t="s">
        <v>1540</v>
      </c>
      <c r="M26" s="1" t="s">
        <v>1526</v>
      </c>
    </row>
    <row r="27" spans="1:13">
      <c r="A27" s="1" t="s">
        <v>1573</v>
      </c>
      <c r="B27" s="1" t="s">
        <v>1572</v>
      </c>
      <c r="C27" s="1" t="s">
        <v>33</v>
      </c>
      <c r="D27" s="1">
        <v>120</v>
      </c>
      <c r="E27" s="1">
        <v>30.815999999999999</v>
      </c>
      <c r="F27" s="1">
        <v>120</v>
      </c>
      <c r="G27" s="1" t="s">
        <v>62</v>
      </c>
      <c r="H27" s="1" t="s">
        <v>40</v>
      </c>
      <c r="I27" s="1" t="s">
        <v>1526</v>
      </c>
      <c r="J27" s="1" t="s">
        <v>1526</v>
      </c>
      <c r="K27" s="1">
        <v>2</v>
      </c>
      <c r="L27" s="92" t="s">
        <v>1555</v>
      </c>
      <c r="M27" s="1" t="s">
        <v>1526</v>
      </c>
    </row>
    <row r="28" spans="1:13">
      <c r="A28" s="1" t="s">
        <v>1574</v>
      </c>
      <c r="B28" s="1" t="s">
        <v>1572</v>
      </c>
      <c r="C28" s="1" t="s">
        <v>33</v>
      </c>
      <c r="D28" s="1">
        <v>120</v>
      </c>
      <c r="E28" s="1">
        <v>19.779</v>
      </c>
      <c r="F28" s="1">
        <v>120</v>
      </c>
      <c r="G28" s="1" t="s">
        <v>62</v>
      </c>
      <c r="H28" s="1" t="s">
        <v>40</v>
      </c>
      <c r="I28" s="1" t="s">
        <v>1526</v>
      </c>
      <c r="J28" s="1" t="s">
        <v>1526</v>
      </c>
      <c r="K28" s="1">
        <v>-1.9999</v>
      </c>
      <c r="L28" s="92" t="s">
        <v>1575</v>
      </c>
      <c r="M28" s="1" t="s">
        <v>1526</v>
      </c>
    </row>
    <row r="29" spans="1:13">
      <c r="A29" s="1" t="s">
        <v>1576</v>
      </c>
      <c r="B29" s="1" t="s">
        <v>1572</v>
      </c>
      <c r="C29" s="1" t="s">
        <v>33</v>
      </c>
      <c r="D29" s="1">
        <v>180</v>
      </c>
      <c r="E29" s="1">
        <v>87.245999999999995</v>
      </c>
      <c r="F29" s="1">
        <v>160</v>
      </c>
      <c r="G29" s="1" t="s">
        <v>62</v>
      </c>
      <c r="H29" s="1" t="s">
        <v>40</v>
      </c>
      <c r="I29" s="1" t="s">
        <v>1526</v>
      </c>
      <c r="J29" s="1" t="s">
        <v>1526</v>
      </c>
      <c r="K29" s="1">
        <v>3</v>
      </c>
      <c r="L29" s="92" t="s">
        <v>1560</v>
      </c>
      <c r="M29" s="1" t="s">
        <v>1526</v>
      </c>
    </row>
    <row r="30" spans="1:13">
      <c r="A30" s="1" t="s">
        <v>1577</v>
      </c>
      <c r="B30" s="1" t="s">
        <v>1572</v>
      </c>
      <c r="C30" s="1" t="s">
        <v>33</v>
      </c>
      <c r="D30" s="1">
        <v>228</v>
      </c>
      <c r="E30" s="1">
        <v>56.802</v>
      </c>
      <c r="F30" s="1">
        <v>160</v>
      </c>
      <c r="G30" s="1" t="s">
        <v>62</v>
      </c>
      <c r="H30" s="1" t="s">
        <v>40</v>
      </c>
      <c r="I30" s="1" t="s">
        <v>1526</v>
      </c>
      <c r="J30" s="1" t="s">
        <v>1526</v>
      </c>
      <c r="K30" s="1">
        <v>0</v>
      </c>
      <c r="L30" s="92" t="s">
        <v>1540</v>
      </c>
      <c r="M30" s="1" t="s">
        <v>1526</v>
      </c>
    </row>
    <row r="31" spans="1:13">
      <c r="A31" s="1" t="s">
        <v>1578</v>
      </c>
      <c r="B31" s="1" t="s">
        <v>1572</v>
      </c>
      <c r="C31" s="1" t="s">
        <v>33</v>
      </c>
      <c r="D31" s="1">
        <v>228</v>
      </c>
      <c r="E31" s="1">
        <v>40.588999999999999</v>
      </c>
      <c r="F31" s="1">
        <v>160</v>
      </c>
      <c r="G31" s="1" t="s">
        <v>62</v>
      </c>
      <c r="H31" s="1" t="s">
        <v>40</v>
      </c>
      <c r="I31" s="1" t="s">
        <v>1526</v>
      </c>
      <c r="J31" s="1" t="s">
        <v>1526</v>
      </c>
      <c r="K31" s="1">
        <v>-3</v>
      </c>
      <c r="L31" s="92" t="s">
        <v>1562</v>
      </c>
      <c r="M31" s="1" t="s">
        <v>1526</v>
      </c>
    </row>
    <row r="32" spans="1:13">
      <c r="A32" s="1" t="s">
        <v>1579</v>
      </c>
      <c r="B32" s="1" t="s">
        <v>1572</v>
      </c>
      <c r="C32" s="1" t="s">
        <v>507</v>
      </c>
      <c r="D32" s="1">
        <v>61</v>
      </c>
      <c r="E32" s="1">
        <v>21.952000000000002</v>
      </c>
      <c r="F32" s="1">
        <v>120</v>
      </c>
      <c r="G32" s="1" t="s">
        <v>62</v>
      </c>
      <c r="H32" s="1" t="s">
        <v>40</v>
      </c>
      <c r="I32" s="1" t="s">
        <v>1526</v>
      </c>
      <c r="J32" s="1" t="s">
        <v>1526</v>
      </c>
      <c r="K32" s="1">
        <v>2.0000000000000001E-4</v>
      </c>
      <c r="L32" s="92" t="s">
        <v>1540</v>
      </c>
      <c r="M32" s="1" t="s">
        <v>1526</v>
      </c>
    </row>
    <row r="33" spans="1:13">
      <c r="A33" s="1" t="s">
        <v>1580</v>
      </c>
      <c r="B33" s="1" t="s">
        <v>1572</v>
      </c>
      <c r="C33" s="1" t="s">
        <v>507</v>
      </c>
      <c r="D33" s="1">
        <v>120</v>
      </c>
      <c r="E33" s="1">
        <v>32.500999999999998</v>
      </c>
      <c r="F33" s="1">
        <v>120</v>
      </c>
      <c r="G33" s="1" t="s">
        <v>62</v>
      </c>
      <c r="H33" s="1" t="s">
        <v>40</v>
      </c>
      <c r="I33" s="1" t="s">
        <v>1526</v>
      </c>
      <c r="J33" s="1" t="s">
        <v>1526</v>
      </c>
      <c r="K33" s="1">
        <v>1.9999</v>
      </c>
      <c r="L33" s="92" t="s">
        <v>1555</v>
      </c>
      <c r="M33" s="1" t="s">
        <v>1526</v>
      </c>
    </row>
    <row r="34" spans="1:13">
      <c r="A34" s="1" t="s">
        <v>1581</v>
      </c>
      <c r="B34" s="1" t="s">
        <v>1572</v>
      </c>
      <c r="C34" s="1" t="s">
        <v>507</v>
      </c>
      <c r="D34" s="1">
        <v>120</v>
      </c>
      <c r="E34" s="1">
        <v>19.396000000000001</v>
      </c>
      <c r="F34" s="1">
        <v>120</v>
      </c>
      <c r="G34" s="1" t="s">
        <v>62</v>
      </c>
      <c r="H34" s="1" t="s">
        <v>40</v>
      </c>
      <c r="I34" s="1" t="s">
        <v>1526</v>
      </c>
      <c r="J34" s="1" t="s">
        <v>1526</v>
      </c>
      <c r="K34" s="1">
        <v>-2.0002</v>
      </c>
      <c r="L34" s="92" t="s">
        <v>1575</v>
      </c>
      <c r="M34" s="1" t="s">
        <v>1526</v>
      </c>
    </row>
    <row r="35" spans="1:13">
      <c r="A35" s="1" t="s">
        <v>1582</v>
      </c>
      <c r="B35" s="1" t="s">
        <v>1572</v>
      </c>
      <c r="C35" s="1" t="s">
        <v>507</v>
      </c>
      <c r="D35" s="1">
        <v>180</v>
      </c>
      <c r="E35" s="1">
        <v>90.977999999999994</v>
      </c>
      <c r="F35" s="1">
        <v>160</v>
      </c>
      <c r="G35" s="1" t="s">
        <v>62</v>
      </c>
      <c r="H35" s="1" t="s">
        <v>40</v>
      </c>
      <c r="I35" s="1" t="s">
        <v>1526</v>
      </c>
      <c r="J35" s="1" t="s">
        <v>1526</v>
      </c>
      <c r="K35" s="1">
        <v>3</v>
      </c>
      <c r="L35" s="92" t="s">
        <v>1560</v>
      </c>
      <c r="M35" s="1" t="s">
        <v>1526</v>
      </c>
    </row>
    <row r="36" spans="1:13">
      <c r="A36" s="1" t="s">
        <v>1583</v>
      </c>
      <c r="B36" s="1" t="s">
        <v>1572</v>
      </c>
      <c r="C36" s="1" t="s">
        <v>507</v>
      </c>
      <c r="D36" s="1">
        <v>228</v>
      </c>
      <c r="E36" s="1">
        <v>54.853000000000002</v>
      </c>
      <c r="F36" s="1">
        <v>160</v>
      </c>
      <c r="G36" s="1" t="s">
        <v>62</v>
      </c>
      <c r="H36" s="1" t="s">
        <v>40</v>
      </c>
      <c r="I36" s="1" t="s">
        <v>1526</v>
      </c>
      <c r="J36" s="1" t="s">
        <v>1526</v>
      </c>
      <c r="K36" s="1">
        <v>0</v>
      </c>
      <c r="L36" s="92" t="s">
        <v>1540</v>
      </c>
      <c r="M36" s="1" t="s">
        <v>1526</v>
      </c>
    </row>
    <row r="37" spans="1:13">
      <c r="A37" s="1" t="s">
        <v>1584</v>
      </c>
      <c r="B37" s="1" t="s">
        <v>1572</v>
      </c>
      <c r="C37" s="1" t="s">
        <v>507</v>
      </c>
      <c r="D37" s="1">
        <v>228</v>
      </c>
      <c r="E37" s="1">
        <v>37.694000000000003</v>
      </c>
      <c r="F37" s="1">
        <v>160</v>
      </c>
      <c r="G37" s="1" t="s">
        <v>62</v>
      </c>
      <c r="H37" s="1" t="s">
        <v>40</v>
      </c>
      <c r="I37" s="1" t="s">
        <v>1526</v>
      </c>
      <c r="J37" s="1" t="s">
        <v>1526</v>
      </c>
      <c r="K37" s="1">
        <v>-2.9998999999999998</v>
      </c>
      <c r="L37" s="92" t="s">
        <v>1562</v>
      </c>
      <c r="M37" s="1" t="s">
        <v>1526</v>
      </c>
    </row>
    <row r="38" spans="1:13">
      <c r="A38" s="1" t="s">
        <v>1585</v>
      </c>
      <c r="B38" s="1" t="s">
        <v>1586</v>
      </c>
      <c r="C38" s="1" t="s">
        <v>33</v>
      </c>
      <c r="D38" s="1">
        <v>0</v>
      </c>
      <c r="E38" s="1">
        <v>6</v>
      </c>
      <c r="F38" s="1">
        <v>49.9</v>
      </c>
      <c r="G38" s="1" t="s">
        <v>62</v>
      </c>
      <c r="H38" s="1" t="s">
        <v>40</v>
      </c>
      <c r="I38" s="1" t="s">
        <v>1526</v>
      </c>
      <c r="J38" s="1" t="s">
        <v>1526</v>
      </c>
      <c r="K38" s="1">
        <v>5.9875999999999996</v>
      </c>
      <c r="L38" s="92" t="s">
        <v>1587</v>
      </c>
      <c r="M38" s="1" t="s">
        <v>1534</v>
      </c>
    </row>
    <row r="39" spans="1:13">
      <c r="A39" s="1" t="s">
        <v>1588</v>
      </c>
      <c r="B39" s="1" t="s">
        <v>1586</v>
      </c>
      <c r="C39" s="1" t="s">
        <v>33</v>
      </c>
      <c r="D39" s="1">
        <v>24</v>
      </c>
      <c r="E39" s="1">
        <v>15</v>
      </c>
      <c r="F39" s="1">
        <v>93.2</v>
      </c>
      <c r="G39" s="1" t="s">
        <v>62</v>
      </c>
      <c r="H39" s="1" t="s">
        <v>40</v>
      </c>
      <c r="I39" s="1" t="s">
        <v>1526</v>
      </c>
      <c r="J39" s="1" t="s">
        <v>1526</v>
      </c>
      <c r="K39" s="1">
        <v>1.2107000000000001</v>
      </c>
      <c r="L39" s="92" t="s">
        <v>1589</v>
      </c>
      <c r="M39" s="1" t="s">
        <v>1526</v>
      </c>
    </row>
    <row r="40" spans="1:13">
      <c r="A40" s="1" t="s">
        <v>1590</v>
      </c>
      <c r="B40" s="1" t="s">
        <v>1586</v>
      </c>
      <c r="C40" s="1" t="s">
        <v>33</v>
      </c>
      <c r="D40" s="1">
        <v>24</v>
      </c>
      <c r="E40" s="1">
        <v>15</v>
      </c>
      <c r="F40" s="1">
        <v>81</v>
      </c>
      <c r="G40" s="1" t="s">
        <v>62</v>
      </c>
      <c r="H40" s="1" t="s">
        <v>40</v>
      </c>
      <c r="I40" s="1" t="s">
        <v>1526</v>
      </c>
      <c r="J40" s="1" t="s">
        <v>1526</v>
      </c>
      <c r="K40" s="1">
        <v>3.7751999999999999</v>
      </c>
      <c r="L40" s="92" t="s">
        <v>1591</v>
      </c>
      <c r="M40" s="1" t="s">
        <v>1534</v>
      </c>
    </row>
    <row r="41" spans="1:13">
      <c r="A41" s="1" t="s">
        <v>1592</v>
      </c>
      <c r="B41" s="1" t="s">
        <v>1586</v>
      </c>
      <c r="C41" s="1" t="s">
        <v>33</v>
      </c>
      <c r="D41" s="1">
        <v>120</v>
      </c>
      <c r="E41" s="1">
        <v>31.224</v>
      </c>
      <c r="F41" s="1">
        <v>137.80000000000001</v>
      </c>
      <c r="G41" s="1" t="s">
        <v>62</v>
      </c>
      <c r="H41" s="1" t="s">
        <v>40</v>
      </c>
      <c r="I41" s="1" t="s">
        <v>1526</v>
      </c>
      <c r="J41" s="1" t="s">
        <v>1526</v>
      </c>
      <c r="K41" s="1">
        <v>0</v>
      </c>
      <c r="L41" s="92" t="s">
        <v>1540</v>
      </c>
      <c r="M41" s="1" t="s">
        <v>1526</v>
      </c>
    </row>
    <row r="42" spans="1:13">
      <c r="A42" s="1" t="s">
        <v>1593</v>
      </c>
      <c r="B42" s="1" t="s">
        <v>1586</v>
      </c>
      <c r="C42" s="1" t="s">
        <v>33</v>
      </c>
      <c r="D42" s="1">
        <v>228</v>
      </c>
      <c r="E42" s="1">
        <v>69.122</v>
      </c>
      <c r="F42" s="1">
        <v>176.5</v>
      </c>
      <c r="G42" s="1" t="s">
        <v>62</v>
      </c>
      <c r="H42" s="1" t="s">
        <v>40</v>
      </c>
      <c r="I42" s="1" t="s">
        <v>1526</v>
      </c>
      <c r="J42" s="1" t="s">
        <v>1526</v>
      </c>
      <c r="K42" s="1">
        <v>1E-4</v>
      </c>
      <c r="L42" s="92" t="s">
        <v>1540</v>
      </c>
      <c r="M42" s="1" t="s">
        <v>1526</v>
      </c>
    </row>
    <row r="43" spans="1:13">
      <c r="A43" s="1" t="s">
        <v>1594</v>
      </c>
      <c r="B43" s="1" t="s">
        <v>1586</v>
      </c>
      <c r="C43" s="1" t="s">
        <v>507</v>
      </c>
      <c r="D43" s="1">
        <v>0</v>
      </c>
      <c r="E43" s="1">
        <v>6</v>
      </c>
      <c r="F43" s="1">
        <v>49.1</v>
      </c>
      <c r="G43" s="1" t="s">
        <v>62</v>
      </c>
      <c r="H43" s="1" t="s">
        <v>40</v>
      </c>
      <c r="I43" s="1" t="s">
        <v>1526</v>
      </c>
      <c r="J43" s="1" t="s">
        <v>1526</v>
      </c>
      <c r="K43" s="1">
        <v>6.2854999999999999</v>
      </c>
      <c r="L43" s="92" t="s">
        <v>1595</v>
      </c>
      <c r="M43" s="1" t="s">
        <v>1534</v>
      </c>
    </row>
    <row r="44" spans="1:13">
      <c r="A44" s="1" t="s">
        <v>1596</v>
      </c>
      <c r="B44" s="1" t="s">
        <v>1586</v>
      </c>
      <c r="C44" s="1" t="s">
        <v>507</v>
      </c>
      <c r="D44" s="1">
        <v>24</v>
      </c>
      <c r="E44" s="1">
        <v>15</v>
      </c>
      <c r="F44" s="1">
        <v>92.2</v>
      </c>
      <c r="G44" s="1" t="s">
        <v>62</v>
      </c>
      <c r="H44" s="1" t="s">
        <v>40</v>
      </c>
      <c r="I44" s="1" t="s">
        <v>1526</v>
      </c>
      <c r="J44" s="1" t="s">
        <v>1526</v>
      </c>
      <c r="K44" s="1">
        <v>1.4441999999999999</v>
      </c>
      <c r="L44" s="92" t="s">
        <v>1597</v>
      </c>
      <c r="M44" s="1" t="s">
        <v>1526</v>
      </c>
    </row>
    <row r="45" spans="1:13">
      <c r="A45" s="1" t="s">
        <v>1598</v>
      </c>
      <c r="B45" s="1" t="s">
        <v>1586</v>
      </c>
      <c r="C45" s="1" t="s">
        <v>507</v>
      </c>
      <c r="D45" s="1">
        <v>24</v>
      </c>
      <c r="E45" s="1">
        <v>15</v>
      </c>
      <c r="F45" s="1">
        <v>79.3</v>
      </c>
      <c r="G45" s="1" t="s">
        <v>62</v>
      </c>
      <c r="H45" s="1" t="s">
        <v>40</v>
      </c>
      <c r="I45" s="1" t="s">
        <v>1526</v>
      </c>
      <c r="J45" s="1" t="s">
        <v>1526</v>
      </c>
      <c r="K45" s="1">
        <v>4.0781000000000001</v>
      </c>
      <c r="L45" s="92" t="s">
        <v>1599</v>
      </c>
      <c r="M45" s="1" t="s">
        <v>1534</v>
      </c>
    </row>
    <row r="46" spans="1:13">
      <c r="A46" s="1" t="s">
        <v>1600</v>
      </c>
      <c r="B46" s="1" t="s">
        <v>1586</v>
      </c>
      <c r="C46" s="1" t="s">
        <v>507</v>
      </c>
      <c r="D46" s="1">
        <v>120</v>
      </c>
      <c r="E46" s="1">
        <v>31.914000000000001</v>
      </c>
      <c r="F46" s="1">
        <v>138.6</v>
      </c>
      <c r="G46" s="1" t="s">
        <v>62</v>
      </c>
      <c r="H46" s="1" t="s">
        <v>40</v>
      </c>
      <c r="I46" s="1" t="s">
        <v>1526</v>
      </c>
      <c r="J46" s="1" t="s">
        <v>1526</v>
      </c>
      <c r="K46" s="1">
        <v>0</v>
      </c>
      <c r="L46" s="92" t="s">
        <v>1540</v>
      </c>
      <c r="M46" s="1" t="s">
        <v>1526</v>
      </c>
    </row>
    <row r="47" spans="1:13">
      <c r="A47" s="1" t="s">
        <v>1601</v>
      </c>
      <c r="B47" s="1" t="s">
        <v>1586</v>
      </c>
      <c r="C47" s="1" t="s">
        <v>507</v>
      </c>
      <c r="D47" s="1">
        <v>228</v>
      </c>
      <c r="E47" s="1">
        <v>57.069000000000003</v>
      </c>
      <c r="F47" s="1">
        <v>163.19999999999999</v>
      </c>
      <c r="G47" s="1" t="s">
        <v>62</v>
      </c>
      <c r="H47" s="1" t="s">
        <v>40</v>
      </c>
      <c r="I47" s="1" t="s">
        <v>1526</v>
      </c>
      <c r="J47" s="1" t="s">
        <v>1526</v>
      </c>
      <c r="K47" s="1">
        <v>0</v>
      </c>
      <c r="L47" s="92" t="s">
        <v>1540</v>
      </c>
      <c r="M47" s="1" t="s">
        <v>1526</v>
      </c>
    </row>
    <row r="48" spans="1:13">
      <c r="A48" s="1" t="s">
        <v>1602</v>
      </c>
      <c r="B48" s="1" t="s">
        <v>1603</v>
      </c>
      <c r="C48" s="1" t="s">
        <v>33</v>
      </c>
      <c r="D48" s="1">
        <v>0</v>
      </c>
      <c r="E48" s="1">
        <v>6</v>
      </c>
      <c r="F48" s="1">
        <v>50</v>
      </c>
      <c r="G48" s="1" t="s">
        <v>62</v>
      </c>
      <c r="H48" s="1" t="s">
        <v>40</v>
      </c>
      <c r="I48" s="1" t="s">
        <v>1526</v>
      </c>
      <c r="J48" s="1" t="s">
        <v>1526</v>
      </c>
      <c r="K48" s="1">
        <v>5.9875999999999996</v>
      </c>
      <c r="L48" s="92" t="s">
        <v>1587</v>
      </c>
      <c r="M48" s="1" t="s">
        <v>1534</v>
      </c>
    </row>
    <row r="49" spans="1:13">
      <c r="A49" s="1" t="s">
        <v>1604</v>
      </c>
      <c r="B49" s="1" t="s">
        <v>1603</v>
      </c>
      <c r="C49" s="1" t="s">
        <v>33</v>
      </c>
      <c r="D49" s="1">
        <v>12</v>
      </c>
      <c r="E49" s="1">
        <v>12</v>
      </c>
      <c r="F49" s="1">
        <v>75.5</v>
      </c>
      <c r="G49" s="1" t="s">
        <v>62</v>
      </c>
      <c r="H49" s="1" t="s">
        <v>40</v>
      </c>
      <c r="I49" s="1" t="s">
        <v>1526</v>
      </c>
      <c r="J49" s="1" t="s">
        <v>1526</v>
      </c>
      <c r="K49" s="1">
        <v>2.5804999999999998</v>
      </c>
      <c r="L49" s="92" t="s">
        <v>1605</v>
      </c>
      <c r="M49" s="1" t="s">
        <v>1526</v>
      </c>
    </row>
    <row r="50" spans="1:13">
      <c r="A50" s="1" t="s">
        <v>1606</v>
      </c>
      <c r="B50" s="1" t="s">
        <v>1603</v>
      </c>
      <c r="C50" s="1" t="s">
        <v>33</v>
      </c>
      <c r="D50" s="1">
        <v>24</v>
      </c>
      <c r="E50" s="1">
        <v>12</v>
      </c>
      <c r="F50" s="1">
        <v>87</v>
      </c>
      <c r="G50" s="1" t="s">
        <v>62</v>
      </c>
      <c r="H50" s="1" t="s">
        <v>40</v>
      </c>
      <c r="I50" s="1" t="s">
        <v>1526</v>
      </c>
      <c r="J50" s="1" t="s">
        <v>1526</v>
      </c>
      <c r="K50" s="1">
        <v>-0.16869999999999999</v>
      </c>
      <c r="L50" s="92" t="s">
        <v>1607</v>
      </c>
      <c r="M50" s="1" t="s">
        <v>1526</v>
      </c>
    </row>
    <row r="51" spans="1:13">
      <c r="A51" s="1" t="s">
        <v>1608</v>
      </c>
      <c r="B51" s="1" t="s">
        <v>1603</v>
      </c>
      <c r="C51" s="1" t="s">
        <v>33</v>
      </c>
      <c r="D51" s="1">
        <v>36</v>
      </c>
      <c r="E51" s="1">
        <v>12</v>
      </c>
      <c r="F51" s="1">
        <v>96</v>
      </c>
      <c r="G51" s="1" t="s">
        <v>62</v>
      </c>
      <c r="H51" s="1" t="s">
        <v>40</v>
      </c>
      <c r="I51" s="1" t="s">
        <v>1526</v>
      </c>
      <c r="J51" s="1" t="s">
        <v>1526</v>
      </c>
      <c r="K51" s="1">
        <v>-2.2412000000000001</v>
      </c>
      <c r="L51" s="92" t="s">
        <v>1609</v>
      </c>
      <c r="M51" s="1" t="s">
        <v>1526</v>
      </c>
    </row>
    <row r="52" spans="1:13">
      <c r="A52" s="1" t="s">
        <v>1610</v>
      </c>
      <c r="B52" s="1" t="s">
        <v>1603</v>
      </c>
      <c r="C52" s="1" t="s">
        <v>33</v>
      </c>
      <c r="D52" s="1">
        <v>48</v>
      </c>
      <c r="E52" s="1">
        <v>12</v>
      </c>
      <c r="F52" s="1">
        <v>103.5</v>
      </c>
      <c r="G52" s="1" t="s">
        <v>62</v>
      </c>
      <c r="H52" s="1" t="s">
        <v>40</v>
      </c>
      <c r="I52" s="1" t="s">
        <v>1526</v>
      </c>
      <c r="J52" s="1" t="s">
        <v>1526</v>
      </c>
      <c r="K52" s="1">
        <v>-3.9119999999999999</v>
      </c>
      <c r="L52" s="92" t="s">
        <v>1611</v>
      </c>
      <c r="M52" s="1" t="s">
        <v>1534</v>
      </c>
    </row>
    <row r="53" spans="1:13">
      <c r="A53" s="1" t="s">
        <v>1612</v>
      </c>
      <c r="B53" s="1" t="s">
        <v>1603</v>
      </c>
      <c r="C53" s="1" t="s">
        <v>507</v>
      </c>
      <c r="D53" s="1">
        <v>0</v>
      </c>
      <c r="E53" s="1">
        <v>6</v>
      </c>
      <c r="F53" s="1">
        <v>49</v>
      </c>
      <c r="G53" s="1" t="s">
        <v>62</v>
      </c>
      <c r="H53" s="1" t="s">
        <v>40</v>
      </c>
      <c r="I53" s="1" t="s">
        <v>1526</v>
      </c>
      <c r="J53" s="1" t="s">
        <v>1526</v>
      </c>
      <c r="K53" s="1">
        <v>6.2854999999999999</v>
      </c>
      <c r="L53" s="92" t="s">
        <v>1595</v>
      </c>
      <c r="M53" s="1" t="s">
        <v>1534</v>
      </c>
    </row>
    <row r="54" spans="1:13">
      <c r="A54" s="1" t="s">
        <v>1613</v>
      </c>
      <c r="B54" s="1" t="s">
        <v>1603</v>
      </c>
      <c r="C54" s="1" t="s">
        <v>507</v>
      </c>
      <c r="D54" s="1">
        <v>12</v>
      </c>
      <c r="E54" s="1">
        <v>12</v>
      </c>
      <c r="F54" s="1">
        <v>74</v>
      </c>
      <c r="G54" s="1" t="s">
        <v>62</v>
      </c>
      <c r="H54" s="1" t="s">
        <v>40</v>
      </c>
      <c r="I54" s="1" t="s">
        <v>1526</v>
      </c>
      <c r="J54" s="1" t="s">
        <v>1526</v>
      </c>
      <c r="K54" s="1">
        <v>3.0646</v>
      </c>
      <c r="L54" s="92" t="s">
        <v>1614</v>
      </c>
      <c r="M54" s="1" t="s">
        <v>1526</v>
      </c>
    </row>
    <row r="55" spans="1:13">
      <c r="A55" s="1" t="s">
        <v>1615</v>
      </c>
      <c r="B55" s="1" t="s">
        <v>1603</v>
      </c>
      <c r="C55" s="1" t="s">
        <v>507</v>
      </c>
      <c r="D55" s="1">
        <v>24</v>
      </c>
      <c r="E55" s="1">
        <v>12</v>
      </c>
      <c r="F55" s="1">
        <v>85.5</v>
      </c>
      <c r="G55" s="1" t="s">
        <v>62</v>
      </c>
      <c r="H55" s="1" t="s">
        <v>40</v>
      </c>
      <c r="I55" s="1" t="s">
        <v>1526</v>
      </c>
      <c r="J55" s="1" t="s">
        <v>1526</v>
      </c>
      <c r="K55" s="1">
        <v>0.45669999999999999</v>
      </c>
      <c r="L55" s="92" t="s">
        <v>1616</v>
      </c>
      <c r="M55" s="1" t="s">
        <v>1526</v>
      </c>
    </row>
    <row r="56" spans="1:13">
      <c r="A56" s="1" t="s">
        <v>1617</v>
      </c>
      <c r="B56" s="1" t="s">
        <v>1603</v>
      </c>
      <c r="C56" s="1" t="s">
        <v>507</v>
      </c>
      <c r="D56" s="1">
        <v>36</v>
      </c>
      <c r="E56" s="1">
        <v>12</v>
      </c>
      <c r="F56" s="1">
        <v>95</v>
      </c>
      <c r="G56" s="1" t="s">
        <v>62</v>
      </c>
      <c r="H56" s="1" t="s">
        <v>40</v>
      </c>
      <c r="I56" s="1" t="s">
        <v>1526</v>
      </c>
      <c r="J56" s="1" t="s">
        <v>1526</v>
      </c>
      <c r="K56" s="1">
        <v>-1.6774</v>
      </c>
      <c r="L56" s="92" t="s">
        <v>1618</v>
      </c>
      <c r="M56" s="1" t="s">
        <v>1526</v>
      </c>
    </row>
    <row r="57" spans="1:13">
      <c r="A57" s="1" t="s">
        <v>1619</v>
      </c>
      <c r="B57" s="1" t="s">
        <v>1603</v>
      </c>
      <c r="C57" s="1" t="s">
        <v>507</v>
      </c>
      <c r="D57" s="1">
        <v>48</v>
      </c>
      <c r="E57" s="1">
        <v>12</v>
      </c>
      <c r="F57" s="1">
        <v>102.5</v>
      </c>
      <c r="G57" s="1" t="s">
        <v>62</v>
      </c>
      <c r="H57" s="1" t="s">
        <v>40</v>
      </c>
      <c r="I57" s="1" t="s">
        <v>1526</v>
      </c>
      <c r="J57" s="1" t="s">
        <v>1526</v>
      </c>
      <c r="K57" s="1">
        <v>-3.2976000000000001</v>
      </c>
      <c r="L57" s="92" t="s">
        <v>1620</v>
      </c>
      <c r="M57" s="1" t="s">
        <v>1534</v>
      </c>
    </row>
    <row r="58" spans="1:13">
      <c r="A58" s="1" t="s">
        <v>1621</v>
      </c>
      <c r="B58" s="1" t="s">
        <v>1622</v>
      </c>
      <c r="C58" s="1" t="s">
        <v>33</v>
      </c>
      <c r="D58" s="1">
        <v>22</v>
      </c>
      <c r="E58" s="1">
        <v>13.923999999999999</v>
      </c>
      <c r="F58" s="1">
        <v>86</v>
      </c>
      <c r="G58" s="1" t="s">
        <v>62</v>
      </c>
      <c r="H58" s="1" t="s">
        <v>40</v>
      </c>
      <c r="I58" s="1" t="s">
        <v>1526</v>
      </c>
      <c r="J58" s="1" t="s">
        <v>1526</v>
      </c>
      <c r="K58" s="1">
        <v>2.0287000000000002</v>
      </c>
      <c r="L58" s="92" t="s">
        <v>1623</v>
      </c>
      <c r="M58" s="1" t="s">
        <v>1526</v>
      </c>
    </row>
    <row r="59" spans="1:13">
      <c r="A59" s="1" t="s">
        <v>1624</v>
      </c>
      <c r="B59" s="1" t="s">
        <v>1625</v>
      </c>
      <c r="C59" s="1" t="s">
        <v>33</v>
      </c>
      <c r="D59" s="1">
        <v>12</v>
      </c>
      <c r="E59" s="1">
        <v>15.202999999999999</v>
      </c>
      <c r="F59" s="1">
        <v>76</v>
      </c>
      <c r="G59" s="1" t="s">
        <v>62</v>
      </c>
      <c r="H59" s="1" t="s">
        <v>40</v>
      </c>
      <c r="I59" s="1" t="s">
        <v>1526</v>
      </c>
      <c r="J59" s="1" t="s">
        <v>1526</v>
      </c>
      <c r="K59" s="1">
        <v>4.9997999999999996</v>
      </c>
      <c r="L59" s="92" t="s">
        <v>1626</v>
      </c>
      <c r="M59" s="1" t="s">
        <v>1534</v>
      </c>
    </row>
    <row r="60" spans="1:13">
      <c r="A60" s="1" t="s">
        <v>1627</v>
      </c>
      <c r="B60" s="1" t="s">
        <v>1625</v>
      </c>
      <c r="C60" s="1" t="s">
        <v>507</v>
      </c>
      <c r="D60" s="1">
        <v>6</v>
      </c>
      <c r="E60" s="1">
        <v>4.0190000000000001</v>
      </c>
      <c r="F60" s="1">
        <v>65.5</v>
      </c>
      <c r="G60" s="1" t="s">
        <v>62</v>
      </c>
      <c r="H60" s="1" t="s">
        <v>40</v>
      </c>
      <c r="I60" s="1" t="s">
        <v>1526</v>
      </c>
      <c r="J60" s="1" t="s">
        <v>1526</v>
      </c>
      <c r="K60" s="1">
        <v>-4.9989999999999997</v>
      </c>
      <c r="L60" s="92" t="s">
        <v>1628</v>
      </c>
      <c r="M60" s="1" t="s">
        <v>1534</v>
      </c>
    </row>
    <row r="61" spans="1:13">
      <c r="A61" s="1" t="s">
        <v>1629</v>
      </c>
      <c r="B61" s="1" t="s">
        <v>1630</v>
      </c>
      <c r="C61" s="1" t="s">
        <v>33</v>
      </c>
      <c r="D61" s="1">
        <v>6</v>
      </c>
      <c r="E61" s="1">
        <v>2.4409999999999998</v>
      </c>
      <c r="F61" s="1">
        <v>45</v>
      </c>
      <c r="G61" s="1" t="s">
        <v>62</v>
      </c>
      <c r="H61" s="1" t="s">
        <v>40</v>
      </c>
      <c r="I61" s="1" t="s">
        <v>1526</v>
      </c>
      <c r="J61" s="1" t="s">
        <v>1526</v>
      </c>
      <c r="K61" s="1">
        <v>-9.9979999999999993</v>
      </c>
      <c r="L61" s="92" t="s">
        <v>1631</v>
      </c>
      <c r="M61" s="1" t="s">
        <v>1534</v>
      </c>
    </row>
    <row r="62" spans="1:13">
      <c r="A62" s="1" t="s">
        <v>1632</v>
      </c>
      <c r="B62" s="1" t="s">
        <v>1630</v>
      </c>
      <c r="C62" s="1" t="s">
        <v>507</v>
      </c>
      <c r="D62" s="1">
        <v>6</v>
      </c>
      <c r="E62" s="1">
        <v>18.332000000000001</v>
      </c>
      <c r="F62" s="1">
        <v>110</v>
      </c>
      <c r="G62" s="1" t="s">
        <v>62</v>
      </c>
      <c r="H62" s="1" t="s">
        <v>40</v>
      </c>
      <c r="I62" s="1" t="s">
        <v>1526</v>
      </c>
      <c r="J62" s="1" t="s">
        <v>1526</v>
      </c>
      <c r="K62" s="1">
        <v>7.2914000000000003</v>
      </c>
      <c r="L62" s="92" t="s">
        <v>1633</v>
      </c>
      <c r="M62" s="1" t="s">
        <v>1534</v>
      </c>
    </row>
    <row r="63" spans="1:13">
      <c r="A63" s="1" t="s">
        <v>1634</v>
      </c>
      <c r="B63" s="1" t="s">
        <v>1630</v>
      </c>
      <c r="C63" s="1" t="s">
        <v>33</v>
      </c>
      <c r="D63" s="1">
        <v>30</v>
      </c>
      <c r="E63" s="1">
        <v>7.4329999999999998</v>
      </c>
      <c r="F63" s="1">
        <v>65</v>
      </c>
      <c r="G63" s="1" t="s">
        <v>62</v>
      </c>
      <c r="H63" s="1" t="s">
        <v>40</v>
      </c>
      <c r="I63" s="1" t="s">
        <v>1526</v>
      </c>
      <c r="J63" s="1" t="s">
        <v>1526</v>
      </c>
      <c r="K63" s="1">
        <v>5.0000000000000001E-4</v>
      </c>
      <c r="L63" s="92" t="s">
        <v>1540</v>
      </c>
      <c r="M63" s="1" t="s">
        <v>1534</v>
      </c>
    </row>
    <row r="64" spans="1:13">
      <c r="A64" s="1" t="s">
        <v>1635</v>
      </c>
      <c r="B64" s="1" t="s">
        <v>1630</v>
      </c>
      <c r="C64" s="1" t="s">
        <v>507</v>
      </c>
      <c r="D64" s="1">
        <v>30</v>
      </c>
      <c r="E64" s="1">
        <v>22.817</v>
      </c>
      <c r="F64" s="1">
        <v>120</v>
      </c>
      <c r="G64" s="1" t="s">
        <v>62</v>
      </c>
      <c r="H64" s="1" t="s">
        <v>40</v>
      </c>
      <c r="I64" s="1" t="s">
        <v>1526</v>
      </c>
      <c r="J64" s="1" t="s">
        <v>1526</v>
      </c>
      <c r="K64" s="1">
        <v>-1E-4</v>
      </c>
      <c r="L64" s="92" t="s">
        <v>1540</v>
      </c>
      <c r="M64" s="1" t="s">
        <v>1534</v>
      </c>
    </row>
    <row r="65" spans="1:13">
      <c r="A65" s="1" t="s">
        <v>1636</v>
      </c>
      <c r="B65" s="1" t="s">
        <v>1630</v>
      </c>
      <c r="C65" s="1" t="s">
        <v>33</v>
      </c>
      <c r="D65" s="1">
        <v>60</v>
      </c>
      <c r="E65" s="1">
        <v>18.515999999999998</v>
      </c>
      <c r="F65" s="1">
        <v>110</v>
      </c>
      <c r="G65" s="1" t="s">
        <v>62</v>
      </c>
      <c r="H65" s="1" t="s">
        <v>40</v>
      </c>
      <c r="I65" s="1" t="s">
        <v>1526</v>
      </c>
      <c r="J65" s="1" t="s">
        <v>1526</v>
      </c>
      <c r="K65" s="1">
        <v>1E-4</v>
      </c>
      <c r="L65" s="92" t="s">
        <v>1540</v>
      </c>
      <c r="M65" s="1" t="s">
        <v>1526</v>
      </c>
    </row>
    <row r="66" spans="1:13">
      <c r="A66" s="1" t="s">
        <v>1637</v>
      </c>
      <c r="B66" s="1" t="s">
        <v>1630</v>
      </c>
      <c r="C66" s="1" t="s">
        <v>33</v>
      </c>
      <c r="D66" s="1">
        <v>61</v>
      </c>
      <c r="E66" s="1">
        <v>18.47</v>
      </c>
      <c r="F66" s="1">
        <v>110</v>
      </c>
      <c r="G66" s="1" t="s">
        <v>62</v>
      </c>
      <c r="H66" s="1" t="s">
        <v>40</v>
      </c>
      <c r="I66" s="1" t="s">
        <v>1526</v>
      </c>
      <c r="J66" s="1" t="s">
        <v>1526</v>
      </c>
      <c r="K66" s="1">
        <v>2.9999999999999997E-4</v>
      </c>
      <c r="L66" s="92" t="s">
        <v>1540</v>
      </c>
      <c r="M66" s="1" t="s">
        <v>1526</v>
      </c>
    </row>
    <row r="67" spans="1:13">
      <c r="A67" s="1" t="s">
        <v>1638</v>
      </c>
      <c r="B67" s="1" t="s">
        <v>1552</v>
      </c>
      <c r="C67" s="1" t="s">
        <v>507</v>
      </c>
      <c r="D67" s="1">
        <v>18</v>
      </c>
      <c r="E67" s="1">
        <v>9.4250000000000007</v>
      </c>
      <c r="F67" s="1">
        <v>76.3</v>
      </c>
      <c r="G67" s="1" t="s">
        <v>62</v>
      </c>
      <c r="H67" s="1" t="s">
        <v>40</v>
      </c>
      <c r="I67" s="1" t="s">
        <v>1526</v>
      </c>
      <c r="J67" s="1" t="s">
        <v>1526</v>
      </c>
      <c r="K67" s="1">
        <v>-2.0000000000000001E-4</v>
      </c>
      <c r="L67" s="92" t="s">
        <v>1540</v>
      </c>
      <c r="M67" s="1" t="s">
        <v>1526</v>
      </c>
    </row>
    <row r="68" spans="1:13">
      <c r="A68" s="1" t="s">
        <v>1639</v>
      </c>
      <c r="B68" s="1" t="s">
        <v>1640</v>
      </c>
      <c r="C68" s="1" t="s">
        <v>1641</v>
      </c>
      <c r="E68" s="1">
        <v>8</v>
      </c>
      <c r="F68" s="1">
        <v>74</v>
      </c>
      <c r="G68" s="1" t="s">
        <v>62</v>
      </c>
      <c r="H68" s="1" t="s">
        <v>40</v>
      </c>
      <c r="I68" s="1" t="s">
        <v>1642</v>
      </c>
      <c r="J68" s="1" t="s">
        <v>1642</v>
      </c>
      <c r="M68" s="1" t="s">
        <v>1526</v>
      </c>
    </row>
    <row r="69" spans="1:13">
      <c r="A69" s="1" t="s">
        <v>1643</v>
      </c>
      <c r="B69" s="1" t="s">
        <v>1644</v>
      </c>
      <c r="C69" s="1" t="s">
        <v>33</v>
      </c>
      <c r="E69" s="1">
        <v>8</v>
      </c>
      <c r="F69" s="1">
        <v>74</v>
      </c>
      <c r="G69" s="1" t="s">
        <v>62</v>
      </c>
      <c r="H69" s="1" t="s">
        <v>40</v>
      </c>
      <c r="I69" s="1" t="s">
        <v>1645</v>
      </c>
      <c r="J69" s="1" t="s">
        <v>1645</v>
      </c>
      <c r="M69" s="1" t="s">
        <v>1526</v>
      </c>
    </row>
    <row r="70" spans="1:13">
      <c r="A70" s="1" t="s">
        <v>1646</v>
      </c>
      <c r="B70" s="1" t="s">
        <v>1644</v>
      </c>
      <c r="C70" s="1" t="s">
        <v>33</v>
      </c>
      <c r="D70" s="1">
        <v>240</v>
      </c>
      <c r="E70" s="1">
        <v>60</v>
      </c>
      <c r="F70" s="1">
        <v>175</v>
      </c>
      <c r="G70" s="1" t="s">
        <v>62</v>
      </c>
      <c r="H70" s="1" t="s">
        <v>40</v>
      </c>
      <c r="I70" s="1" t="s">
        <v>1647</v>
      </c>
      <c r="J70" s="1" t="s">
        <v>1647</v>
      </c>
      <c r="M70" s="1" t="s">
        <v>1526</v>
      </c>
    </row>
    <row r="71" spans="1:13">
      <c r="A71" s="1" t="s">
        <v>1648</v>
      </c>
      <c r="B71" s="1" t="s">
        <v>1649</v>
      </c>
      <c r="C71" s="1" t="s">
        <v>507</v>
      </c>
      <c r="D71" s="1">
        <v>12</v>
      </c>
      <c r="E71" s="1">
        <v>-5</v>
      </c>
      <c r="F71" s="1">
        <v>74</v>
      </c>
      <c r="G71" s="1" t="s">
        <v>62</v>
      </c>
      <c r="H71" s="1" t="s">
        <v>40</v>
      </c>
      <c r="I71" s="1" t="s">
        <v>1650</v>
      </c>
      <c r="J71" s="1" t="s">
        <v>1650</v>
      </c>
      <c r="L71" s="1" t="s">
        <v>1651</v>
      </c>
      <c r="M71" s="1" t="s">
        <v>1534</v>
      </c>
    </row>
    <row r="72" spans="1:13">
      <c r="A72" s="1" t="s">
        <v>1652</v>
      </c>
      <c r="B72" s="1" t="s">
        <v>1653</v>
      </c>
      <c r="C72" s="1" t="s">
        <v>507</v>
      </c>
      <c r="D72" s="1">
        <v>12</v>
      </c>
      <c r="E72" s="1">
        <v>8</v>
      </c>
      <c r="F72" s="1">
        <v>0</v>
      </c>
      <c r="G72" s="1" t="s">
        <v>62</v>
      </c>
      <c r="H72" s="1" t="s">
        <v>40</v>
      </c>
      <c r="I72" s="1" t="s">
        <v>1650</v>
      </c>
      <c r="J72" s="1" t="s">
        <v>1650</v>
      </c>
      <c r="M72" s="1" t="s">
        <v>1526</v>
      </c>
    </row>
    <row r="73" spans="1:13">
      <c r="A73" s="1" t="s">
        <v>1654</v>
      </c>
      <c r="B73" s="1" t="s">
        <v>1655</v>
      </c>
      <c r="C73" s="1" t="s">
        <v>507</v>
      </c>
      <c r="D73" s="1">
        <v>12</v>
      </c>
      <c r="G73" s="1" t="s">
        <v>62</v>
      </c>
      <c r="H73" s="1" t="s">
        <v>40</v>
      </c>
      <c r="I73" s="1" t="s">
        <v>1656</v>
      </c>
      <c r="J73" s="1" t="s">
        <v>1656</v>
      </c>
      <c r="M73" s="1" t="s">
        <v>1526</v>
      </c>
    </row>
    <row r="74" spans="1:13">
      <c r="A74" s="1" t="s">
        <v>1657</v>
      </c>
      <c r="B74" s="1" t="s">
        <v>1655</v>
      </c>
      <c r="C74" s="1" t="s">
        <v>507</v>
      </c>
      <c r="E74" s="1">
        <v>8</v>
      </c>
      <c r="F74" s="1">
        <v>74</v>
      </c>
      <c r="G74" s="1" t="s">
        <v>62</v>
      </c>
      <c r="H74" s="1" t="s">
        <v>40</v>
      </c>
      <c r="I74" s="1" t="s">
        <v>1658</v>
      </c>
      <c r="J74" s="1" t="s">
        <v>1658</v>
      </c>
      <c r="M74" s="1" t="s">
        <v>1526</v>
      </c>
    </row>
    <row r="75" spans="1:13">
      <c r="A75" s="1" t="s">
        <v>1659</v>
      </c>
      <c r="B75" s="1" t="s">
        <v>1660</v>
      </c>
      <c r="C75" s="1" t="s">
        <v>33</v>
      </c>
      <c r="D75" s="1">
        <v>3</v>
      </c>
      <c r="E75" s="1">
        <v>6.5</v>
      </c>
      <c r="F75" s="1">
        <v>62</v>
      </c>
      <c r="G75" s="1" t="s">
        <v>1069</v>
      </c>
      <c r="H75" s="1" t="s">
        <v>1661</v>
      </c>
      <c r="I75" s="1" t="s">
        <v>1526</v>
      </c>
      <c r="J75" s="1" t="s">
        <v>1526</v>
      </c>
      <c r="K75" s="1">
        <v>0.1643</v>
      </c>
      <c r="L75" s="92" t="s">
        <v>1662</v>
      </c>
      <c r="M75" s="1" t="s">
        <v>1526</v>
      </c>
    </row>
    <row r="76" spans="1:13">
      <c r="A76" s="1" t="s">
        <v>1663</v>
      </c>
      <c r="B76" s="1" t="s">
        <v>1660</v>
      </c>
      <c r="C76" s="1" t="s">
        <v>507</v>
      </c>
      <c r="D76" s="1">
        <v>7</v>
      </c>
      <c r="E76" s="1">
        <v>7</v>
      </c>
      <c r="F76" s="1">
        <v>68</v>
      </c>
      <c r="G76" s="1" t="s">
        <v>1069</v>
      </c>
      <c r="H76" s="1" t="s">
        <v>1661</v>
      </c>
      <c r="I76" s="1" t="s">
        <v>1526</v>
      </c>
      <c r="J76" s="1" t="s">
        <v>1526</v>
      </c>
      <c r="K76" s="1">
        <v>-0.72409999999999997</v>
      </c>
      <c r="L76" s="92" t="s">
        <v>1664</v>
      </c>
      <c r="M76" s="1" t="s">
        <v>1526</v>
      </c>
    </row>
    <row r="77" spans="1:13">
      <c r="A77" s="1" t="s">
        <v>1665</v>
      </c>
      <c r="B77" s="1" t="s">
        <v>1660</v>
      </c>
      <c r="C77" s="1" t="s">
        <v>33</v>
      </c>
      <c r="D77" s="1">
        <v>3</v>
      </c>
      <c r="E77" s="1">
        <v>6.5</v>
      </c>
      <c r="F77" s="1">
        <v>62</v>
      </c>
      <c r="G77" s="1" t="s">
        <v>62</v>
      </c>
      <c r="H77" s="1" t="s">
        <v>1661</v>
      </c>
      <c r="I77" s="1" t="s">
        <v>1666</v>
      </c>
      <c r="J77" s="1" t="s">
        <v>1666</v>
      </c>
      <c r="K77" s="1">
        <v>0.1643</v>
      </c>
      <c r="L77" s="92" t="s">
        <v>1662</v>
      </c>
      <c r="M77" s="1" t="s">
        <v>1526</v>
      </c>
    </row>
    <row r="78" spans="1:13">
      <c r="A78" s="1" t="s">
        <v>1667</v>
      </c>
      <c r="B78" s="1" t="s">
        <v>1668</v>
      </c>
      <c r="C78" s="1" t="s">
        <v>33</v>
      </c>
      <c r="D78" s="1">
        <v>24</v>
      </c>
      <c r="E78" s="1">
        <v>12</v>
      </c>
      <c r="F78" s="1">
        <v>85</v>
      </c>
      <c r="G78" s="1" t="s">
        <v>1128</v>
      </c>
      <c r="H78" s="1" t="s">
        <v>40</v>
      </c>
      <c r="I78" s="1" t="s">
        <v>1669</v>
      </c>
      <c r="J78" s="1" t="s">
        <v>1526</v>
      </c>
      <c r="M78" s="1" t="s">
        <v>1526</v>
      </c>
    </row>
    <row r="79" spans="1:13">
      <c r="A79" s="1" t="s">
        <v>1670</v>
      </c>
      <c r="B79" s="1" t="s">
        <v>1668</v>
      </c>
      <c r="C79" s="1" t="s">
        <v>507</v>
      </c>
      <c r="D79" s="1">
        <v>60</v>
      </c>
      <c r="E79" s="1">
        <v>18</v>
      </c>
      <c r="F79" s="1">
        <v>110</v>
      </c>
      <c r="G79" s="1" t="s">
        <v>1671</v>
      </c>
      <c r="H79" s="1" t="s">
        <v>40</v>
      </c>
      <c r="I79" s="1" t="s">
        <v>1672</v>
      </c>
      <c r="J79" s="1" t="s">
        <v>1672</v>
      </c>
      <c r="M79" s="1" t="s">
        <v>1526</v>
      </c>
    </row>
    <row r="80" spans="1:13">
      <c r="A80" s="1" t="s">
        <v>1673</v>
      </c>
      <c r="B80" s="1" t="s">
        <v>1668</v>
      </c>
      <c r="C80" s="1" t="s">
        <v>33</v>
      </c>
      <c r="D80" s="1">
        <v>30</v>
      </c>
      <c r="E80" s="1">
        <v>14</v>
      </c>
      <c r="F80" s="1">
        <v>95</v>
      </c>
      <c r="G80" s="1" t="s">
        <v>1674</v>
      </c>
      <c r="H80" s="1" t="s">
        <v>40</v>
      </c>
      <c r="I80" s="1" t="s">
        <v>917</v>
      </c>
      <c r="J80" s="1" t="s">
        <v>917</v>
      </c>
      <c r="M80" s="1" t="s">
        <v>1526</v>
      </c>
    </row>
  </sheetData>
  <pageMargins left="0.78749999999999998" right="0.78749999999999998" top="1.05277777777778" bottom="1.05277777777778" header="0.78749999999999998" footer="0.78749999999999998"/>
  <pageSetup paperSize="9" orientation="portrait" horizontalDpi="300" verticalDpi="300"/>
  <headerFooter>
    <oddHeader>&amp;C&amp;"Times New Roman,Regular"&amp;12&amp;Kffffff&amp;A</oddHeader>
    <oddFooter>&amp;C&amp;"Times New Roman,Regular"&amp;12&amp;KffffffPage &amp;P</oddFooter>
  </headerFooter>
</worksheet>
</file>

<file path=xl/worksheets/sheet2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B00-000000000000}">
  <dimension ref="A1:L1509"/>
  <sheetViews>
    <sheetView zoomScaleNormal="100" workbookViewId="0"/>
  </sheetViews>
  <sheetFormatPr baseColWidth="10" defaultColWidth="11.5703125" defaultRowHeight="15"/>
  <cols>
    <col min="1" max="2" width="20.42578125" style="1" customWidth="1"/>
    <col min="3" max="3" width="12.28515625" style="1" customWidth="1"/>
    <col min="4" max="4" width="30.7109375" style="1" customWidth="1"/>
    <col min="5" max="6" width="23.42578125" style="1" customWidth="1"/>
    <col min="7" max="7" width="9.140625" style="1" customWidth="1"/>
    <col min="8" max="8" width="13.28515625" style="1" customWidth="1"/>
    <col min="9" max="9" width="23.42578125" style="1" customWidth="1"/>
    <col min="10" max="10" width="30.7109375" style="1" customWidth="1"/>
    <col min="11" max="11" width="16.28515625" style="1" customWidth="1"/>
    <col min="12" max="12" width="26.5703125" style="1" customWidth="1"/>
  </cols>
  <sheetData>
    <row r="1" spans="1:12">
      <c r="A1" s="91" t="s">
        <v>498</v>
      </c>
      <c r="B1" s="91" t="s">
        <v>1516</v>
      </c>
      <c r="C1" s="91" t="s">
        <v>178</v>
      </c>
      <c r="D1" s="91" t="s">
        <v>1675</v>
      </c>
      <c r="E1" s="91" t="s">
        <v>503</v>
      </c>
      <c r="F1" s="91" t="s">
        <v>1676</v>
      </c>
      <c r="G1" s="91" t="s">
        <v>1677</v>
      </c>
      <c r="H1" s="91" t="s">
        <v>1523</v>
      </c>
      <c r="I1" s="91" t="s">
        <v>285</v>
      </c>
      <c r="J1" s="91" t="s">
        <v>574</v>
      </c>
      <c r="K1" s="91" t="s">
        <v>1678</v>
      </c>
      <c r="L1" s="91" t="s">
        <v>1679</v>
      </c>
    </row>
    <row r="2" spans="1:12">
      <c r="A2" s="1" t="s">
        <v>1524</v>
      </c>
      <c r="B2" s="1" t="s">
        <v>1525</v>
      </c>
      <c r="C2" s="1" t="s">
        <v>1680</v>
      </c>
      <c r="D2" s="1" t="s">
        <v>1681</v>
      </c>
      <c r="E2" s="92" t="s">
        <v>1682</v>
      </c>
      <c r="F2" s="92" t="s">
        <v>1683</v>
      </c>
      <c r="H2" s="1" t="s">
        <v>1684</v>
      </c>
    </row>
    <row r="3" spans="1:12">
      <c r="A3" s="1" t="s">
        <v>1524</v>
      </c>
      <c r="B3" s="1" t="s">
        <v>1525</v>
      </c>
      <c r="C3" s="1" t="s">
        <v>1680</v>
      </c>
      <c r="D3" s="1" t="s">
        <v>1685</v>
      </c>
      <c r="E3" s="1" t="s">
        <v>1526</v>
      </c>
      <c r="F3" s="1" t="s">
        <v>1526</v>
      </c>
      <c r="H3" s="1" t="s">
        <v>1684</v>
      </c>
    </row>
    <row r="4" spans="1:12">
      <c r="A4" s="1" t="s">
        <v>1524</v>
      </c>
      <c r="B4" s="1" t="s">
        <v>1525</v>
      </c>
      <c r="C4" s="1" t="s">
        <v>1686</v>
      </c>
      <c r="D4" s="1" t="s">
        <v>218</v>
      </c>
      <c r="E4" s="92" t="s">
        <v>1687</v>
      </c>
      <c r="F4" s="92" t="s">
        <v>1687</v>
      </c>
      <c r="G4" s="92" t="s">
        <v>1688</v>
      </c>
      <c r="H4" s="1" t="s">
        <v>1684</v>
      </c>
      <c r="I4" s="1" t="s">
        <v>1689</v>
      </c>
      <c r="J4" s="1" t="s">
        <v>1690</v>
      </c>
      <c r="K4" s="1" t="s">
        <v>1691</v>
      </c>
      <c r="L4" s="1" t="s">
        <v>1692</v>
      </c>
    </row>
    <row r="5" spans="1:12">
      <c r="A5" s="1" t="s">
        <v>1524</v>
      </c>
      <c r="B5" s="1" t="s">
        <v>1525</v>
      </c>
      <c r="C5" s="1" t="s">
        <v>1686</v>
      </c>
      <c r="D5" s="1" t="s">
        <v>1693</v>
      </c>
      <c r="E5" s="1" t="s">
        <v>1694</v>
      </c>
      <c r="F5" s="1" t="s">
        <v>1694</v>
      </c>
      <c r="H5" s="1" t="s">
        <v>1684</v>
      </c>
      <c r="I5" s="1" t="s">
        <v>1689</v>
      </c>
      <c r="J5" s="1" t="s">
        <v>1690</v>
      </c>
      <c r="K5" s="1" t="s">
        <v>1691</v>
      </c>
      <c r="L5" s="1" t="s">
        <v>1692</v>
      </c>
    </row>
    <row r="6" spans="1:12">
      <c r="A6" s="1" t="s">
        <v>1524</v>
      </c>
      <c r="B6" s="1" t="s">
        <v>1525</v>
      </c>
      <c r="C6" s="1" t="s">
        <v>1686</v>
      </c>
      <c r="D6" s="1" t="s">
        <v>1695</v>
      </c>
      <c r="E6" s="1" t="s">
        <v>1696</v>
      </c>
      <c r="F6" s="1" t="s">
        <v>1696</v>
      </c>
      <c r="H6" s="1" t="s">
        <v>1684</v>
      </c>
      <c r="I6" s="1" t="s">
        <v>1689</v>
      </c>
      <c r="J6" s="1" t="s">
        <v>1690</v>
      </c>
      <c r="K6" s="1" t="s">
        <v>1691</v>
      </c>
      <c r="L6" s="1" t="s">
        <v>1692</v>
      </c>
    </row>
    <row r="7" spans="1:12">
      <c r="A7" s="1" t="s">
        <v>1524</v>
      </c>
      <c r="B7" s="1" t="s">
        <v>1525</v>
      </c>
      <c r="C7" s="1" t="s">
        <v>1686</v>
      </c>
      <c r="D7" s="1" t="s">
        <v>1697</v>
      </c>
      <c r="E7" s="1" t="s">
        <v>1698</v>
      </c>
      <c r="F7" s="1" t="s">
        <v>1698</v>
      </c>
      <c r="H7" s="1" t="s">
        <v>1684</v>
      </c>
      <c r="I7" s="1" t="s">
        <v>1689</v>
      </c>
      <c r="J7" s="1" t="s">
        <v>1690</v>
      </c>
      <c r="K7" s="1" t="s">
        <v>1691</v>
      </c>
      <c r="L7" s="1" t="s">
        <v>1692</v>
      </c>
    </row>
    <row r="8" spans="1:12">
      <c r="A8" s="1" t="s">
        <v>1524</v>
      </c>
      <c r="B8" s="1" t="s">
        <v>1525</v>
      </c>
      <c r="C8" s="1" t="s">
        <v>1686</v>
      </c>
      <c r="D8" s="1" t="s">
        <v>1699</v>
      </c>
      <c r="E8" s="92" t="s">
        <v>1700</v>
      </c>
      <c r="F8" s="92" t="s">
        <v>1701</v>
      </c>
      <c r="H8" s="1" t="s">
        <v>1684</v>
      </c>
      <c r="I8" s="1" t="s">
        <v>1689</v>
      </c>
      <c r="J8" s="1" t="s">
        <v>1690</v>
      </c>
      <c r="K8" s="1" t="s">
        <v>1691</v>
      </c>
      <c r="L8" s="1" t="s">
        <v>1692</v>
      </c>
    </row>
    <row r="9" spans="1:12">
      <c r="A9" s="1" t="s">
        <v>1524</v>
      </c>
      <c r="B9" s="1" t="s">
        <v>1525</v>
      </c>
      <c r="C9" s="1" t="s">
        <v>1686</v>
      </c>
      <c r="D9" s="1" t="s">
        <v>1702</v>
      </c>
      <c r="E9" s="92" t="s">
        <v>1703</v>
      </c>
      <c r="F9" s="92" t="s">
        <v>1704</v>
      </c>
      <c r="H9" s="1" t="s">
        <v>1684</v>
      </c>
      <c r="I9" s="1" t="s">
        <v>1689</v>
      </c>
      <c r="J9" s="1" t="s">
        <v>1690</v>
      </c>
      <c r="K9" s="1" t="s">
        <v>1691</v>
      </c>
      <c r="L9" s="1" t="s">
        <v>1692</v>
      </c>
    </row>
    <row r="10" spans="1:12">
      <c r="A10" s="1" t="s">
        <v>1524</v>
      </c>
      <c r="B10" s="1" t="s">
        <v>1525</v>
      </c>
      <c r="C10" s="1" t="s">
        <v>1686</v>
      </c>
      <c r="D10" s="1" t="s">
        <v>1705</v>
      </c>
      <c r="E10" s="92" t="s">
        <v>1706</v>
      </c>
      <c r="F10" s="92" t="s">
        <v>1707</v>
      </c>
      <c r="H10" s="1" t="s">
        <v>1684</v>
      </c>
      <c r="I10" s="1" t="s">
        <v>1689</v>
      </c>
      <c r="J10" s="1" t="s">
        <v>1690</v>
      </c>
      <c r="K10" s="1" t="s">
        <v>1691</v>
      </c>
      <c r="L10" s="1" t="s">
        <v>1692</v>
      </c>
    </row>
    <row r="11" spans="1:12">
      <c r="A11" s="1" t="s">
        <v>1524</v>
      </c>
      <c r="B11" s="1" t="s">
        <v>1525</v>
      </c>
      <c r="C11" s="1" t="s">
        <v>1394</v>
      </c>
      <c r="D11" s="1" t="s">
        <v>1708</v>
      </c>
      <c r="E11" s="1" t="s">
        <v>1709</v>
      </c>
      <c r="F11" s="1" t="s">
        <v>1709</v>
      </c>
      <c r="H11" s="1" t="s">
        <v>1684</v>
      </c>
      <c r="I11" s="1" t="s">
        <v>973</v>
      </c>
      <c r="J11" s="1" t="s">
        <v>1710</v>
      </c>
      <c r="K11" s="1" t="s">
        <v>1691</v>
      </c>
      <c r="L11" s="1" t="s">
        <v>1692</v>
      </c>
    </row>
    <row r="12" spans="1:12">
      <c r="A12" s="1" t="s">
        <v>1524</v>
      </c>
      <c r="B12" s="1" t="s">
        <v>1525</v>
      </c>
      <c r="C12" s="1" t="s">
        <v>1711</v>
      </c>
      <c r="D12" s="1" t="s">
        <v>218</v>
      </c>
      <c r="E12" s="92" t="s">
        <v>1712</v>
      </c>
      <c r="F12" s="92" t="s">
        <v>1712</v>
      </c>
      <c r="G12" s="92" t="s">
        <v>1713</v>
      </c>
      <c r="H12" s="1" t="s">
        <v>1684</v>
      </c>
      <c r="I12" s="1" t="s">
        <v>1689</v>
      </c>
      <c r="J12" s="1" t="s">
        <v>1714</v>
      </c>
      <c r="K12" s="1" t="s">
        <v>1715</v>
      </c>
      <c r="L12" s="1" t="s">
        <v>1716</v>
      </c>
    </row>
    <row r="13" spans="1:12">
      <c r="A13" s="1" t="s">
        <v>1524</v>
      </c>
      <c r="B13" s="1" t="s">
        <v>1525</v>
      </c>
      <c r="C13" s="1" t="s">
        <v>1711</v>
      </c>
      <c r="D13" s="1" t="s">
        <v>1693</v>
      </c>
      <c r="E13" s="1" t="s">
        <v>1694</v>
      </c>
      <c r="F13" s="1" t="s">
        <v>1694</v>
      </c>
      <c r="H13" s="1" t="s">
        <v>1684</v>
      </c>
      <c r="I13" s="1" t="s">
        <v>1689</v>
      </c>
      <c r="J13" s="1" t="s">
        <v>1714</v>
      </c>
      <c r="K13" s="1" t="s">
        <v>1715</v>
      </c>
      <c r="L13" s="1" t="s">
        <v>1716</v>
      </c>
    </row>
    <row r="14" spans="1:12">
      <c r="A14" s="1" t="s">
        <v>1524</v>
      </c>
      <c r="B14" s="1" t="s">
        <v>1525</v>
      </c>
      <c r="C14" s="1" t="s">
        <v>1711</v>
      </c>
      <c r="D14" s="1" t="s">
        <v>1695</v>
      </c>
      <c r="E14" s="1" t="s">
        <v>1694</v>
      </c>
      <c r="F14" s="1" t="s">
        <v>1694</v>
      </c>
      <c r="H14" s="1" t="s">
        <v>1684</v>
      </c>
      <c r="I14" s="1" t="s">
        <v>1689</v>
      </c>
      <c r="J14" s="1" t="s">
        <v>1714</v>
      </c>
      <c r="K14" s="1" t="s">
        <v>1715</v>
      </c>
      <c r="L14" s="1" t="s">
        <v>1716</v>
      </c>
    </row>
    <row r="15" spans="1:12">
      <c r="A15" s="1" t="s">
        <v>1524</v>
      </c>
      <c r="B15" s="1" t="s">
        <v>1525</v>
      </c>
      <c r="C15" s="1" t="s">
        <v>1711</v>
      </c>
      <c r="D15" s="1" t="s">
        <v>1697</v>
      </c>
      <c r="E15" s="1" t="s">
        <v>1698</v>
      </c>
      <c r="F15" s="1" t="s">
        <v>1698</v>
      </c>
      <c r="H15" s="1" t="s">
        <v>1684</v>
      </c>
      <c r="I15" s="1" t="s">
        <v>1689</v>
      </c>
      <c r="J15" s="1" t="s">
        <v>1714</v>
      </c>
      <c r="K15" s="1" t="s">
        <v>1715</v>
      </c>
      <c r="L15" s="1" t="s">
        <v>1716</v>
      </c>
    </row>
    <row r="16" spans="1:12">
      <c r="A16" s="1" t="s">
        <v>1524</v>
      </c>
      <c r="B16" s="1" t="s">
        <v>1525</v>
      </c>
      <c r="C16" s="1" t="s">
        <v>1711</v>
      </c>
      <c r="D16" s="1" t="s">
        <v>1699</v>
      </c>
      <c r="E16" s="92" t="s">
        <v>1717</v>
      </c>
      <c r="F16" s="92" t="s">
        <v>1718</v>
      </c>
      <c r="H16" s="1" t="s">
        <v>1684</v>
      </c>
      <c r="I16" s="1" t="s">
        <v>1689</v>
      </c>
      <c r="J16" s="1" t="s">
        <v>1714</v>
      </c>
      <c r="K16" s="1" t="s">
        <v>1715</v>
      </c>
      <c r="L16" s="1" t="s">
        <v>1716</v>
      </c>
    </row>
    <row r="17" spans="1:12">
      <c r="A17" s="1" t="s">
        <v>1524</v>
      </c>
      <c r="B17" s="1" t="s">
        <v>1525</v>
      </c>
      <c r="C17" s="1" t="s">
        <v>1711</v>
      </c>
      <c r="D17" s="1" t="s">
        <v>1702</v>
      </c>
      <c r="E17" s="92" t="s">
        <v>1719</v>
      </c>
      <c r="F17" s="92" t="s">
        <v>1720</v>
      </c>
      <c r="H17" s="1" t="s">
        <v>1684</v>
      </c>
      <c r="I17" s="1" t="s">
        <v>1689</v>
      </c>
      <c r="J17" s="1" t="s">
        <v>1714</v>
      </c>
      <c r="K17" s="1" t="s">
        <v>1715</v>
      </c>
      <c r="L17" s="1" t="s">
        <v>1716</v>
      </c>
    </row>
    <row r="18" spans="1:12">
      <c r="A18" s="1" t="s">
        <v>1524</v>
      </c>
      <c r="B18" s="1" t="s">
        <v>1525</v>
      </c>
      <c r="C18" s="1" t="s">
        <v>1711</v>
      </c>
      <c r="D18" s="1" t="s">
        <v>1705</v>
      </c>
      <c r="E18" s="92" t="s">
        <v>1721</v>
      </c>
      <c r="F18" s="92" t="s">
        <v>1722</v>
      </c>
      <c r="H18" s="1" t="s">
        <v>1684</v>
      </c>
      <c r="I18" s="1" t="s">
        <v>1689</v>
      </c>
      <c r="J18" s="1" t="s">
        <v>1714</v>
      </c>
      <c r="K18" s="1" t="s">
        <v>1715</v>
      </c>
      <c r="L18" s="1" t="s">
        <v>1716</v>
      </c>
    </row>
    <row r="19" spans="1:12">
      <c r="A19" s="1" t="s">
        <v>1524</v>
      </c>
      <c r="B19" s="1" t="s">
        <v>1525</v>
      </c>
      <c r="C19" s="1" t="s">
        <v>1723</v>
      </c>
      <c r="D19" s="1" t="s">
        <v>218</v>
      </c>
      <c r="E19" s="92" t="s">
        <v>1724</v>
      </c>
      <c r="F19" s="92" t="s">
        <v>1724</v>
      </c>
      <c r="G19" s="92" t="s">
        <v>1725</v>
      </c>
      <c r="H19" s="1" t="s">
        <v>1684</v>
      </c>
      <c r="I19" s="1" t="s">
        <v>973</v>
      </c>
      <c r="J19" s="1" t="s">
        <v>1726</v>
      </c>
      <c r="K19" s="1" t="s">
        <v>1727</v>
      </c>
      <c r="L19" s="1" t="s">
        <v>1728</v>
      </c>
    </row>
    <row r="20" spans="1:12">
      <c r="A20" s="1" t="s">
        <v>1524</v>
      </c>
      <c r="B20" s="1" t="s">
        <v>1525</v>
      </c>
      <c r="C20" s="1" t="s">
        <v>1723</v>
      </c>
      <c r="D20" s="1" t="s">
        <v>1693</v>
      </c>
      <c r="E20" s="1" t="s">
        <v>1694</v>
      </c>
      <c r="F20" s="1" t="s">
        <v>1694</v>
      </c>
      <c r="H20" s="1" t="s">
        <v>1684</v>
      </c>
      <c r="I20" s="1" t="s">
        <v>973</v>
      </c>
      <c r="J20" s="1" t="s">
        <v>1726</v>
      </c>
      <c r="K20" s="1" t="s">
        <v>1727</v>
      </c>
      <c r="L20" s="1" t="s">
        <v>1728</v>
      </c>
    </row>
    <row r="21" spans="1:12">
      <c r="A21" s="1" t="s">
        <v>1524</v>
      </c>
      <c r="B21" s="1" t="s">
        <v>1525</v>
      </c>
      <c r="C21" s="1" t="s">
        <v>1723</v>
      </c>
      <c r="D21" s="1" t="s">
        <v>1695</v>
      </c>
      <c r="E21" s="1" t="s">
        <v>1694</v>
      </c>
      <c r="F21" s="1" t="s">
        <v>1694</v>
      </c>
      <c r="H21" s="1" t="s">
        <v>1684</v>
      </c>
      <c r="I21" s="1" t="s">
        <v>973</v>
      </c>
      <c r="J21" s="1" t="s">
        <v>1726</v>
      </c>
      <c r="K21" s="1" t="s">
        <v>1727</v>
      </c>
      <c r="L21" s="1" t="s">
        <v>1728</v>
      </c>
    </row>
    <row r="22" spans="1:12">
      <c r="A22" s="1" t="s">
        <v>1524</v>
      </c>
      <c r="B22" s="1" t="s">
        <v>1525</v>
      </c>
      <c r="C22" s="1" t="s">
        <v>1723</v>
      </c>
      <c r="D22" s="1" t="s">
        <v>1697</v>
      </c>
      <c r="E22" s="1" t="s">
        <v>1698</v>
      </c>
      <c r="F22" s="1" t="s">
        <v>1698</v>
      </c>
      <c r="H22" s="1" t="s">
        <v>1684</v>
      </c>
      <c r="I22" s="1" t="s">
        <v>973</v>
      </c>
      <c r="J22" s="1" t="s">
        <v>1726</v>
      </c>
      <c r="K22" s="1" t="s">
        <v>1727</v>
      </c>
      <c r="L22" s="1" t="s">
        <v>1728</v>
      </c>
    </row>
    <row r="23" spans="1:12">
      <c r="A23" s="1" t="s">
        <v>1524</v>
      </c>
      <c r="B23" s="1" t="s">
        <v>1525</v>
      </c>
      <c r="C23" s="1" t="s">
        <v>1729</v>
      </c>
      <c r="D23" s="1" t="s">
        <v>1708</v>
      </c>
      <c r="E23" s="1" t="s">
        <v>1730</v>
      </c>
      <c r="F23" s="1" t="s">
        <v>1730</v>
      </c>
      <c r="H23" s="1" t="s">
        <v>1684</v>
      </c>
      <c r="I23" s="1" t="s">
        <v>1731</v>
      </c>
      <c r="J23" s="1" t="s">
        <v>1732</v>
      </c>
      <c r="K23" s="1" t="s">
        <v>1733</v>
      </c>
      <c r="L23" s="1" t="s">
        <v>1734</v>
      </c>
    </row>
    <row r="24" spans="1:12">
      <c r="A24" s="1" t="s">
        <v>1528</v>
      </c>
      <c r="B24" s="1" t="s">
        <v>1525</v>
      </c>
      <c r="C24" s="1" t="s">
        <v>1680</v>
      </c>
      <c r="D24" s="1" t="s">
        <v>1681</v>
      </c>
      <c r="E24" s="92" t="s">
        <v>1735</v>
      </c>
      <c r="F24" s="92" t="s">
        <v>1736</v>
      </c>
      <c r="H24" s="1" t="s">
        <v>1684</v>
      </c>
    </row>
    <row r="25" spans="1:12">
      <c r="A25" s="1" t="s">
        <v>1528</v>
      </c>
      <c r="B25" s="1" t="s">
        <v>1525</v>
      </c>
      <c r="C25" s="1" t="s">
        <v>1680</v>
      </c>
      <c r="D25" s="1" t="s">
        <v>1685</v>
      </c>
      <c r="E25" s="1" t="s">
        <v>1526</v>
      </c>
      <c r="F25" s="1" t="s">
        <v>1526</v>
      </c>
      <c r="H25" s="1" t="s">
        <v>1684</v>
      </c>
    </row>
    <row r="26" spans="1:12">
      <c r="A26" s="1" t="s">
        <v>1528</v>
      </c>
      <c r="B26" s="1" t="s">
        <v>1525</v>
      </c>
      <c r="C26" s="1" t="s">
        <v>1686</v>
      </c>
      <c r="D26" s="1" t="s">
        <v>218</v>
      </c>
      <c r="E26" s="92" t="s">
        <v>1737</v>
      </c>
      <c r="F26" s="92" t="s">
        <v>1737</v>
      </c>
      <c r="G26" s="92" t="s">
        <v>1738</v>
      </c>
      <c r="H26" s="1" t="s">
        <v>1684</v>
      </c>
      <c r="I26" s="1" t="s">
        <v>1689</v>
      </c>
      <c r="J26" s="1" t="s">
        <v>1690</v>
      </c>
      <c r="K26" s="1" t="s">
        <v>1691</v>
      </c>
      <c r="L26" s="1" t="s">
        <v>1692</v>
      </c>
    </row>
    <row r="27" spans="1:12">
      <c r="A27" s="1" t="s">
        <v>1528</v>
      </c>
      <c r="B27" s="1" t="s">
        <v>1525</v>
      </c>
      <c r="C27" s="1" t="s">
        <v>1686</v>
      </c>
      <c r="D27" s="1" t="s">
        <v>1693</v>
      </c>
      <c r="E27" s="1" t="s">
        <v>1694</v>
      </c>
      <c r="F27" s="1" t="s">
        <v>1694</v>
      </c>
      <c r="H27" s="1" t="s">
        <v>1684</v>
      </c>
      <c r="I27" s="1" t="s">
        <v>1689</v>
      </c>
      <c r="J27" s="1" t="s">
        <v>1690</v>
      </c>
      <c r="K27" s="1" t="s">
        <v>1691</v>
      </c>
      <c r="L27" s="1" t="s">
        <v>1692</v>
      </c>
    </row>
    <row r="28" spans="1:12">
      <c r="A28" s="1" t="s">
        <v>1528</v>
      </c>
      <c r="B28" s="1" t="s">
        <v>1525</v>
      </c>
      <c r="C28" s="1" t="s">
        <v>1686</v>
      </c>
      <c r="D28" s="1" t="s">
        <v>1695</v>
      </c>
      <c r="E28" s="1" t="s">
        <v>1696</v>
      </c>
      <c r="F28" s="1" t="s">
        <v>1696</v>
      </c>
      <c r="H28" s="1" t="s">
        <v>1684</v>
      </c>
      <c r="I28" s="1" t="s">
        <v>1689</v>
      </c>
      <c r="J28" s="1" t="s">
        <v>1690</v>
      </c>
      <c r="K28" s="1" t="s">
        <v>1691</v>
      </c>
      <c r="L28" s="1" t="s">
        <v>1692</v>
      </c>
    </row>
    <row r="29" spans="1:12">
      <c r="A29" s="1" t="s">
        <v>1528</v>
      </c>
      <c r="B29" s="1" t="s">
        <v>1525</v>
      </c>
      <c r="C29" s="1" t="s">
        <v>1686</v>
      </c>
      <c r="D29" s="1" t="s">
        <v>1697</v>
      </c>
      <c r="E29" s="1" t="s">
        <v>1698</v>
      </c>
      <c r="F29" s="1" t="s">
        <v>1698</v>
      </c>
      <c r="H29" s="1" t="s">
        <v>1684</v>
      </c>
      <c r="I29" s="1" t="s">
        <v>1689</v>
      </c>
      <c r="J29" s="1" t="s">
        <v>1690</v>
      </c>
      <c r="K29" s="1" t="s">
        <v>1691</v>
      </c>
      <c r="L29" s="1" t="s">
        <v>1692</v>
      </c>
    </row>
    <row r="30" spans="1:12">
      <c r="A30" s="1" t="s">
        <v>1528</v>
      </c>
      <c r="B30" s="1" t="s">
        <v>1525</v>
      </c>
      <c r="C30" s="1" t="s">
        <v>1686</v>
      </c>
      <c r="D30" s="1" t="s">
        <v>1699</v>
      </c>
      <c r="E30" s="92" t="s">
        <v>1739</v>
      </c>
      <c r="F30" s="92" t="s">
        <v>1740</v>
      </c>
      <c r="H30" s="1" t="s">
        <v>1684</v>
      </c>
      <c r="I30" s="1" t="s">
        <v>1689</v>
      </c>
      <c r="J30" s="1" t="s">
        <v>1690</v>
      </c>
      <c r="K30" s="1" t="s">
        <v>1691</v>
      </c>
      <c r="L30" s="1" t="s">
        <v>1692</v>
      </c>
    </row>
    <row r="31" spans="1:12">
      <c r="A31" s="1" t="s">
        <v>1528</v>
      </c>
      <c r="B31" s="1" t="s">
        <v>1525</v>
      </c>
      <c r="C31" s="1" t="s">
        <v>1686</v>
      </c>
      <c r="D31" s="1" t="s">
        <v>1702</v>
      </c>
      <c r="E31" s="92" t="s">
        <v>1741</v>
      </c>
      <c r="F31" s="92" t="s">
        <v>1741</v>
      </c>
      <c r="H31" s="1" t="s">
        <v>1684</v>
      </c>
      <c r="I31" s="1" t="s">
        <v>1689</v>
      </c>
      <c r="J31" s="1" t="s">
        <v>1690</v>
      </c>
      <c r="K31" s="1" t="s">
        <v>1691</v>
      </c>
      <c r="L31" s="1" t="s">
        <v>1692</v>
      </c>
    </row>
    <row r="32" spans="1:12">
      <c r="A32" s="1" t="s">
        <v>1528</v>
      </c>
      <c r="B32" s="1" t="s">
        <v>1525</v>
      </c>
      <c r="C32" s="1" t="s">
        <v>1686</v>
      </c>
      <c r="D32" s="1" t="s">
        <v>1705</v>
      </c>
      <c r="E32" s="92" t="s">
        <v>1742</v>
      </c>
      <c r="F32" s="92" t="s">
        <v>1743</v>
      </c>
      <c r="H32" s="1" t="s">
        <v>1684</v>
      </c>
      <c r="I32" s="1" t="s">
        <v>1689</v>
      </c>
      <c r="J32" s="1" t="s">
        <v>1690</v>
      </c>
      <c r="K32" s="1" t="s">
        <v>1691</v>
      </c>
      <c r="L32" s="1" t="s">
        <v>1692</v>
      </c>
    </row>
    <row r="33" spans="1:12">
      <c r="A33" s="1" t="s">
        <v>1528</v>
      </c>
      <c r="B33" s="1" t="s">
        <v>1525</v>
      </c>
      <c r="C33" s="1" t="s">
        <v>1394</v>
      </c>
      <c r="D33" s="1" t="s">
        <v>1708</v>
      </c>
      <c r="E33" s="1" t="s">
        <v>1709</v>
      </c>
      <c r="F33" s="1" t="s">
        <v>1709</v>
      </c>
      <c r="H33" s="1" t="s">
        <v>1684</v>
      </c>
      <c r="I33" s="1" t="s">
        <v>973</v>
      </c>
      <c r="J33" s="1" t="s">
        <v>1710</v>
      </c>
      <c r="K33" s="1" t="s">
        <v>1691</v>
      </c>
      <c r="L33" s="1" t="s">
        <v>1692</v>
      </c>
    </row>
    <row r="34" spans="1:12">
      <c r="A34" s="1" t="s">
        <v>1528</v>
      </c>
      <c r="B34" s="1" t="s">
        <v>1525</v>
      </c>
      <c r="C34" s="1" t="s">
        <v>1711</v>
      </c>
      <c r="D34" s="1" t="s">
        <v>218</v>
      </c>
      <c r="E34" s="92" t="s">
        <v>1744</v>
      </c>
      <c r="F34" s="92" t="s">
        <v>1744</v>
      </c>
      <c r="G34" s="92" t="s">
        <v>1725</v>
      </c>
      <c r="H34" s="1" t="s">
        <v>1684</v>
      </c>
      <c r="I34" s="1" t="s">
        <v>1689</v>
      </c>
      <c r="J34" s="1" t="s">
        <v>1714</v>
      </c>
      <c r="K34" s="1" t="s">
        <v>1715</v>
      </c>
      <c r="L34" s="1" t="s">
        <v>1716</v>
      </c>
    </row>
    <row r="35" spans="1:12">
      <c r="A35" s="1" t="s">
        <v>1528</v>
      </c>
      <c r="B35" s="1" t="s">
        <v>1525</v>
      </c>
      <c r="C35" s="1" t="s">
        <v>1711</v>
      </c>
      <c r="D35" s="1" t="s">
        <v>1693</v>
      </c>
      <c r="E35" s="1" t="s">
        <v>1745</v>
      </c>
      <c r="F35" s="1" t="s">
        <v>1745</v>
      </c>
      <c r="H35" s="1" t="s">
        <v>1684</v>
      </c>
      <c r="I35" s="1" t="s">
        <v>1689</v>
      </c>
      <c r="J35" s="1" t="s">
        <v>1714</v>
      </c>
      <c r="K35" s="1" t="s">
        <v>1715</v>
      </c>
      <c r="L35" s="1" t="s">
        <v>1716</v>
      </c>
    </row>
    <row r="36" spans="1:12">
      <c r="A36" s="1" t="s">
        <v>1528</v>
      </c>
      <c r="B36" s="1" t="s">
        <v>1525</v>
      </c>
      <c r="C36" s="1" t="s">
        <v>1711</v>
      </c>
      <c r="D36" s="1" t="s">
        <v>1695</v>
      </c>
      <c r="E36" s="1" t="s">
        <v>1746</v>
      </c>
      <c r="F36" s="1" t="s">
        <v>1746</v>
      </c>
      <c r="H36" s="1" t="s">
        <v>1684</v>
      </c>
      <c r="I36" s="1" t="s">
        <v>1689</v>
      </c>
      <c r="J36" s="1" t="s">
        <v>1714</v>
      </c>
      <c r="K36" s="1" t="s">
        <v>1715</v>
      </c>
      <c r="L36" s="1" t="s">
        <v>1716</v>
      </c>
    </row>
    <row r="37" spans="1:12">
      <c r="A37" s="1" t="s">
        <v>1528</v>
      </c>
      <c r="B37" s="1" t="s">
        <v>1525</v>
      </c>
      <c r="C37" s="1" t="s">
        <v>1711</v>
      </c>
      <c r="D37" s="1" t="s">
        <v>1697</v>
      </c>
      <c r="E37" s="1" t="s">
        <v>1698</v>
      </c>
      <c r="F37" s="1" t="s">
        <v>1698</v>
      </c>
      <c r="H37" s="1" t="s">
        <v>1684</v>
      </c>
      <c r="I37" s="1" t="s">
        <v>1689</v>
      </c>
      <c r="J37" s="1" t="s">
        <v>1714</v>
      </c>
      <c r="K37" s="1" t="s">
        <v>1715</v>
      </c>
      <c r="L37" s="1" t="s">
        <v>1716</v>
      </c>
    </row>
    <row r="38" spans="1:12">
      <c r="A38" s="1" t="s">
        <v>1528</v>
      </c>
      <c r="B38" s="1" t="s">
        <v>1525</v>
      </c>
      <c r="C38" s="1" t="s">
        <v>1711</v>
      </c>
      <c r="D38" s="1" t="s">
        <v>1699</v>
      </c>
      <c r="E38" s="92" t="s">
        <v>1717</v>
      </c>
      <c r="F38" s="92" t="s">
        <v>1718</v>
      </c>
      <c r="H38" s="1" t="s">
        <v>1684</v>
      </c>
      <c r="I38" s="1" t="s">
        <v>1689</v>
      </c>
      <c r="J38" s="1" t="s">
        <v>1714</v>
      </c>
      <c r="K38" s="1" t="s">
        <v>1715</v>
      </c>
      <c r="L38" s="1" t="s">
        <v>1716</v>
      </c>
    </row>
    <row r="39" spans="1:12">
      <c r="A39" s="1" t="s">
        <v>1528</v>
      </c>
      <c r="B39" s="1" t="s">
        <v>1525</v>
      </c>
      <c r="C39" s="1" t="s">
        <v>1711</v>
      </c>
      <c r="D39" s="1" t="s">
        <v>1702</v>
      </c>
      <c r="E39" s="92" t="s">
        <v>1747</v>
      </c>
      <c r="F39" s="92" t="s">
        <v>1748</v>
      </c>
      <c r="H39" s="1" t="s">
        <v>1684</v>
      </c>
      <c r="I39" s="1" t="s">
        <v>1689</v>
      </c>
      <c r="J39" s="1" t="s">
        <v>1714</v>
      </c>
      <c r="K39" s="1" t="s">
        <v>1715</v>
      </c>
      <c r="L39" s="1" t="s">
        <v>1716</v>
      </c>
    </row>
    <row r="40" spans="1:12">
      <c r="A40" s="1" t="s">
        <v>1528</v>
      </c>
      <c r="B40" s="1" t="s">
        <v>1525</v>
      </c>
      <c r="C40" s="1" t="s">
        <v>1711</v>
      </c>
      <c r="D40" s="1" t="s">
        <v>1705</v>
      </c>
      <c r="E40" s="92" t="s">
        <v>1749</v>
      </c>
      <c r="F40" s="92" t="s">
        <v>1750</v>
      </c>
      <c r="H40" s="1" t="s">
        <v>1684</v>
      </c>
      <c r="I40" s="1" t="s">
        <v>1689</v>
      </c>
      <c r="J40" s="1" t="s">
        <v>1714</v>
      </c>
      <c r="K40" s="1" t="s">
        <v>1715</v>
      </c>
      <c r="L40" s="1" t="s">
        <v>1716</v>
      </c>
    </row>
    <row r="41" spans="1:12">
      <c r="A41" s="1" t="s">
        <v>1528</v>
      </c>
      <c r="B41" s="1" t="s">
        <v>1525</v>
      </c>
      <c r="C41" s="1" t="s">
        <v>1723</v>
      </c>
      <c r="D41" s="1" t="s">
        <v>218</v>
      </c>
      <c r="E41" s="92" t="s">
        <v>1751</v>
      </c>
      <c r="F41" s="92" t="s">
        <v>1751</v>
      </c>
      <c r="G41" s="92" t="s">
        <v>1688</v>
      </c>
      <c r="H41" s="1" t="s">
        <v>1684</v>
      </c>
      <c r="I41" s="1" t="s">
        <v>973</v>
      </c>
      <c r="J41" s="1" t="s">
        <v>1726</v>
      </c>
      <c r="K41" s="1" t="s">
        <v>1727</v>
      </c>
      <c r="L41" s="1" t="s">
        <v>1728</v>
      </c>
    </row>
    <row r="42" spans="1:12">
      <c r="A42" s="1" t="s">
        <v>1528</v>
      </c>
      <c r="B42" s="1" t="s">
        <v>1525</v>
      </c>
      <c r="C42" s="1" t="s">
        <v>1723</v>
      </c>
      <c r="D42" s="1" t="s">
        <v>1693</v>
      </c>
      <c r="E42" s="1" t="s">
        <v>1694</v>
      </c>
      <c r="F42" s="1" t="s">
        <v>1694</v>
      </c>
      <c r="H42" s="1" t="s">
        <v>1684</v>
      </c>
      <c r="I42" s="1" t="s">
        <v>973</v>
      </c>
      <c r="J42" s="1" t="s">
        <v>1726</v>
      </c>
      <c r="K42" s="1" t="s">
        <v>1727</v>
      </c>
      <c r="L42" s="1" t="s">
        <v>1728</v>
      </c>
    </row>
    <row r="43" spans="1:12">
      <c r="A43" s="1" t="s">
        <v>1528</v>
      </c>
      <c r="B43" s="1" t="s">
        <v>1525</v>
      </c>
      <c r="C43" s="1" t="s">
        <v>1723</v>
      </c>
      <c r="D43" s="1" t="s">
        <v>1695</v>
      </c>
      <c r="E43" s="1" t="s">
        <v>1694</v>
      </c>
      <c r="F43" s="1" t="s">
        <v>1694</v>
      </c>
      <c r="H43" s="1" t="s">
        <v>1684</v>
      </c>
      <c r="I43" s="1" t="s">
        <v>973</v>
      </c>
      <c r="J43" s="1" t="s">
        <v>1726</v>
      </c>
      <c r="K43" s="1" t="s">
        <v>1727</v>
      </c>
      <c r="L43" s="1" t="s">
        <v>1728</v>
      </c>
    </row>
    <row r="44" spans="1:12">
      <c r="A44" s="1" t="s">
        <v>1528</v>
      </c>
      <c r="B44" s="1" t="s">
        <v>1525</v>
      </c>
      <c r="C44" s="1" t="s">
        <v>1723</v>
      </c>
      <c r="D44" s="1" t="s">
        <v>1697</v>
      </c>
      <c r="E44" s="1" t="s">
        <v>1698</v>
      </c>
      <c r="F44" s="1" t="s">
        <v>1698</v>
      </c>
      <c r="H44" s="1" t="s">
        <v>1684</v>
      </c>
      <c r="I44" s="1" t="s">
        <v>973</v>
      </c>
      <c r="J44" s="1" t="s">
        <v>1726</v>
      </c>
      <c r="K44" s="1" t="s">
        <v>1727</v>
      </c>
      <c r="L44" s="1" t="s">
        <v>1728</v>
      </c>
    </row>
    <row r="45" spans="1:12">
      <c r="A45" s="1" t="s">
        <v>1528</v>
      </c>
      <c r="B45" s="1" t="s">
        <v>1525</v>
      </c>
      <c r="C45" s="1" t="s">
        <v>1729</v>
      </c>
      <c r="D45" s="1" t="s">
        <v>1708</v>
      </c>
      <c r="E45" s="1" t="s">
        <v>1730</v>
      </c>
      <c r="F45" s="1" t="s">
        <v>1730</v>
      </c>
      <c r="H45" s="1" t="s">
        <v>1684</v>
      </c>
      <c r="I45" s="1" t="s">
        <v>1731</v>
      </c>
      <c r="J45" s="1" t="s">
        <v>1732</v>
      </c>
      <c r="K45" s="1" t="s">
        <v>1733</v>
      </c>
      <c r="L45" s="1" t="s">
        <v>1734</v>
      </c>
    </row>
    <row r="46" spans="1:12">
      <c r="A46" s="1" t="s">
        <v>1530</v>
      </c>
      <c r="B46" s="1" t="s">
        <v>1525</v>
      </c>
      <c r="C46" s="1" t="s">
        <v>1680</v>
      </c>
      <c r="D46" s="1" t="s">
        <v>1681</v>
      </c>
      <c r="E46" s="92" t="s">
        <v>1752</v>
      </c>
      <c r="F46" s="92" t="s">
        <v>1753</v>
      </c>
      <c r="H46" s="1" t="s">
        <v>1684</v>
      </c>
    </row>
    <row r="47" spans="1:12">
      <c r="A47" s="1" t="s">
        <v>1530</v>
      </c>
      <c r="B47" s="1" t="s">
        <v>1525</v>
      </c>
      <c r="C47" s="1" t="s">
        <v>1680</v>
      </c>
      <c r="D47" s="1" t="s">
        <v>1685</v>
      </c>
      <c r="E47" s="1" t="s">
        <v>1526</v>
      </c>
      <c r="F47" s="1" t="s">
        <v>1526</v>
      </c>
      <c r="H47" s="1" t="s">
        <v>1684</v>
      </c>
    </row>
    <row r="48" spans="1:12">
      <c r="A48" s="1" t="s">
        <v>1530</v>
      </c>
      <c r="B48" s="1" t="s">
        <v>1525</v>
      </c>
      <c r="C48" s="1" t="s">
        <v>1686</v>
      </c>
      <c r="D48" s="1" t="s">
        <v>218</v>
      </c>
      <c r="E48" s="92" t="s">
        <v>1754</v>
      </c>
      <c r="F48" s="92" t="s">
        <v>1754</v>
      </c>
      <c r="G48" s="92" t="s">
        <v>1755</v>
      </c>
      <c r="H48" s="1" t="s">
        <v>1684</v>
      </c>
      <c r="I48" s="1" t="s">
        <v>1689</v>
      </c>
      <c r="J48" s="1" t="s">
        <v>1690</v>
      </c>
      <c r="K48" s="1" t="s">
        <v>1691</v>
      </c>
      <c r="L48" s="1" t="s">
        <v>1692</v>
      </c>
    </row>
    <row r="49" spans="1:12">
      <c r="A49" s="1" t="s">
        <v>1530</v>
      </c>
      <c r="B49" s="1" t="s">
        <v>1525</v>
      </c>
      <c r="C49" s="1" t="s">
        <v>1686</v>
      </c>
      <c r="D49" s="1" t="s">
        <v>1693</v>
      </c>
      <c r="E49" s="1" t="s">
        <v>1756</v>
      </c>
      <c r="F49" s="1" t="s">
        <v>1756</v>
      </c>
      <c r="H49" s="1" t="s">
        <v>1684</v>
      </c>
      <c r="I49" s="1" t="s">
        <v>1689</v>
      </c>
      <c r="J49" s="1" t="s">
        <v>1690</v>
      </c>
      <c r="K49" s="1" t="s">
        <v>1691</v>
      </c>
      <c r="L49" s="1" t="s">
        <v>1692</v>
      </c>
    </row>
    <row r="50" spans="1:12">
      <c r="A50" s="1" t="s">
        <v>1530</v>
      </c>
      <c r="B50" s="1" t="s">
        <v>1525</v>
      </c>
      <c r="C50" s="1" t="s">
        <v>1686</v>
      </c>
      <c r="D50" s="1" t="s">
        <v>1695</v>
      </c>
      <c r="E50" s="1" t="s">
        <v>1757</v>
      </c>
      <c r="F50" s="1" t="s">
        <v>1757</v>
      </c>
      <c r="H50" s="1" t="s">
        <v>1684</v>
      </c>
      <c r="I50" s="1" t="s">
        <v>1689</v>
      </c>
      <c r="J50" s="1" t="s">
        <v>1690</v>
      </c>
      <c r="K50" s="1" t="s">
        <v>1691</v>
      </c>
      <c r="L50" s="1" t="s">
        <v>1692</v>
      </c>
    </row>
    <row r="51" spans="1:12">
      <c r="A51" s="1" t="s">
        <v>1530</v>
      </c>
      <c r="B51" s="1" t="s">
        <v>1525</v>
      </c>
      <c r="C51" s="1" t="s">
        <v>1686</v>
      </c>
      <c r="D51" s="1" t="s">
        <v>1697</v>
      </c>
      <c r="E51" s="1" t="s">
        <v>1698</v>
      </c>
      <c r="F51" s="1" t="s">
        <v>1698</v>
      </c>
      <c r="H51" s="1" t="s">
        <v>1684</v>
      </c>
      <c r="I51" s="1" t="s">
        <v>1689</v>
      </c>
      <c r="J51" s="1" t="s">
        <v>1690</v>
      </c>
      <c r="K51" s="1" t="s">
        <v>1691</v>
      </c>
      <c r="L51" s="1" t="s">
        <v>1692</v>
      </c>
    </row>
    <row r="52" spans="1:12">
      <c r="A52" s="1" t="s">
        <v>1530</v>
      </c>
      <c r="B52" s="1" t="s">
        <v>1525</v>
      </c>
      <c r="C52" s="1" t="s">
        <v>1686</v>
      </c>
      <c r="D52" s="1" t="s">
        <v>1699</v>
      </c>
      <c r="E52" s="92" t="s">
        <v>1758</v>
      </c>
      <c r="F52" s="92" t="s">
        <v>1759</v>
      </c>
      <c r="H52" s="1" t="s">
        <v>1684</v>
      </c>
      <c r="I52" s="1" t="s">
        <v>1689</v>
      </c>
      <c r="J52" s="1" t="s">
        <v>1690</v>
      </c>
      <c r="K52" s="1" t="s">
        <v>1691</v>
      </c>
      <c r="L52" s="1" t="s">
        <v>1692</v>
      </c>
    </row>
    <row r="53" spans="1:12">
      <c r="A53" s="1" t="s">
        <v>1530</v>
      </c>
      <c r="B53" s="1" t="s">
        <v>1525</v>
      </c>
      <c r="C53" s="1" t="s">
        <v>1686</v>
      </c>
      <c r="D53" s="1" t="s">
        <v>1702</v>
      </c>
      <c r="E53" s="92" t="s">
        <v>1760</v>
      </c>
      <c r="F53" s="92" t="s">
        <v>1761</v>
      </c>
      <c r="H53" s="1" t="s">
        <v>1684</v>
      </c>
      <c r="I53" s="1" t="s">
        <v>1689</v>
      </c>
      <c r="J53" s="1" t="s">
        <v>1690</v>
      </c>
      <c r="K53" s="1" t="s">
        <v>1691</v>
      </c>
      <c r="L53" s="1" t="s">
        <v>1692</v>
      </c>
    </row>
    <row r="54" spans="1:12">
      <c r="A54" s="1" t="s">
        <v>1530</v>
      </c>
      <c r="B54" s="1" t="s">
        <v>1525</v>
      </c>
      <c r="C54" s="1" t="s">
        <v>1686</v>
      </c>
      <c r="D54" s="1" t="s">
        <v>1705</v>
      </c>
      <c r="E54" s="92" t="s">
        <v>1762</v>
      </c>
      <c r="F54" s="92" t="s">
        <v>1763</v>
      </c>
      <c r="H54" s="1" t="s">
        <v>1684</v>
      </c>
      <c r="I54" s="1" t="s">
        <v>1689</v>
      </c>
      <c r="J54" s="1" t="s">
        <v>1690</v>
      </c>
      <c r="K54" s="1" t="s">
        <v>1691</v>
      </c>
      <c r="L54" s="1" t="s">
        <v>1692</v>
      </c>
    </row>
    <row r="55" spans="1:12">
      <c r="A55" s="1" t="s">
        <v>1530</v>
      </c>
      <c r="B55" s="1" t="s">
        <v>1525</v>
      </c>
      <c r="C55" s="1" t="s">
        <v>1394</v>
      </c>
      <c r="D55" s="1" t="s">
        <v>1708</v>
      </c>
      <c r="E55" s="1" t="s">
        <v>1709</v>
      </c>
      <c r="F55" s="1" t="s">
        <v>1709</v>
      </c>
      <c r="H55" s="1" t="s">
        <v>1684</v>
      </c>
      <c r="I55" s="1" t="s">
        <v>973</v>
      </c>
      <c r="J55" s="1" t="s">
        <v>1710</v>
      </c>
      <c r="K55" s="1" t="s">
        <v>1691</v>
      </c>
      <c r="L55" s="1" t="s">
        <v>1692</v>
      </c>
    </row>
    <row r="56" spans="1:12">
      <c r="A56" s="1" t="s">
        <v>1530</v>
      </c>
      <c r="B56" s="1" t="s">
        <v>1525</v>
      </c>
      <c r="C56" s="1" t="s">
        <v>1711</v>
      </c>
      <c r="D56" s="1" t="s">
        <v>218</v>
      </c>
      <c r="E56" s="92" t="s">
        <v>1764</v>
      </c>
      <c r="F56" s="92" t="s">
        <v>1764</v>
      </c>
      <c r="G56" s="92" t="s">
        <v>1765</v>
      </c>
      <c r="H56" s="1" t="s">
        <v>1684</v>
      </c>
      <c r="I56" s="1" t="s">
        <v>1689</v>
      </c>
      <c r="J56" s="1" t="s">
        <v>1714</v>
      </c>
      <c r="K56" s="1" t="s">
        <v>1715</v>
      </c>
      <c r="L56" s="1" t="s">
        <v>1716</v>
      </c>
    </row>
    <row r="57" spans="1:12">
      <c r="A57" s="1" t="s">
        <v>1530</v>
      </c>
      <c r="B57" s="1" t="s">
        <v>1525</v>
      </c>
      <c r="C57" s="1" t="s">
        <v>1711</v>
      </c>
      <c r="D57" s="1" t="s">
        <v>1693</v>
      </c>
      <c r="E57" s="1" t="s">
        <v>1766</v>
      </c>
      <c r="F57" s="1" t="s">
        <v>1766</v>
      </c>
      <c r="H57" s="1" t="s">
        <v>1684</v>
      </c>
      <c r="I57" s="1" t="s">
        <v>1689</v>
      </c>
      <c r="J57" s="1" t="s">
        <v>1714</v>
      </c>
      <c r="K57" s="1" t="s">
        <v>1715</v>
      </c>
      <c r="L57" s="1" t="s">
        <v>1716</v>
      </c>
    </row>
    <row r="58" spans="1:12">
      <c r="A58" s="1" t="s">
        <v>1530</v>
      </c>
      <c r="B58" s="1" t="s">
        <v>1525</v>
      </c>
      <c r="C58" s="1" t="s">
        <v>1711</v>
      </c>
      <c r="D58" s="1" t="s">
        <v>1695</v>
      </c>
      <c r="E58" s="1" t="s">
        <v>1757</v>
      </c>
      <c r="F58" s="1" t="s">
        <v>1757</v>
      </c>
      <c r="H58" s="1" t="s">
        <v>1684</v>
      </c>
      <c r="I58" s="1" t="s">
        <v>1689</v>
      </c>
      <c r="J58" s="1" t="s">
        <v>1714</v>
      </c>
      <c r="K58" s="1" t="s">
        <v>1715</v>
      </c>
      <c r="L58" s="1" t="s">
        <v>1716</v>
      </c>
    </row>
    <row r="59" spans="1:12">
      <c r="A59" s="1" t="s">
        <v>1530</v>
      </c>
      <c r="B59" s="1" t="s">
        <v>1525</v>
      </c>
      <c r="C59" s="1" t="s">
        <v>1711</v>
      </c>
      <c r="D59" s="1" t="s">
        <v>1697</v>
      </c>
      <c r="E59" s="1" t="s">
        <v>1698</v>
      </c>
      <c r="F59" s="1" t="s">
        <v>1698</v>
      </c>
      <c r="H59" s="1" t="s">
        <v>1684</v>
      </c>
      <c r="I59" s="1" t="s">
        <v>1689</v>
      </c>
      <c r="J59" s="1" t="s">
        <v>1714</v>
      </c>
      <c r="K59" s="1" t="s">
        <v>1715</v>
      </c>
      <c r="L59" s="1" t="s">
        <v>1716</v>
      </c>
    </row>
    <row r="60" spans="1:12">
      <c r="A60" s="1" t="s">
        <v>1530</v>
      </c>
      <c r="B60" s="1" t="s">
        <v>1525</v>
      </c>
      <c r="C60" s="1" t="s">
        <v>1711</v>
      </c>
      <c r="D60" s="1" t="s">
        <v>1699</v>
      </c>
      <c r="E60" s="92" t="s">
        <v>1717</v>
      </c>
      <c r="F60" s="92" t="s">
        <v>1718</v>
      </c>
      <c r="H60" s="1" t="s">
        <v>1684</v>
      </c>
      <c r="I60" s="1" t="s">
        <v>1689</v>
      </c>
      <c r="J60" s="1" t="s">
        <v>1714</v>
      </c>
      <c r="K60" s="1" t="s">
        <v>1715</v>
      </c>
      <c r="L60" s="1" t="s">
        <v>1716</v>
      </c>
    </row>
    <row r="61" spans="1:12">
      <c r="A61" s="1" t="s">
        <v>1530</v>
      </c>
      <c r="B61" s="1" t="s">
        <v>1525</v>
      </c>
      <c r="C61" s="1" t="s">
        <v>1711</v>
      </c>
      <c r="D61" s="1" t="s">
        <v>1702</v>
      </c>
      <c r="E61" s="92" t="s">
        <v>1767</v>
      </c>
      <c r="F61" s="92" t="s">
        <v>1768</v>
      </c>
      <c r="H61" s="1" t="s">
        <v>1684</v>
      </c>
      <c r="I61" s="1" t="s">
        <v>1689</v>
      </c>
      <c r="J61" s="1" t="s">
        <v>1714</v>
      </c>
      <c r="K61" s="1" t="s">
        <v>1715</v>
      </c>
      <c r="L61" s="1" t="s">
        <v>1716</v>
      </c>
    </row>
    <row r="62" spans="1:12">
      <c r="A62" s="1" t="s">
        <v>1530</v>
      </c>
      <c r="B62" s="1" t="s">
        <v>1525</v>
      </c>
      <c r="C62" s="1" t="s">
        <v>1711</v>
      </c>
      <c r="D62" s="1" t="s">
        <v>1705</v>
      </c>
      <c r="E62" s="92" t="s">
        <v>1769</v>
      </c>
      <c r="F62" s="92" t="s">
        <v>1770</v>
      </c>
      <c r="H62" s="1" t="s">
        <v>1684</v>
      </c>
      <c r="I62" s="1" t="s">
        <v>1689</v>
      </c>
      <c r="J62" s="1" t="s">
        <v>1714</v>
      </c>
      <c r="K62" s="1" t="s">
        <v>1715</v>
      </c>
      <c r="L62" s="1" t="s">
        <v>1716</v>
      </c>
    </row>
    <row r="63" spans="1:12">
      <c r="A63" s="1" t="s">
        <v>1530</v>
      </c>
      <c r="B63" s="1" t="s">
        <v>1525</v>
      </c>
      <c r="C63" s="1" t="s">
        <v>1723</v>
      </c>
      <c r="D63" s="1" t="s">
        <v>218</v>
      </c>
      <c r="E63" s="92" t="s">
        <v>1771</v>
      </c>
      <c r="F63" s="92" t="s">
        <v>1771</v>
      </c>
      <c r="G63" s="92" t="s">
        <v>1755</v>
      </c>
      <c r="H63" s="1" t="s">
        <v>1684</v>
      </c>
      <c r="I63" s="1" t="s">
        <v>973</v>
      </c>
      <c r="J63" s="1" t="s">
        <v>1726</v>
      </c>
      <c r="K63" s="1" t="s">
        <v>1727</v>
      </c>
      <c r="L63" s="1" t="s">
        <v>1728</v>
      </c>
    </row>
    <row r="64" spans="1:12">
      <c r="A64" s="1" t="s">
        <v>1530</v>
      </c>
      <c r="B64" s="1" t="s">
        <v>1525</v>
      </c>
      <c r="C64" s="1" t="s">
        <v>1723</v>
      </c>
      <c r="D64" s="1" t="s">
        <v>1693</v>
      </c>
      <c r="E64" s="1" t="s">
        <v>1694</v>
      </c>
      <c r="F64" s="1" t="s">
        <v>1694</v>
      </c>
      <c r="H64" s="1" t="s">
        <v>1684</v>
      </c>
      <c r="I64" s="1" t="s">
        <v>973</v>
      </c>
      <c r="J64" s="1" t="s">
        <v>1726</v>
      </c>
      <c r="K64" s="1" t="s">
        <v>1727</v>
      </c>
      <c r="L64" s="1" t="s">
        <v>1728</v>
      </c>
    </row>
    <row r="65" spans="1:12">
      <c r="A65" s="1" t="s">
        <v>1530</v>
      </c>
      <c r="B65" s="1" t="s">
        <v>1525</v>
      </c>
      <c r="C65" s="1" t="s">
        <v>1723</v>
      </c>
      <c r="D65" s="1" t="s">
        <v>1695</v>
      </c>
      <c r="E65" s="1" t="s">
        <v>1694</v>
      </c>
      <c r="F65" s="1" t="s">
        <v>1694</v>
      </c>
      <c r="H65" s="1" t="s">
        <v>1684</v>
      </c>
      <c r="I65" s="1" t="s">
        <v>973</v>
      </c>
      <c r="J65" s="1" t="s">
        <v>1726</v>
      </c>
      <c r="K65" s="1" t="s">
        <v>1727</v>
      </c>
      <c r="L65" s="1" t="s">
        <v>1728</v>
      </c>
    </row>
    <row r="66" spans="1:12">
      <c r="A66" s="1" t="s">
        <v>1530</v>
      </c>
      <c r="B66" s="1" t="s">
        <v>1525</v>
      </c>
      <c r="C66" s="1" t="s">
        <v>1723</v>
      </c>
      <c r="D66" s="1" t="s">
        <v>1697</v>
      </c>
      <c r="E66" s="1" t="s">
        <v>1698</v>
      </c>
      <c r="F66" s="1" t="s">
        <v>1698</v>
      </c>
      <c r="H66" s="1" t="s">
        <v>1684</v>
      </c>
      <c r="I66" s="1" t="s">
        <v>973</v>
      </c>
      <c r="J66" s="1" t="s">
        <v>1726</v>
      </c>
      <c r="K66" s="1" t="s">
        <v>1727</v>
      </c>
      <c r="L66" s="1" t="s">
        <v>1728</v>
      </c>
    </row>
    <row r="67" spans="1:12">
      <c r="A67" s="1" t="s">
        <v>1530</v>
      </c>
      <c r="B67" s="1" t="s">
        <v>1525</v>
      </c>
      <c r="C67" s="1" t="s">
        <v>1729</v>
      </c>
      <c r="D67" s="1" t="s">
        <v>1708</v>
      </c>
      <c r="E67" s="1" t="s">
        <v>1730</v>
      </c>
      <c r="F67" s="1" t="s">
        <v>1730</v>
      </c>
      <c r="H67" s="1" t="s">
        <v>1684</v>
      </c>
      <c r="I67" s="1" t="s">
        <v>1731</v>
      </c>
      <c r="J67" s="1" t="s">
        <v>1732</v>
      </c>
      <c r="K67" s="1" t="s">
        <v>1733</v>
      </c>
      <c r="L67" s="1" t="s">
        <v>1734</v>
      </c>
    </row>
    <row r="68" spans="1:12">
      <c r="A68" s="1" t="s">
        <v>1532</v>
      </c>
      <c r="B68" s="1" t="s">
        <v>1525</v>
      </c>
      <c r="C68" s="1" t="s">
        <v>1680</v>
      </c>
      <c r="D68" s="1" t="s">
        <v>1681</v>
      </c>
      <c r="E68" s="92" t="s">
        <v>1772</v>
      </c>
      <c r="F68" s="92" t="s">
        <v>1773</v>
      </c>
      <c r="H68" s="1" t="s">
        <v>1684</v>
      </c>
    </row>
    <row r="69" spans="1:12">
      <c r="A69" s="1" t="s">
        <v>1532</v>
      </c>
      <c r="B69" s="1" t="s">
        <v>1525</v>
      </c>
      <c r="C69" s="1" t="s">
        <v>1680</v>
      </c>
      <c r="D69" s="1" t="s">
        <v>1685</v>
      </c>
      <c r="E69" s="1" t="s">
        <v>1526</v>
      </c>
      <c r="F69" s="1" t="s">
        <v>1526</v>
      </c>
      <c r="H69" s="1" t="s">
        <v>1684</v>
      </c>
    </row>
    <row r="70" spans="1:12">
      <c r="A70" s="1" t="s">
        <v>1532</v>
      </c>
      <c r="B70" s="1" t="s">
        <v>1525</v>
      </c>
      <c r="C70" s="1" t="s">
        <v>1686</v>
      </c>
      <c r="D70" s="1" t="s">
        <v>218</v>
      </c>
      <c r="E70" s="92" t="s">
        <v>1774</v>
      </c>
      <c r="F70" s="92" t="s">
        <v>1774</v>
      </c>
      <c r="G70" s="92" t="s">
        <v>1775</v>
      </c>
      <c r="H70" s="1" t="s">
        <v>1684</v>
      </c>
      <c r="I70" s="1" t="s">
        <v>1689</v>
      </c>
      <c r="J70" s="1" t="s">
        <v>1690</v>
      </c>
      <c r="K70" s="1" t="s">
        <v>1691</v>
      </c>
      <c r="L70" s="1" t="s">
        <v>1692</v>
      </c>
    </row>
    <row r="71" spans="1:12">
      <c r="A71" s="1" t="s">
        <v>1532</v>
      </c>
      <c r="B71" s="1" t="s">
        <v>1525</v>
      </c>
      <c r="C71" s="1" t="s">
        <v>1686</v>
      </c>
      <c r="D71" s="1" t="s">
        <v>1693</v>
      </c>
      <c r="E71" s="1" t="s">
        <v>1694</v>
      </c>
      <c r="F71" s="1" t="s">
        <v>1694</v>
      </c>
      <c r="H71" s="1" t="s">
        <v>1684</v>
      </c>
      <c r="I71" s="1" t="s">
        <v>1689</v>
      </c>
      <c r="J71" s="1" t="s">
        <v>1690</v>
      </c>
      <c r="K71" s="1" t="s">
        <v>1691</v>
      </c>
      <c r="L71" s="1" t="s">
        <v>1692</v>
      </c>
    </row>
    <row r="72" spans="1:12">
      <c r="A72" s="1" t="s">
        <v>1532</v>
      </c>
      <c r="B72" s="1" t="s">
        <v>1525</v>
      </c>
      <c r="C72" s="1" t="s">
        <v>1686</v>
      </c>
      <c r="D72" s="1" t="s">
        <v>1695</v>
      </c>
      <c r="E72" s="1" t="s">
        <v>1696</v>
      </c>
      <c r="F72" s="1" t="s">
        <v>1696</v>
      </c>
      <c r="H72" s="1" t="s">
        <v>1684</v>
      </c>
      <c r="I72" s="1" t="s">
        <v>1689</v>
      </c>
      <c r="J72" s="1" t="s">
        <v>1690</v>
      </c>
      <c r="K72" s="1" t="s">
        <v>1691</v>
      </c>
      <c r="L72" s="1" t="s">
        <v>1692</v>
      </c>
    </row>
    <row r="73" spans="1:12">
      <c r="A73" s="1" t="s">
        <v>1532</v>
      </c>
      <c r="B73" s="1" t="s">
        <v>1525</v>
      </c>
      <c r="C73" s="1" t="s">
        <v>1686</v>
      </c>
      <c r="D73" s="1" t="s">
        <v>1697</v>
      </c>
      <c r="E73" s="1" t="s">
        <v>1698</v>
      </c>
      <c r="F73" s="1" t="s">
        <v>1698</v>
      </c>
      <c r="H73" s="1" t="s">
        <v>1684</v>
      </c>
      <c r="I73" s="1" t="s">
        <v>1689</v>
      </c>
      <c r="J73" s="1" t="s">
        <v>1690</v>
      </c>
      <c r="K73" s="1" t="s">
        <v>1691</v>
      </c>
      <c r="L73" s="1" t="s">
        <v>1692</v>
      </c>
    </row>
    <row r="74" spans="1:12">
      <c r="A74" s="1" t="s">
        <v>1532</v>
      </c>
      <c r="B74" s="1" t="s">
        <v>1525</v>
      </c>
      <c r="C74" s="1" t="s">
        <v>1686</v>
      </c>
      <c r="D74" s="1" t="s">
        <v>1699</v>
      </c>
      <c r="E74" s="92" t="s">
        <v>1776</v>
      </c>
      <c r="F74" s="92" t="s">
        <v>1777</v>
      </c>
      <c r="H74" s="1" t="s">
        <v>1684</v>
      </c>
      <c r="I74" s="1" t="s">
        <v>1689</v>
      </c>
      <c r="J74" s="1" t="s">
        <v>1690</v>
      </c>
      <c r="K74" s="1" t="s">
        <v>1691</v>
      </c>
      <c r="L74" s="1" t="s">
        <v>1692</v>
      </c>
    </row>
    <row r="75" spans="1:12">
      <c r="A75" s="1" t="s">
        <v>1532</v>
      </c>
      <c r="B75" s="1" t="s">
        <v>1525</v>
      </c>
      <c r="C75" s="1" t="s">
        <v>1686</v>
      </c>
      <c r="D75" s="1" t="s">
        <v>1702</v>
      </c>
      <c r="E75" s="92" t="s">
        <v>1778</v>
      </c>
      <c r="F75" s="92" t="s">
        <v>1779</v>
      </c>
      <c r="H75" s="1" t="s">
        <v>1684</v>
      </c>
      <c r="I75" s="1" t="s">
        <v>1689</v>
      </c>
      <c r="J75" s="1" t="s">
        <v>1690</v>
      </c>
      <c r="K75" s="1" t="s">
        <v>1691</v>
      </c>
      <c r="L75" s="1" t="s">
        <v>1692</v>
      </c>
    </row>
    <row r="76" spans="1:12">
      <c r="A76" s="1" t="s">
        <v>1532</v>
      </c>
      <c r="B76" s="1" t="s">
        <v>1525</v>
      </c>
      <c r="C76" s="1" t="s">
        <v>1686</v>
      </c>
      <c r="D76" s="1" t="s">
        <v>1705</v>
      </c>
      <c r="E76" s="92" t="s">
        <v>1780</v>
      </c>
      <c r="F76" s="92" t="s">
        <v>1781</v>
      </c>
      <c r="H76" s="1" t="s">
        <v>1684</v>
      </c>
      <c r="I76" s="1" t="s">
        <v>1689</v>
      </c>
      <c r="J76" s="1" t="s">
        <v>1690</v>
      </c>
      <c r="K76" s="1" t="s">
        <v>1691</v>
      </c>
      <c r="L76" s="1" t="s">
        <v>1692</v>
      </c>
    </row>
    <row r="77" spans="1:12">
      <c r="A77" s="1" t="s">
        <v>1532</v>
      </c>
      <c r="B77" s="1" t="s">
        <v>1525</v>
      </c>
      <c r="C77" s="1" t="s">
        <v>1394</v>
      </c>
      <c r="D77" s="1" t="s">
        <v>1708</v>
      </c>
      <c r="E77" s="1" t="s">
        <v>1709</v>
      </c>
      <c r="F77" s="1" t="s">
        <v>1709</v>
      </c>
      <c r="H77" s="1" t="s">
        <v>1684</v>
      </c>
      <c r="I77" s="1" t="s">
        <v>973</v>
      </c>
      <c r="J77" s="1" t="s">
        <v>1710</v>
      </c>
      <c r="K77" s="1" t="s">
        <v>1691</v>
      </c>
      <c r="L77" s="1" t="s">
        <v>1692</v>
      </c>
    </row>
    <row r="78" spans="1:12">
      <c r="A78" s="1" t="s">
        <v>1532</v>
      </c>
      <c r="B78" s="1" t="s">
        <v>1525</v>
      </c>
      <c r="C78" s="1" t="s">
        <v>1711</v>
      </c>
      <c r="D78" s="1" t="s">
        <v>218</v>
      </c>
      <c r="E78" s="92" t="s">
        <v>1782</v>
      </c>
      <c r="F78" s="92" t="s">
        <v>1782</v>
      </c>
      <c r="G78" s="92" t="s">
        <v>1688</v>
      </c>
      <c r="H78" s="1" t="s">
        <v>1684</v>
      </c>
      <c r="I78" s="1" t="s">
        <v>1689</v>
      </c>
      <c r="J78" s="1" t="s">
        <v>1714</v>
      </c>
      <c r="K78" s="1" t="s">
        <v>1715</v>
      </c>
      <c r="L78" s="1" t="s">
        <v>1716</v>
      </c>
    </row>
    <row r="79" spans="1:12">
      <c r="A79" s="1" t="s">
        <v>1532</v>
      </c>
      <c r="B79" s="1" t="s">
        <v>1525</v>
      </c>
      <c r="C79" s="1" t="s">
        <v>1711</v>
      </c>
      <c r="D79" s="1" t="s">
        <v>1693</v>
      </c>
      <c r="E79" s="1" t="s">
        <v>1746</v>
      </c>
      <c r="F79" s="1" t="s">
        <v>1746</v>
      </c>
      <c r="H79" s="1" t="s">
        <v>1684</v>
      </c>
      <c r="I79" s="1" t="s">
        <v>1689</v>
      </c>
      <c r="J79" s="1" t="s">
        <v>1714</v>
      </c>
      <c r="K79" s="1" t="s">
        <v>1715</v>
      </c>
      <c r="L79" s="1" t="s">
        <v>1716</v>
      </c>
    </row>
    <row r="80" spans="1:12">
      <c r="A80" s="1" t="s">
        <v>1532</v>
      </c>
      <c r="B80" s="1" t="s">
        <v>1525</v>
      </c>
      <c r="C80" s="1" t="s">
        <v>1711</v>
      </c>
      <c r="D80" s="1" t="s">
        <v>1695</v>
      </c>
      <c r="E80" s="1" t="s">
        <v>1746</v>
      </c>
      <c r="F80" s="1" t="s">
        <v>1746</v>
      </c>
      <c r="H80" s="1" t="s">
        <v>1684</v>
      </c>
      <c r="I80" s="1" t="s">
        <v>1689</v>
      </c>
      <c r="J80" s="1" t="s">
        <v>1714</v>
      </c>
      <c r="K80" s="1" t="s">
        <v>1715</v>
      </c>
      <c r="L80" s="1" t="s">
        <v>1716</v>
      </c>
    </row>
    <row r="81" spans="1:12">
      <c r="A81" s="1" t="s">
        <v>1532</v>
      </c>
      <c r="B81" s="1" t="s">
        <v>1525</v>
      </c>
      <c r="C81" s="1" t="s">
        <v>1711</v>
      </c>
      <c r="D81" s="1" t="s">
        <v>1697</v>
      </c>
      <c r="E81" s="1" t="s">
        <v>1698</v>
      </c>
      <c r="F81" s="1" t="s">
        <v>1698</v>
      </c>
      <c r="H81" s="1" t="s">
        <v>1684</v>
      </c>
      <c r="I81" s="1" t="s">
        <v>1689</v>
      </c>
      <c r="J81" s="1" t="s">
        <v>1714</v>
      </c>
      <c r="K81" s="1" t="s">
        <v>1715</v>
      </c>
      <c r="L81" s="1" t="s">
        <v>1716</v>
      </c>
    </row>
    <row r="82" spans="1:12">
      <c r="A82" s="1" t="s">
        <v>1532</v>
      </c>
      <c r="B82" s="1" t="s">
        <v>1525</v>
      </c>
      <c r="C82" s="1" t="s">
        <v>1711</v>
      </c>
      <c r="D82" s="1" t="s">
        <v>1699</v>
      </c>
      <c r="E82" s="92" t="s">
        <v>1717</v>
      </c>
      <c r="F82" s="92" t="s">
        <v>1718</v>
      </c>
      <c r="H82" s="1" t="s">
        <v>1684</v>
      </c>
      <c r="I82" s="1" t="s">
        <v>1689</v>
      </c>
      <c r="J82" s="1" t="s">
        <v>1714</v>
      </c>
      <c r="K82" s="1" t="s">
        <v>1715</v>
      </c>
      <c r="L82" s="1" t="s">
        <v>1716</v>
      </c>
    </row>
    <row r="83" spans="1:12">
      <c r="A83" s="1" t="s">
        <v>1532</v>
      </c>
      <c r="B83" s="1" t="s">
        <v>1525</v>
      </c>
      <c r="C83" s="1" t="s">
        <v>1711</v>
      </c>
      <c r="D83" s="1" t="s">
        <v>1702</v>
      </c>
      <c r="E83" s="92" t="s">
        <v>1783</v>
      </c>
      <c r="F83" s="92" t="s">
        <v>1784</v>
      </c>
      <c r="H83" s="1" t="s">
        <v>1684</v>
      </c>
      <c r="I83" s="1" t="s">
        <v>1689</v>
      </c>
      <c r="J83" s="1" t="s">
        <v>1714</v>
      </c>
      <c r="K83" s="1" t="s">
        <v>1715</v>
      </c>
      <c r="L83" s="1" t="s">
        <v>1716</v>
      </c>
    </row>
    <row r="84" spans="1:12">
      <c r="A84" s="1" t="s">
        <v>1532</v>
      </c>
      <c r="B84" s="1" t="s">
        <v>1525</v>
      </c>
      <c r="C84" s="1" t="s">
        <v>1711</v>
      </c>
      <c r="D84" s="1" t="s">
        <v>1705</v>
      </c>
      <c r="E84" s="92" t="s">
        <v>1785</v>
      </c>
      <c r="F84" s="92" t="s">
        <v>1786</v>
      </c>
      <c r="H84" s="1" t="s">
        <v>1684</v>
      </c>
      <c r="I84" s="1" t="s">
        <v>1689</v>
      </c>
      <c r="J84" s="1" t="s">
        <v>1714</v>
      </c>
      <c r="K84" s="1" t="s">
        <v>1715</v>
      </c>
      <c r="L84" s="1" t="s">
        <v>1716</v>
      </c>
    </row>
    <row r="85" spans="1:12">
      <c r="A85" s="1" t="s">
        <v>1532</v>
      </c>
      <c r="B85" s="1" t="s">
        <v>1525</v>
      </c>
      <c r="C85" s="1" t="s">
        <v>1711</v>
      </c>
      <c r="D85" s="1" t="s">
        <v>1787</v>
      </c>
      <c r="E85" s="92" t="s">
        <v>1788</v>
      </c>
      <c r="F85" s="92" t="s">
        <v>1782</v>
      </c>
      <c r="G85" s="92" t="s">
        <v>1789</v>
      </c>
      <c r="H85" s="1" t="s">
        <v>1534</v>
      </c>
      <c r="I85" s="1" t="s">
        <v>1689</v>
      </c>
      <c r="J85" s="1" t="s">
        <v>1714</v>
      </c>
      <c r="K85" s="1" t="s">
        <v>1715</v>
      </c>
      <c r="L85" s="1" t="s">
        <v>1716</v>
      </c>
    </row>
    <row r="86" spans="1:12">
      <c r="A86" s="1" t="s">
        <v>1532</v>
      </c>
      <c r="B86" s="1" t="s">
        <v>1525</v>
      </c>
      <c r="C86" s="1" t="s">
        <v>1723</v>
      </c>
      <c r="D86" s="1" t="s">
        <v>218</v>
      </c>
      <c r="E86" s="92" t="s">
        <v>1790</v>
      </c>
      <c r="F86" s="92" t="s">
        <v>1790</v>
      </c>
      <c r="G86" s="92" t="s">
        <v>1791</v>
      </c>
      <c r="H86" s="1" t="s">
        <v>1684</v>
      </c>
      <c r="I86" s="1" t="s">
        <v>973</v>
      </c>
      <c r="J86" s="1" t="s">
        <v>1726</v>
      </c>
      <c r="K86" s="1" t="s">
        <v>1727</v>
      </c>
      <c r="L86" s="1" t="s">
        <v>1728</v>
      </c>
    </row>
    <row r="87" spans="1:12">
      <c r="A87" s="1" t="s">
        <v>1532</v>
      </c>
      <c r="B87" s="1" t="s">
        <v>1525</v>
      </c>
      <c r="C87" s="1" t="s">
        <v>1723</v>
      </c>
      <c r="D87" s="1" t="s">
        <v>1693</v>
      </c>
      <c r="E87" s="1" t="s">
        <v>1694</v>
      </c>
      <c r="F87" s="1" t="s">
        <v>1694</v>
      </c>
      <c r="H87" s="1" t="s">
        <v>1684</v>
      </c>
      <c r="I87" s="1" t="s">
        <v>973</v>
      </c>
      <c r="J87" s="1" t="s">
        <v>1726</v>
      </c>
      <c r="K87" s="1" t="s">
        <v>1727</v>
      </c>
      <c r="L87" s="1" t="s">
        <v>1728</v>
      </c>
    </row>
    <row r="88" spans="1:12">
      <c r="A88" s="1" t="s">
        <v>1532</v>
      </c>
      <c r="B88" s="1" t="s">
        <v>1525</v>
      </c>
      <c r="C88" s="1" t="s">
        <v>1723</v>
      </c>
      <c r="D88" s="1" t="s">
        <v>1695</v>
      </c>
      <c r="E88" s="1" t="s">
        <v>1694</v>
      </c>
      <c r="F88" s="1" t="s">
        <v>1694</v>
      </c>
      <c r="H88" s="1" t="s">
        <v>1684</v>
      </c>
      <c r="I88" s="1" t="s">
        <v>973</v>
      </c>
      <c r="J88" s="1" t="s">
        <v>1726</v>
      </c>
      <c r="K88" s="1" t="s">
        <v>1727</v>
      </c>
      <c r="L88" s="1" t="s">
        <v>1728</v>
      </c>
    </row>
    <row r="89" spans="1:12">
      <c r="A89" s="1" t="s">
        <v>1532</v>
      </c>
      <c r="B89" s="1" t="s">
        <v>1525</v>
      </c>
      <c r="C89" s="1" t="s">
        <v>1723</v>
      </c>
      <c r="D89" s="1" t="s">
        <v>1697</v>
      </c>
      <c r="E89" s="1" t="s">
        <v>1698</v>
      </c>
      <c r="F89" s="1" t="s">
        <v>1698</v>
      </c>
      <c r="H89" s="1" t="s">
        <v>1684</v>
      </c>
      <c r="I89" s="1" t="s">
        <v>973</v>
      </c>
      <c r="J89" s="1" t="s">
        <v>1726</v>
      </c>
      <c r="K89" s="1" t="s">
        <v>1727</v>
      </c>
      <c r="L89" s="1" t="s">
        <v>1728</v>
      </c>
    </row>
    <row r="90" spans="1:12">
      <c r="A90" s="1" t="s">
        <v>1532</v>
      </c>
      <c r="B90" s="1" t="s">
        <v>1525</v>
      </c>
      <c r="C90" s="1" t="s">
        <v>1729</v>
      </c>
      <c r="D90" s="1" t="s">
        <v>1708</v>
      </c>
      <c r="E90" s="1" t="s">
        <v>1730</v>
      </c>
      <c r="F90" s="1" t="s">
        <v>1730</v>
      </c>
      <c r="H90" s="1" t="s">
        <v>1684</v>
      </c>
      <c r="I90" s="1" t="s">
        <v>1731</v>
      </c>
      <c r="J90" s="1" t="s">
        <v>1732</v>
      </c>
      <c r="K90" s="1" t="s">
        <v>1733</v>
      </c>
      <c r="L90" s="1" t="s">
        <v>1734</v>
      </c>
    </row>
    <row r="91" spans="1:12">
      <c r="A91" s="1" t="s">
        <v>1535</v>
      </c>
      <c r="B91" s="1" t="s">
        <v>1525</v>
      </c>
      <c r="C91" s="1" t="s">
        <v>1680</v>
      </c>
      <c r="D91" s="1" t="s">
        <v>1681</v>
      </c>
      <c r="E91" s="92" t="s">
        <v>1792</v>
      </c>
      <c r="F91" s="92" t="s">
        <v>1793</v>
      </c>
      <c r="H91" s="1" t="s">
        <v>1684</v>
      </c>
    </row>
    <row r="92" spans="1:12">
      <c r="A92" s="1" t="s">
        <v>1535</v>
      </c>
      <c r="B92" s="1" t="s">
        <v>1525</v>
      </c>
      <c r="C92" s="1" t="s">
        <v>1680</v>
      </c>
      <c r="D92" s="1" t="s">
        <v>1685</v>
      </c>
      <c r="E92" s="1" t="s">
        <v>1526</v>
      </c>
      <c r="F92" s="1" t="s">
        <v>1526</v>
      </c>
      <c r="H92" s="1" t="s">
        <v>1684</v>
      </c>
    </row>
    <row r="93" spans="1:12">
      <c r="A93" s="1" t="s">
        <v>1535</v>
      </c>
      <c r="B93" s="1" t="s">
        <v>1525</v>
      </c>
      <c r="C93" s="1" t="s">
        <v>1686</v>
      </c>
      <c r="D93" s="1" t="s">
        <v>218</v>
      </c>
      <c r="E93" s="92" t="s">
        <v>1794</v>
      </c>
      <c r="F93" s="92" t="s">
        <v>1794</v>
      </c>
      <c r="G93" s="92" t="s">
        <v>1791</v>
      </c>
      <c r="H93" s="1" t="s">
        <v>1684</v>
      </c>
      <c r="I93" s="1" t="s">
        <v>1689</v>
      </c>
      <c r="J93" s="1" t="s">
        <v>1690</v>
      </c>
      <c r="K93" s="1" t="s">
        <v>1691</v>
      </c>
      <c r="L93" s="1" t="s">
        <v>1692</v>
      </c>
    </row>
    <row r="94" spans="1:12">
      <c r="A94" s="1" t="s">
        <v>1535</v>
      </c>
      <c r="B94" s="1" t="s">
        <v>1525</v>
      </c>
      <c r="C94" s="1" t="s">
        <v>1686</v>
      </c>
      <c r="D94" s="1" t="s">
        <v>1693</v>
      </c>
      <c r="E94" s="1" t="s">
        <v>1756</v>
      </c>
      <c r="F94" s="1" t="s">
        <v>1756</v>
      </c>
      <c r="H94" s="1" t="s">
        <v>1684</v>
      </c>
      <c r="I94" s="1" t="s">
        <v>1689</v>
      </c>
      <c r="J94" s="1" t="s">
        <v>1690</v>
      </c>
      <c r="K94" s="1" t="s">
        <v>1691</v>
      </c>
      <c r="L94" s="1" t="s">
        <v>1692</v>
      </c>
    </row>
    <row r="95" spans="1:12">
      <c r="A95" s="1" t="s">
        <v>1535</v>
      </c>
      <c r="B95" s="1" t="s">
        <v>1525</v>
      </c>
      <c r="C95" s="1" t="s">
        <v>1686</v>
      </c>
      <c r="D95" s="1" t="s">
        <v>1695</v>
      </c>
      <c r="E95" s="1" t="s">
        <v>1757</v>
      </c>
      <c r="F95" s="1" t="s">
        <v>1757</v>
      </c>
      <c r="H95" s="1" t="s">
        <v>1684</v>
      </c>
      <c r="I95" s="1" t="s">
        <v>1689</v>
      </c>
      <c r="J95" s="1" t="s">
        <v>1690</v>
      </c>
      <c r="K95" s="1" t="s">
        <v>1691</v>
      </c>
      <c r="L95" s="1" t="s">
        <v>1692</v>
      </c>
    </row>
    <row r="96" spans="1:12">
      <c r="A96" s="1" t="s">
        <v>1535</v>
      </c>
      <c r="B96" s="1" t="s">
        <v>1525</v>
      </c>
      <c r="C96" s="1" t="s">
        <v>1686</v>
      </c>
      <c r="D96" s="1" t="s">
        <v>1697</v>
      </c>
      <c r="E96" s="1" t="s">
        <v>1698</v>
      </c>
      <c r="F96" s="1" t="s">
        <v>1698</v>
      </c>
      <c r="H96" s="1" t="s">
        <v>1684</v>
      </c>
      <c r="I96" s="1" t="s">
        <v>1689</v>
      </c>
      <c r="J96" s="1" t="s">
        <v>1690</v>
      </c>
      <c r="K96" s="1" t="s">
        <v>1691</v>
      </c>
      <c r="L96" s="1" t="s">
        <v>1692</v>
      </c>
    </row>
    <row r="97" spans="1:12">
      <c r="A97" s="1" t="s">
        <v>1535</v>
      </c>
      <c r="B97" s="1" t="s">
        <v>1525</v>
      </c>
      <c r="C97" s="1" t="s">
        <v>1686</v>
      </c>
      <c r="D97" s="1" t="s">
        <v>1699</v>
      </c>
      <c r="E97" s="92" t="s">
        <v>1795</v>
      </c>
      <c r="F97" s="92" t="s">
        <v>1796</v>
      </c>
      <c r="H97" s="1" t="s">
        <v>1684</v>
      </c>
      <c r="I97" s="1" t="s">
        <v>1689</v>
      </c>
      <c r="J97" s="1" t="s">
        <v>1690</v>
      </c>
      <c r="K97" s="1" t="s">
        <v>1691</v>
      </c>
      <c r="L97" s="1" t="s">
        <v>1692</v>
      </c>
    </row>
    <row r="98" spans="1:12">
      <c r="A98" s="1" t="s">
        <v>1535</v>
      </c>
      <c r="B98" s="1" t="s">
        <v>1525</v>
      </c>
      <c r="C98" s="1" t="s">
        <v>1686</v>
      </c>
      <c r="D98" s="1" t="s">
        <v>1702</v>
      </c>
      <c r="E98" s="92" t="s">
        <v>1797</v>
      </c>
      <c r="F98" s="92" t="s">
        <v>1798</v>
      </c>
      <c r="H98" s="1" t="s">
        <v>1684</v>
      </c>
      <c r="I98" s="1" t="s">
        <v>1689</v>
      </c>
      <c r="J98" s="1" t="s">
        <v>1690</v>
      </c>
      <c r="K98" s="1" t="s">
        <v>1691</v>
      </c>
      <c r="L98" s="1" t="s">
        <v>1692</v>
      </c>
    </row>
    <row r="99" spans="1:12">
      <c r="A99" s="1" t="s">
        <v>1535</v>
      </c>
      <c r="B99" s="1" t="s">
        <v>1525</v>
      </c>
      <c r="C99" s="1" t="s">
        <v>1686</v>
      </c>
      <c r="D99" s="1" t="s">
        <v>1705</v>
      </c>
      <c r="E99" s="92" t="s">
        <v>1799</v>
      </c>
      <c r="F99" s="92" t="s">
        <v>1800</v>
      </c>
      <c r="H99" s="1" t="s">
        <v>1684</v>
      </c>
      <c r="I99" s="1" t="s">
        <v>1689</v>
      </c>
      <c r="J99" s="1" t="s">
        <v>1690</v>
      </c>
      <c r="K99" s="1" t="s">
        <v>1691</v>
      </c>
      <c r="L99" s="1" t="s">
        <v>1692</v>
      </c>
    </row>
    <row r="100" spans="1:12">
      <c r="A100" s="1" t="s">
        <v>1535</v>
      </c>
      <c r="B100" s="1" t="s">
        <v>1525</v>
      </c>
      <c r="C100" s="1" t="s">
        <v>1394</v>
      </c>
      <c r="D100" s="1" t="s">
        <v>1708</v>
      </c>
      <c r="E100" s="1" t="s">
        <v>1709</v>
      </c>
      <c r="F100" s="1" t="s">
        <v>1709</v>
      </c>
      <c r="H100" s="1" t="s">
        <v>1684</v>
      </c>
      <c r="I100" s="1" t="s">
        <v>973</v>
      </c>
      <c r="J100" s="1" t="s">
        <v>1710</v>
      </c>
      <c r="K100" s="1" t="s">
        <v>1691</v>
      </c>
      <c r="L100" s="1" t="s">
        <v>1692</v>
      </c>
    </row>
    <row r="101" spans="1:12">
      <c r="A101" s="1" t="s">
        <v>1535</v>
      </c>
      <c r="B101" s="1" t="s">
        <v>1525</v>
      </c>
      <c r="C101" s="1" t="s">
        <v>1711</v>
      </c>
      <c r="D101" s="1" t="s">
        <v>218</v>
      </c>
      <c r="E101" s="92" t="s">
        <v>1801</v>
      </c>
      <c r="F101" s="92" t="s">
        <v>1801</v>
      </c>
      <c r="G101" s="92" t="s">
        <v>1791</v>
      </c>
      <c r="H101" s="1" t="s">
        <v>1684</v>
      </c>
      <c r="I101" s="1" t="s">
        <v>1689</v>
      </c>
      <c r="J101" s="1" t="s">
        <v>1714</v>
      </c>
      <c r="K101" s="1" t="s">
        <v>1715</v>
      </c>
      <c r="L101" s="1" t="s">
        <v>1716</v>
      </c>
    </row>
    <row r="102" spans="1:12">
      <c r="A102" s="1" t="s">
        <v>1535</v>
      </c>
      <c r="B102" s="1" t="s">
        <v>1525</v>
      </c>
      <c r="C102" s="1" t="s">
        <v>1711</v>
      </c>
      <c r="D102" s="1" t="s">
        <v>1693</v>
      </c>
      <c r="E102" s="1" t="s">
        <v>1802</v>
      </c>
      <c r="F102" s="1" t="s">
        <v>1802</v>
      </c>
      <c r="H102" s="1" t="s">
        <v>1684</v>
      </c>
      <c r="I102" s="1" t="s">
        <v>1689</v>
      </c>
      <c r="J102" s="1" t="s">
        <v>1714</v>
      </c>
      <c r="K102" s="1" t="s">
        <v>1715</v>
      </c>
      <c r="L102" s="1" t="s">
        <v>1716</v>
      </c>
    </row>
    <row r="103" spans="1:12">
      <c r="A103" s="1" t="s">
        <v>1535</v>
      </c>
      <c r="B103" s="1" t="s">
        <v>1525</v>
      </c>
      <c r="C103" s="1" t="s">
        <v>1711</v>
      </c>
      <c r="D103" s="1" t="s">
        <v>1695</v>
      </c>
      <c r="E103" s="1" t="s">
        <v>1757</v>
      </c>
      <c r="F103" s="1" t="s">
        <v>1757</v>
      </c>
      <c r="H103" s="1" t="s">
        <v>1684</v>
      </c>
      <c r="I103" s="1" t="s">
        <v>1689</v>
      </c>
      <c r="J103" s="1" t="s">
        <v>1714</v>
      </c>
      <c r="K103" s="1" t="s">
        <v>1715</v>
      </c>
      <c r="L103" s="1" t="s">
        <v>1716</v>
      </c>
    </row>
    <row r="104" spans="1:12">
      <c r="A104" s="1" t="s">
        <v>1535</v>
      </c>
      <c r="B104" s="1" t="s">
        <v>1525</v>
      </c>
      <c r="C104" s="1" t="s">
        <v>1711</v>
      </c>
      <c r="D104" s="1" t="s">
        <v>1697</v>
      </c>
      <c r="E104" s="1" t="s">
        <v>1698</v>
      </c>
      <c r="F104" s="1" t="s">
        <v>1698</v>
      </c>
      <c r="H104" s="1" t="s">
        <v>1684</v>
      </c>
      <c r="I104" s="1" t="s">
        <v>1689</v>
      </c>
      <c r="J104" s="1" t="s">
        <v>1714</v>
      </c>
      <c r="K104" s="1" t="s">
        <v>1715</v>
      </c>
      <c r="L104" s="1" t="s">
        <v>1716</v>
      </c>
    </row>
    <row r="105" spans="1:12">
      <c r="A105" s="1" t="s">
        <v>1535</v>
      </c>
      <c r="B105" s="1" t="s">
        <v>1525</v>
      </c>
      <c r="C105" s="1" t="s">
        <v>1711</v>
      </c>
      <c r="D105" s="1" t="s">
        <v>1699</v>
      </c>
      <c r="E105" s="92" t="s">
        <v>1717</v>
      </c>
      <c r="F105" s="92" t="s">
        <v>1718</v>
      </c>
      <c r="H105" s="1" t="s">
        <v>1684</v>
      </c>
      <c r="I105" s="1" t="s">
        <v>1689</v>
      </c>
      <c r="J105" s="1" t="s">
        <v>1714</v>
      </c>
      <c r="K105" s="1" t="s">
        <v>1715</v>
      </c>
      <c r="L105" s="1" t="s">
        <v>1716</v>
      </c>
    </row>
    <row r="106" spans="1:12">
      <c r="A106" s="1" t="s">
        <v>1535</v>
      </c>
      <c r="B106" s="1" t="s">
        <v>1525</v>
      </c>
      <c r="C106" s="1" t="s">
        <v>1711</v>
      </c>
      <c r="D106" s="1" t="s">
        <v>1702</v>
      </c>
      <c r="E106" s="92" t="s">
        <v>1803</v>
      </c>
      <c r="F106" s="92" t="s">
        <v>1804</v>
      </c>
      <c r="H106" s="1" t="s">
        <v>1684</v>
      </c>
      <c r="I106" s="1" t="s">
        <v>1689</v>
      </c>
      <c r="J106" s="1" t="s">
        <v>1714</v>
      </c>
      <c r="K106" s="1" t="s">
        <v>1715</v>
      </c>
      <c r="L106" s="1" t="s">
        <v>1716</v>
      </c>
    </row>
    <row r="107" spans="1:12">
      <c r="A107" s="1" t="s">
        <v>1535</v>
      </c>
      <c r="B107" s="1" t="s">
        <v>1525</v>
      </c>
      <c r="C107" s="1" t="s">
        <v>1711</v>
      </c>
      <c r="D107" s="1" t="s">
        <v>1705</v>
      </c>
      <c r="E107" s="92" t="s">
        <v>1805</v>
      </c>
      <c r="F107" s="92" t="s">
        <v>1786</v>
      </c>
      <c r="H107" s="1" t="s">
        <v>1684</v>
      </c>
      <c r="I107" s="1" t="s">
        <v>1689</v>
      </c>
      <c r="J107" s="1" t="s">
        <v>1714</v>
      </c>
      <c r="K107" s="1" t="s">
        <v>1715</v>
      </c>
      <c r="L107" s="1" t="s">
        <v>1716</v>
      </c>
    </row>
    <row r="108" spans="1:12">
      <c r="A108" s="1" t="s">
        <v>1535</v>
      </c>
      <c r="B108" s="1" t="s">
        <v>1525</v>
      </c>
      <c r="C108" s="1" t="s">
        <v>1711</v>
      </c>
      <c r="D108" s="1" t="s">
        <v>1787</v>
      </c>
      <c r="E108" s="92" t="s">
        <v>1806</v>
      </c>
      <c r="F108" s="92" t="s">
        <v>1801</v>
      </c>
      <c r="G108" s="92" t="s">
        <v>1807</v>
      </c>
      <c r="H108" s="1" t="s">
        <v>1534</v>
      </c>
      <c r="I108" s="1" t="s">
        <v>1689</v>
      </c>
      <c r="J108" s="1" t="s">
        <v>1714</v>
      </c>
      <c r="K108" s="1" t="s">
        <v>1715</v>
      </c>
      <c r="L108" s="1" t="s">
        <v>1716</v>
      </c>
    </row>
    <row r="109" spans="1:12">
      <c r="A109" s="1" t="s">
        <v>1535</v>
      </c>
      <c r="B109" s="1" t="s">
        <v>1525</v>
      </c>
      <c r="C109" s="1" t="s">
        <v>1723</v>
      </c>
      <c r="D109" s="1" t="s">
        <v>218</v>
      </c>
      <c r="E109" s="92" t="s">
        <v>1808</v>
      </c>
      <c r="F109" s="92" t="s">
        <v>1808</v>
      </c>
      <c r="G109" s="92" t="s">
        <v>1791</v>
      </c>
      <c r="H109" s="1" t="s">
        <v>1684</v>
      </c>
      <c r="I109" s="1" t="s">
        <v>973</v>
      </c>
      <c r="J109" s="1" t="s">
        <v>1726</v>
      </c>
      <c r="K109" s="1" t="s">
        <v>1727</v>
      </c>
      <c r="L109" s="1" t="s">
        <v>1728</v>
      </c>
    </row>
    <row r="110" spans="1:12">
      <c r="A110" s="1" t="s">
        <v>1535</v>
      </c>
      <c r="B110" s="1" t="s">
        <v>1525</v>
      </c>
      <c r="C110" s="1" t="s">
        <v>1723</v>
      </c>
      <c r="D110" s="1" t="s">
        <v>1693</v>
      </c>
      <c r="E110" s="1" t="s">
        <v>1694</v>
      </c>
      <c r="F110" s="1" t="s">
        <v>1694</v>
      </c>
      <c r="H110" s="1" t="s">
        <v>1684</v>
      </c>
      <c r="I110" s="1" t="s">
        <v>973</v>
      </c>
      <c r="J110" s="1" t="s">
        <v>1726</v>
      </c>
      <c r="K110" s="1" t="s">
        <v>1727</v>
      </c>
      <c r="L110" s="1" t="s">
        <v>1728</v>
      </c>
    </row>
    <row r="111" spans="1:12">
      <c r="A111" s="1" t="s">
        <v>1535</v>
      </c>
      <c r="B111" s="1" t="s">
        <v>1525</v>
      </c>
      <c r="C111" s="1" t="s">
        <v>1723</v>
      </c>
      <c r="D111" s="1" t="s">
        <v>1695</v>
      </c>
      <c r="E111" s="1" t="s">
        <v>1694</v>
      </c>
      <c r="F111" s="1" t="s">
        <v>1694</v>
      </c>
      <c r="H111" s="1" t="s">
        <v>1684</v>
      </c>
      <c r="I111" s="1" t="s">
        <v>973</v>
      </c>
      <c r="J111" s="1" t="s">
        <v>1726</v>
      </c>
      <c r="K111" s="1" t="s">
        <v>1727</v>
      </c>
      <c r="L111" s="1" t="s">
        <v>1728</v>
      </c>
    </row>
    <row r="112" spans="1:12">
      <c r="A112" s="1" t="s">
        <v>1535</v>
      </c>
      <c r="B112" s="1" t="s">
        <v>1525</v>
      </c>
      <c r="C112" s="1" t="s">
        <v>1723</v>
      </c>
      <c r="D112" s="1" t="s">
        <v>1697</v>
      </c>
      <c r="E112" s="1" t="s">
        <v>1698</v>
      </c>
      <c r="F112" s="1" t="s">
        <v>1698</v>
      </c>
      <c r="H112" s="1" t="s">
        <v>1684</v>
      </c>
      <c r="I112" s="1" t="s">
        <v>973</v>
      </c>
      <c r="J112" s="1" t="s">
        <v>1726</v>
      </c>
      <c r="K112" s="1" t="s">
        <v>1727</v>
      </c>
      <c r="L112" s="1" t="s">
        <v>1728</v>
      </c>
    </row>
    <row r="113" spans="1:12">
      <c r="A113" s="1" t="s">
        <v>1535</v>
      </c>
      <c r="B113" s="1" t="s">
        <v>1525</v>
      </c>
      <c r="C113" s="1" t="s">
        <v>1729</v>
      </c>
      <c r="D113" s="1" t="s">
        <v>1708</v>
      </c>
      <c r="E113" s="1" t="s">
        <v>1730</v>
      </c>
      <c r="F113" s="1" t="s">
        <v>1730</v>
      </c>
      <c r="H113" s="1" t="s">
        <v>1684</v>
      </c>
      <c r="I113" s="1" t="s">
        <v>1731</v>
      </c>
      <c r="J113" s="1" t="s">
        <v>1732</v>
      </c>
      <c r="K113" s="1" t="s">
        <v>1733</v>
      </c>
      <c r="L113" s="1" t="s">
        <v>1734</v>
      </c>
    </row>
    <row r="114" spans="1:12">
      <c r="A114" s="1" t="s">
        <v>1537</v>
      </c>
      <c r="B114" s="1" t="s">
        <v>1525</v>
      </c>
      <c r="C114" s="1" t="s">
        <v>1680</v>
      </c>
      <c r="D114" s="1" t="s">
        <v>1681</v>
      </c>
      <c r="E114" s="92" t="s">
        <v>1809</v>
      </c>
      <c r="F114" s="92" t="s">
        <v>1810</v>
      </c>
      <c r="H114" s="1" t="s">
        <v>1684</v>
      </c>
    </row>
    <row r="115" spans="1:12">
      <c r="A115" s="1" t="s">
        <v>1537</v>
      </c>
      <c r="B115" s="1" t="s">
        <v>1525</v>
      </c>
      <c r="C115" s="1" t="s">
        <v>1680</v>
      </c>
      <c r="D115" s="1" t="s">
        <v>1685</v>
      </c>
      <c r="E115" s="1" t="s">
        <v>1526</v>
      </c>
      <c r="F115" s="1" t="s">
        <v>1526</v>
      </c>
      <c r="H115" s="1" t="s">
        <v>1684</v>
      </c>
    </row>
    <row r="116" spans="1:12">
      <c r="A116" s="1" t="s">
        <v>1537</v>
      </c>
      <c r="B116" s="1" t="s">
        <v>1525</v>
      </c>
      <c r="C116" s="1" t="s">
        <v>1686</v>
      </c>
      <c r="D116" s="1" t="s">
        <v>218</v>
      </c>
      <c r="E116" s="92" t="s">
        <v>1811</v>
      </c>
      <c r="F116" s="92" t="s">
        <v>1811</v>
      </c>
      <c r="G116" s="92" t="s">
        <v>1738</v>
      </c>
      <c r="H116" s="1" t="s">
        <v>1684</v>
      </c>
      <c r="I116" s="1" t="s">
        <v>1689</v>
      </c>
      <c r="J116" s="1" t="s">
        <v>1690</v>
      </c>
      <c r="K116" s="1" t="s">
        <v>1691</v>
      </c>
      <c r="L116" s="1" t="s">
        <v>1692</v>
      </c>
    </row>
    <row r="117" spans="1:12">
      <c r="A117" s="1" t="s">
        <v>1537</v>
      </c>
      <c r="B117" s="1" t="s">
        <v>1525</v>
      </c>
      <c r="C117" s="1" t="s">
        <v>1686</v>
      </c>
      <c r="D117" s="1" t="s">
        <v>1693</v>
      </c>
      <c r="E117" s="1" t="s">
        <v>1694</v>
      </c>
      <c r="F117" s="1" t="s">
        <v>1694</v>
      </c>
      <c r="H117" s="1" t="s">
        <v>1684</v>
      </c>
      <c r="I117" s="1" t="s">
        <v>1689</v>
      </c>
      <c r="J117" s="1" t="s">
        <v>1690</v>
      </c>
      <c r="K117" s="1" t="s">
        <v>1691</v>
      </c>
      <c r="L117" s="1" t="s">
        <v>1692</v>
      </c>
    </row>
    <row r="118" spans="1:12">
      <c r="A118" s="1" t="s">
        <v>1537</v>
      </c>
      <c r="B118" s="1" t="s">
        <v>1525</v>
      </c>
      <c r="C118" s="1" t="s">
        <v>1686</v>
      </c>
      <c r="D118" s="1" t="s">
        <v>1695</v>
      </c>
      <c r="E118" s="1" t="s">
        <v>1696</v>
      </c>
      <c r="F118" s="1" t="s">
        <v>1696</v>
      </c>
      <c r="H118" s="1" t="s">
        <v>1684</v>
      </c>
      <c r="I118" s="1" t="s">
        <v>1689</v>
      </c>
      <c r="J118" s="1" t="s">
        <v>1690</v>
      </c>
      <c r="K118" s="1" t="s">
        <v>1691</v>
      </c>
      <c r="L118" s="1" t="s">
        <v>1692</v>
      </c>
    </row>
    <row r="119" spans="1:12">
      <c r="A119" s="1" t="s">
        <v>1537</v>
      </c>
      <c r="B119" s="1" t="s">
        <v>1525</v>
      </c>
      <c r="C119" s="1" t="s">
        <v>1686</v>
      </c>
      <c r="D119" s="1" t="s">
        <v>1697</v>
      </c>
      <c r="E119" s="1" t="s">
        <v>1698</v>
      </c>
      <c r="F119" s="1" t="s">
        <v>1698</v>
      </c>
      <c r="H119" s="1" t="s">
        <v>1684</v>
      </c>
      <c r="I119" s="1" t="s">
        <v>1689</v>
      </c>
      <c r="J119" s="1" t="s">
        <v>1690</v>
      </c>
      <c r="K119" s="1" t="s">
        <v>1691</v>
      </c>
      <c r="L119" s="1" t="s">
        <v>1692</v>
      </c>
    </row>
    <row r="120" spans="1:12">
      <c r="A120" s="1" t="s">
        <v>1537</v>
      </c>
      <c r="B120" s="1" t="s">
        <v>1525</v>
      </c>
      <c r="C120" s="1" t="s">
        <v>1686</v>
      </c>
      <c r="D120" s="1" t="s">
        <v>1699</v>
      </c>
      <c r="E120" s="92" t="s">
        <v>1812</v>
      </c>
      <c r="F120" s="92" t="s">
        <v>1813</v>
      </c>
      <c r="H120" s="1" t="s">
        <v>1684</v>
      </c>
      <c r="I120" s="1" t="s">
        <v>1689</v>
      </c>
      <c r="J120" s="1" t="s">
        <v>1690</v>
      </c>
      <c r="K120" s="1" t="s">
        <v>1691</v>
      </c>
      <c r="L120" s="1" t="s">
        <v>1692</v>
      </c>
    </row>
    <row r="121" spans="1:12">
      <c r="A121" s="1" t="s">
        <v>1537</v>
      </c>
      <c r="B121" s="1" t="s">
        <v>1525</v>
      </c>
      <c r="C121" s="1" t="s">
        <v>1686</v>
      </c>
      <c r="D121" s="1" t="s">
        <v>1702</v>
      </c>
      <c r="E121" s="92" t="s">
        <v>1814</v>
      </c>
      <c r="F121" s="92" t="s">
        <v>1815</v>
      </c>
      <c r="H121" s="1" t="s">
        <v>1684</v>
      </c>
      <c r="I121" s="1" t="s">
        <v>1689</v>
      </c>
      <c r="J121" s="1" t="s">
        <v>1690</v>
      </c>
      <c r="K121" s="1" t="s">
        <v>1691</v>
      </c>
      <c r="L121" s="1" t="s">
        <v>1692</v>
      </c>
    </row>
    <row r="122" spans="1:12">
      <c r="A122" s="1" t="s">
        <v>1537</v>
      </c>
      <c r="B122" s="1" t="s">
        <v>1525</v>
      </c>
      <c r="C122" s="1" t="s">
        <v>1686</v>
      </c>
      <c r="D122" s="1" t="s">
        <v>1705</v>
      </c>
      <c r="E122" s="92" t="s">
        <v>1816</v>
      </c>
      <c r="F122" s="92" t="s">
        <v>1817</v>
      </c>
      <c r="H122" s="1" t="s">
        <v>1684</v>
      </c>
      <c r="I122" s="1" t="s">
        <v>1689</v>
      </c>
      <c r="J122" s="1" t="s">
        <v>1690</v>
      </c>
      <c r="K122" s="1" t="s">
        <v>1691</v>
      </c>
      <c r="L122" s="1" t="s">
        <v>1692</v>
      </c>
    </row>
    <row r="123" spans="1:12">
      <c r="A123" s="1" t="s">
        <v>1537</v>
      </c>
      <c r="B123" s="1" t="s">
        <v>1525</v>
      </c>
      <c r="C123" s="1" t="s">
        <v>1394</v>
      </c>
      <c r="D123" s="1" t="s">
        <v>1708</v>
      </c>
      <c r="E123" s="1" t="s">
        <v>1709</v>
      </c>
      <c r="F123" s="1" t="s">
        <v>1709</v>
      </c>
      <c r="H123" s="1" t="s">
        <v>1684</v>
      </c>
      <c r="I123" s="1" t="s">
        <v>973</v>
      </c>
      <c r="J123" s="1" t="s">
        <v>1710</v>
      </c>
      <c r="K123" s="1" t="s">
        <v>1691</v>
      </c>
      <c r="L123" s="1" t="s">
        <v>1692</v>
      </c>
    </row>
    <row r="124" spans="1:12">
      <c r="A124" s="1" t="s">
        <v>1537</v>
      </c>
      <c r="B124" s="1" t="s">
        <v>1525</v>
      </c>
      <c r="C124" s="1" t="s">
        <v>1711</v>
      </c>
      <c r="D124" s="1" t="s">
        <v>218</v>
      </c>
      <c r="E124" s="92" t="s">
        <v>1818</v>
      </c>
      <c r="F124" s="92" t="s">
        <v>1818</v>
      </c>
      <c r="G124" s="92" t="s">
        <v>1755</v>
      </c>
      <c r="H124" s="1" t="s">
        <v>1684</v>
      </c>
      <c r="I124" s="1" t="s">
        <v>1689</v>
      </c>
      <c r="J124" s="1" t="s">
        <v>1714</v>
      </c>
      <c r="K124" s="1" t="s">
        <v>1715</v>
      </c>
      <c r="L124" s="1" t="s">
        <v>1716</v>
      </c>
    </row>
    <row r="125" spans="1:12">
      <c r="A125" s="1" t="s">
        <v>1537</v>
      </c>
      <c r="B125" s="1" t="s">
        <v>1525</v>
      </c>
      <c r="C125" s="1" t="s">
        <v>1711</v>
      </c>
      <c r="D125" s="1" t="s">
        <v>1693</v>
      </c>
      <c r="E125" s="1" t="s">
        <v>1694</v>
      </c>
      <c r="F125" s="1" t="s">
        <v>1694</v>
      </c>
      <c r="H125" s="1" t="s">
        <v>1684</v>
      </c>
      <c r="I125" s="1" t="s">
        <v>1689</v>
      </c>
      <c r="J125" s="1" t="s">
        <v>1714</v>
      </c>
      <c r="K125" s="1" t="s">
        <v>1715</v>
      </c>
      <c r="L125" s="1" t="s">
        <v>1716</v>
      </c>
    </row>
    <row r="126" spans="1:12">
      <c r="A126" s="1" t="s">
        <v>1537</v>
      </c>
      <c r="B126" s="1" t="s">
        <v>1525</v>
      </c>
      <c r="C126" s="1" t="s">
        <v>1711</v>
      </c>
      <c r="D126" s="1" t="s">
        <v>1695</v>
      </c>
      <c r="E126" s="1" t="s">
        <v>1694</v>
      </c>
      <c r="F126" s="1" t="s">
        <v>1694</v>
      </c>
      <c r="H126" s="1" t="s">
        <v>1684</v>
      </c>
      <c r="I126" s="1" t="s">
        <v>1689</v>
      </c>
      <c r="J126" s="1" t="s">
        <v>1714</v>
      </c>
      <c r="K126" s="1" t="s">
        <v>1715</v>
      </c>
      <c r="L126" s="1" t="s">
        <v>1716</v>
      </c>
    </row>
    <row r="127" spans="1:12">
      <c r="A127" s="1" t="s">
        <v>1537</v>
      </c>
      <c r="B127" s="1" t="s">
        <v>1525</v>
      </c>
      <c r="C127" s="1" t="s">
        <v>1711</v>
      </c>
      <c r="D127" s="1" t="s">
        <v>1697</v>
      </c>
      <c r="E127" s="1" t="s">
        <v>1698</v>
      </c>
      <c r="F127" s="1" t="s">
        <v>1698</v>
      </c>
      <c r="H127" s="1" t="s">
        <v>1684</v>
      </c>
      <c r="I127" s="1" t="s">
        <v>1689</v>
      </c>
      <c r="J127" s="1" t="s">
        <v>1714</v>
      </c>
      <c r="K127" s="1" t="s">
        <v>1715</v>
      </c>
      <c r="L127" s="1" t="s">
        <v>1716</v>
      </c>
    </row>
    <row r="128" spans="1:12">
      <c r="A128" s="1" t="s">
        <v>1537</v>
      </c>
      <c r="B128" s="1" t="s">
        <v>1525</v>
      </c>
      <c r="C128" s="1" t="s">
        <v>1711</v>
      </c>
      <c r="D128" s="1" t="s">
        <v>1699</v>
      </c>
      <c r="E128" s="92" t="s">
        <v>1717</v>
      </c>
      <c r="F128" s="92" t="s">
        <v>1718</v>
      </c>
      <c r="H128" s="1" t="s">
        <v>1684</v>
      </c>
      <c r="I128" s="1" t="s">
        <v>1689</v>
      </c>
      <c r="J128" s="1" t="s">
        <v>1714</v>
      </c>
      <c r="K128" s="1" t="s">
        <v>1715</v>
      </c>
      <c r="L128" s="1" t="s">
        <v>1716</v>
      </c>
    </row>
    <row r="129" spans="1:12">
      <c r="A129" s="1" t="s">
        <v>1537</v>
      </c>
      <c r="B129" s="1" t="s">
        <v>1525</v>
      </c>
      <c r="C129" s="1" t="s">
        <v>1711</v>
      </c>
      <c r="D129" s="1" t="s">
        <v>1702</v>
      </c>
      <c r="E129" s="92" t="s">
        <v>1819</v>
      </c>
      <c r="F129" s="92" t="s">
        <v>1820</v>
      </c>
      <c r="H129" s="1" t="s">
        <v>1684</v>
      </c>
      <c r="I129" s="1" t="s">
        <v>1689</v>
      </c>
      <c r="J129" s="1" t="s">
        <v>1714</v>
      </c>
      <c r="K129" s="1" t="s">
        <v>1715</v>
      </c>
      <c r="L129" s="1" t="s">
        <v>1716</v>
      </c>
    </row>
    <row r="130" spans="1:12">
      <c r="A130" s="1" t="s">
        <v>1537</v>
      </c>
      <c r="B130" s="1" t="s">
        <v>1525</v>
      </c>
      <c r="C130" s="1" t="s">
        <v>1711</v>
      </c>
      <c r="D130" s="1" t="s">
        <v>1705</v>
      </c>
      <c r="E130" s="92" t="s">
        <v>1821</v>
      </c>
      <c r="F130" s="92" t="s">
        <v>1821</v>
      </c>
      <c r="H130" s="1" t="s">
        <v>1684</v>
      </c>
      <c r="I130" s="1" t="s">
        <v>1689</v>
      </c>
      <c r="J130" s="1" t="s">
        <v>1714</v>
      </c>
      <c r="K130" s="1" t="s">
        <v>1715</v>
      </c>
      <c r="L130" s="1" t="s">
        <v>1716</v>
      </c>
    </row>
    <row r="131" spans="1:12">
      <c r="A131" s="1" t="s">
        <v>1537</v>
      </c>
      <c r="B131" s="1" t="s">
        <v>1525</v>
      </c>
      <c r="C131" s="1" t="s">
        <v>1723</v>
      </c>
      <c r="D131" s="1" t="s">
        <v>218</v>
      </c>
      <c r="E131" s="92" t="s">
        <v>1822</v>
      </c>
      <c r="F131" s="92" t="s">
        <v>1822</v>
      </c>
      <c r="G131" s="92" t="s">
        <v>1822</v>
      </c>
      <c r="H131" s="1" t="s">
        <v>1684</v>
      </c>
      <c r="I131" s="1" t="s">
        <v>973</v>
      </c>
      <c r="J131" s="1" t="s">
        <v>1726</v>
      </c>
      <c r="K131" s="1" t="s">
        <v>1727</v>
      </c>
      <c r="L131" s="1" t="s">
        <v>1728</v>
      </c>
    </row>
    <row r="132" spans="1:12">
      <c r="A132" s="1" t="s">
        <v>1537</v>
      </c>
      <c r="B132" s="1" t="s">
        <v>1525</v>
      </c>
      <c r="C132" s="1" t="s">
        <v>1723</v>
      </c>
      <c r="D132" s="1" t="s">
        <v>1693</v>
      </c>
      <c r="E132" s="1" t="s">
        <v>1694</v>
      </c>
      <c r="F132" s="1" t="s">
        <v>1694</v>
      </c>
      <c r="H132" s="1" t="s">
        <v>1684</v>
      </c>
      <c r="I132" s="1" t="s">
        <v>973</v>
      </c>
      <c r="J132" s="1" t="s">
        <v>1726</v>
      </c>
      <c r="K132" s="1" t="s">
        <v>1727</v>
      </c>
      <c r="L132" s="1" t="s">
        <v>1728</v>
      </c>
    </row>
    <row r="133" spans="1:12">
      <c r="A133" s="1" t="s">
        <v>1537</v>
      </c>
      <c r="B133" s="1" t="s">
        <v>1525</v>
      </c>
      <c r="C133" s="1" t="s">
        <v>1723</v>
      </c>
      <c r="D133" s="1" t="s">
        <v>1695</v>
      </c>
      <c r="E133" s="1" t="s">
        <v>1694</v>
      </c>
      <c r="F133" s="1" t="s">
        <v>1694</v>
      </c>
      <c r="H133" s="1" t="s">
        <v>1684</v>
      </c>
      <c r="I133" s="1" t="s">
        <v>973</v>
      </c>
      <c r="J133" s="1" t="s">
        <v>1726</v>
      </c>
      <c r="K133" s="1" t="s">
        <v>1727</v>
      </c>
      <c r="L133" s="1" t="s">
        <v>1728</v>
      </c>
    </row>
    <row r="134" spans="1:12">
      <c r="A134" s="1" t="s">
        <v>1537</v>
      </c>
      <c r="B134" s="1" t="s">
        <v>1525</v>
      </c>
      <c r="C134" s="1" t="s">
        <v>1723</v>
      </c>
      <c r="D134" s="1" t="s">
        <v>1697</v>
      </c>
      <c r="E134" s="1" t="s">
        <v>1698</v>
      </c>
      <c r="F134" s="1" t="s">
        <v>1698</v>
      </c>
      <c r="H134" s="1" t="s">
        <v>1684</v>
      </c>
      <c r="I134" s="1" t="s">
        <v>973</v>
      </c>
      <c r="J134" s="1" t="s">
        <v>1726</v>
      </c>
      <c r="K134" s="1" t="s">
        <v>1727</v>
      </c>
      <c r="L134" s="1" t="s">
        <v>1728</v>
      </c>
    </row>
    <row r="135" spans="1:12">
      <c r="A135" s="1" t="s">
        <v>1537</v>
      </c>
      <c r="B135" s="1" t="s">
        <v>1525</v>
      </c>
      <c r="C135" s="1" t="s">
        <v>1729</v>
      </c>
      <c r="D135" s="1" t="s">
        <v>1708</v>
      </c>
      <c r="E135" s="1" t="s">
        <v>1730</v>
      </c>
      <c r="F135" s="1" t="s">
        <v>1709</v>
      </c>
      <c r="H135" s="1" t="s">
        <v>1684</v>
      </c>
      <c r="I135" s="1" t="s">
        <v>1731</v>
      </c>
      <c r="J135" s="1" t="s">
        <v>1732</v>
      </c>
      <c r="K135" s="1" t="s">
        <v>1733</v>
      </c>
      <c r="L135" s="1" t="s">
        <v>1734</v>
      </c>
    </row>
    <row r="136" spans="1:12">
      <c r="A136" s="1" t="s">
        <v>1539</v>
      </c>
      <c r="B136" s="1" t="s">
        <v>1525</v>
      </c>
      <c r="C136" s="1" t="s">
        <v>1680</v>
      </c>
      <c r="D136" s="1" t="s">
        <v>1681</v>
      </c>
      <c r="E136" s="92" t="s">
        <v>1682</v>
      </c>
      <c r="F136" s="92" t="s">
        <v>1683</v>
      </c>
      <c r="H136" s="1" t="s">
        <v>1684</v>
      </c>
    </row>
    <row r="137" spans="1:12">
      <c r="A137" s="1" t="s">
        <v>1539</v>
      </c>
      <c r="B137" s="1" t="s">
        <v>1525</v>
      </c>
      <c r="C137" s="1" t="s">
        <v>1680</v>
      </c>
      <c r="D137" s="1" t="s">
        <v>1685</v>
      </c>
      <c r="E137" s="1" t="s">
        <v>1526</v>
      </c>
      <c r="F137" s="1" t="s">
        <v>1526</v>
      </c>
      <c r="H137" s="1" t="s">
        <v>1684</v>
      </c>
    </row>
    <row r="138" spans="1:12">
      <c r="A138" s="1" t="s">
        <v>1539</v>
      </c>
      <c r="B138" s="1" t="s">
        <v>1525</v>
      </c>
      <c r="C138" s="1" t="s">
        <v>1686</v>
      </c>
      <c r="D138" s="1" t="s">
        <v>218</v>
      </c>
      <c r="E138" s="92" t="s">
        <v>1823</v>
      </c>
      <c r="F138" s="92" t="s">
        <v>1823</v>
      </c>
      <c r="G138" s="92" t="s">
        <v>1738</v>
      </c>
      <c r="H138" s="1" t="s">
        <v>1684</v>
      </c>
      <c r="I138" s="1" t="s">
        <v>1689</v>
      </c>
      <c r="J138" s="1" t="s">
        <v>1690</v>
      </c>
      <c r="K138" s="1" t="s">
        <v>1691</v>
      </c>
      <c r="L138" s="1" t="s">
        <v>1692</v>
      </c>
    </row>
    <row r="139" spans="1:12">
      <c r="A139" s="1" t="s">
        <v>1539</v>
      </c>
      <c r="B139" s="1" t="s">
        <v>1525</v>
      </c>
      <c r="C139" s="1" t="s">
        <v>1686</v>
      </c>
      <c r="D139" s="1" t="s">
        <v>1693</v>
      </c>
      <c r="E139" s="1" t="s">
        <v>1694</v>
      </c>
      <c r="F139" s="1" t="s">
        <v>1694</v>
      </c>
      <c r="H139" s="1" t="s">
        <v>1684</v>
      </c>
      <c r="I139" s="1" t="s">
        <v>1689</v>
      </c>
      <c r="J139" s="1" t="s">
        <v>1690</v>
      </c>
      <c r="K139" s="1" t="s">
        <v>1691</v>
      </c>
      <c r="L139" s="1" t="s">
        <v>1692</v>
      </c>
    </row>
    <row r="140" spans="1:12">
      <c r="A140" s="1" t="s">
        <v>1539</v>
      </c>
      <c r="B140" s="1" t="s">
        <v>1525</v>
      </c>
      <c r="C140" s="1" t="s">
        <v>1686</v>
      </c>
      <c r="D140" s="1" t="s">
        <v>1695</v>
      </c>
      <c r="E140" s="1" t="s">
        <v>1696</v>
      </c>
      <c r="F140" s="1" t="s">
        <v>1696</v>
      </c>
      <c r="H140" s="1" t="s">
        <v>1684</v>
      </c>
      <c r="I140" s="1" t="s">
        <v>1689</v>
      </c>
      <c r="J140" s="1" t="s">
        <v>1690</v>
      </c>
      <c r="K140" s="1" t="s">
        <v>1691</v>
      </c>
      <c r="L140" s="1" t="s">
        <v>1692</v>
      </c>
    </row>
    <row r="141" spans="1:12">
      <c r="A141" s="1" t="s">
        <v>1539</v>
      </c>
      <c r="B141" s="1" t="s">
        <v>1525</v>
      </c>
      <c r="C141" s="1" t="s">
        <v>1686</v>
      </c>
      <c r="D141" s="1" t="s">
        <v>1697</v>
      </c>
      <c r="E141" s="1" t="s">
        <v>1698</v>
      </c>
      <c r="F141" s="1" t="s">
        <v>1698</v>
      </c>
      <c r="H141" s="1" t="s">
        <v>1684</v>
      </c>
      <c r="I141" s="1" t="s">
        <v>1689</v>
      </c>
      <c r="J141" s="1" t="s">
        <v>1690</v>
      </c>
      <c r="K141" s="1" t="s">
        <v>1691</v>
      </c>
      <c r="L141" s="1" t="s">
        <v>1692</v>
      </c>
    </row>
    <row r="142" spans="1:12">
      <c r="A142" s="1" t="s">
        <v>1539</v>
      </c>
      <c r="B142" s="1" t="s">
        <v>1525</v>
      </c>
      <c r="C142" s="1" t="s">
        <v>1686</v>
      </c>
      <c r="D142" s="1" t="s">
        <v>1699</v>
      </c>
      <c r="E142" s="92" t="s">
        <v>1824</v>
      </c>
      <c r="F142" s="92" t="s">
        <v>1825</v>
      </c>
      <c r="H142" s="1" t="s">
        <v>1684</v>
      </c>
      <c r="I142" s="1" t="s">
        <v>1689</v>
      </c>
      <c r="J142" s="1" t="s">
        <v>1690</v>
      </c>
      <c r="K142" s="1" t="s">
        <v>1691</v>
      </c>
      <c r="L142" s="1" t="s">
        <v>1692</v>
      </c>
    </row>
    <row r="143" spans="1:12">
      <c r="A143" s="1" t="s">
        <v>1539</v>
      </c>
      <c r="B143" s="1" t="s">
        <v>1525</v>
      </c>
      <c r="C143" s="1" t="s">
        <v>1686</v>
      </c>
      <c r="D143" s="1" t="s">
        <v>1702</v>
      </c>
      <c r="E143" s="92" t="s">
        <v>1826</v>
      </c>
      <c r="F143" s="92" t="s">
        <v>1827</v>
      </c>
      <c r="H143" s="1" t="s">
        <v>1684</v>
      </c>
      <c r="I143" s="1" t="s">
        <v>1689</v>
      </c>
      <c r="J143" s="1" t="s">
        <v>1690</v>
      </c>
      <c r="K143" s="1" t="s">
        <v>1691</v>
      </c>
      <c r="L143" s="1" t="s">
        <v>1692</v>
      </c>
    </row>
    <row r="144" spans="1:12">
      <c r="A144" s="1" t="s">
        <v>1539</v>
      </c>
      <c r="B144" s="1" t="s">
        <v>1525</v>
      </c>
      <c r="C144" s="1" t="s">
        <v>1686</v>
      </c>
      <c r="D144" s="1" t="s">
        <v>1705</v>
      </c>
      <c r="E144" s="92" t="s">
        <v>1828</v>
      </c>
      <c r="F144" s="92" t="s">
        <v>1829</v>
      </c>
      <c r="H144" s="1" t="s">
        <v>1684</v>
      </c>
      <c r="I144" s="1" t="s">
        <v>1689</v>
      </c>
      <c r="J144" s="1" t="s">
        <v>1690</v>
      </c>
      <c r="K144" s="1" t="s">
        <v>1691</v>
      </c>
      <c r="L144" s="1" t="s">
        <v>1692</v>
      </c>
    </row>
    <row r="145" spans="1:12">
      <c r="A145" s="1" t="s">
        <v>1539</v>
      </c>
      <c r="B145" s="1" t="s">
        <v>1525</v>
      </c>
      <c r="C145" s="1" t="s">
        <v>1394</v>
      </c>
      <c r="D145" s="1" t="s">
        <v>1708</v>
      </c>
      <c r="E145" s="1" t="s">
        <v>1709</v>
      </c>
      <c r="F145" s="1" t="s">
        <v>1709</v>
      </c>
      <c r="H145" s="1" t="s">
        <v>1684</v>
      </c>
      <c r="I145" s="1" t="s">
        <v>973</v>
      </c>
      <c r="J145" s="1" t="s">
        <v>1710</v>
      </c>
      <c r="K145" s="1" t="s">
        <v>1691</v>
      </c>
      <c r="L145" s="1" t="s">
        <v>1692</v>
      </c>
    </row>
    <row r="146" spans="1:12">
      <c r="A146" s="1" t="s">
        <v>1539</v>
      </c>
      <c r="B146" s="1" t="s">
        <v>1525</v>
      </c>
      <c r="C146" s="1" t="s">
        <v>1711</v>
      </c>
      <c r="D146" s="1" t="s">
        <v>218</v>
      </c>
      <c r="E146" s="92" t="s">
        <v>1830</v>
      </c>
      <c r="F146" s="92" t="s">
        <v>1830</v>
      </c>
      <c r="G146" s="92" t="s">
        <v>1831</v>
      </c>
      <c r="H146" s="1" t="s">
        <v>1684</v>
      </c>
      <c r="I146" s="1" t="s">
        <v>1689</v>
      </c>
      <c r="J146" s="1" t="s">
        <v>1714</v>
      </c>
      <c r="K146" s="1" t="s">
        <v>1715</v>
      </c>
      <c r="L146" s="1" t="s">
        <v>1716</v>
      </c>
    </row>
    <row r="147" spans="1:12">
      <c r="A147" s="1" t="s">
        <v>1539</v>
      </c>
      <c r="B147" s="1" t="s">
        <v>1525</v>
      </c>
      <c r="C147" s="1" t="s">
        <v>1711</v>
      </c>
      <c r="D147" s="1" t="s">
        <v>1693</v>
      </c>
      <c r="E147" s="1" t="s">
        <v>1694</v>
      </c>
      <c r="F147" s="1" t="s">
        <v>1694</v>
      </c>
      <c r="H147" s="1" t="s">
        <v>1684</v>
      </c>
      <c r="I147" s="1" t="s">
        <v>1689</v>
      </c>
      <c r="J147" s="1" t="s">
        <v>1714</v>
      </c>
      <c r="K147" s="1" t="s">
        <v>1715</v>
      </c>
      <c r="L147" s="1" t="s">
        <v>1716</v>
      </c>
    </row>
    <row r="148" spans="1:12">
      <c r="A148" s="1" t="s">
        <v>1539</v>
      </c>
      <c r="B148" s="1" t="s">
        <v>1525</v>
      </c>
      <c r="C148" s="1" t="s">
        <v>1711</v>
      </c>
      <c r="D148" s="1" t="s">
        <v>1695</v>
      </c>
      <c r="E148" s="1" t="s">
        <v>1694</v>
      </c>
      <c r="F148" s="1" t="s">
        <v>1694</v>
      </c>
      <c r="H148" s="1" t="s">
        <v>1684</v>
      </c>
      <c r="I148" s="1" t="s">
        <v>1689</v>
      </c>
      <c r="J148" s="1" t="s">
        <v>1714</v>
      </c>
      <c r="K148" s="1" t="s">
        <v>1715</v>
      </c>
      <c r="L148" s="1" t="s">
        <v>1716</v>
      </c>
    </row>
    <row r="149" spans="1:12">
      <c r="A149" s="1" t="s">
        <v>1539</v>
      </c>
      <c r="B149" s="1" t="s">
        <v>1525</v>
      </c>
      <c r="C149" s="1" t="s">
        <v>1711</v>
      </c>
      <c r="D149" s="1" t="s">
        <v>1697</v>
      </c>
      <c r="E149" s="1" t="s">
        <v>1698</v>
      </c>
      <c r="F149" s="1" t="s">
        <v>1698</v>
      </c>
      <c r="H149" s="1" t="s">
        <v>1684</v>
      </c>
      <c r="I149" s="1" t="s">
        <v>1689</v>
      </c>
      <c r="J149" s="1" t="s">
        <v>1714</v>
      </c>
      <c r="K149" s="1" t="s">
        <v>1715</v>
      </c>
      <c r="L149" s="1" t="s">
        <v>1716</v>
      </c>
    </row>
    <row r="150" spans="1:12">
      <c r="A150" s="1" t="s">
        <v>1539</v>
      </c>
      <c r="B150" s="1" t="s">
        <v>1525</v>
      </c>
      <c r="C150" s="1" t="s">
        <v>1711</v>
      </c>
      <c r="D150" s="1" t="s">
        <v>1699</v>
      </c>
      <c r="E150" s="92" t="s">
        <v>1832</v>
      </c>
      <c r="F150" s="92" t="s">
        <v>1833</v>
      </c>
      <c r="H150" s="1" t="s">
        <v>1684</v>
      </c>
      <c r="I150" s="1" t="s">
        <v>1689</v>
      </c>
      <c r="J150" s="1" t="s">
        <v>1714</v>
      </c>
      <c r="K150" s="1" t="s">
        <v>1715</v>
      </c>
      <c r="L150" s="1" t="s">
        <v>1716</v>
      </c>
    </row>
    <row r="151" spans="1:12">
      <c r="A151" s="1" t="s">
        <v>1539</v>
      </c>
      <c r="B151" s="1" t="s">
        <v>1525</v>
      </c>
      <c r="C151" s="1" t="s">
        <v>1711</v>
      </c>
      <c r="D151" s="1" t="s">
        <v>1702</v>
      </c>
      <c r="E151" s="92" t="s">
        <v>1834</v>
      </c>
      <c r="F151" s="92" t="s">
        <v>1834</v>
      </c>
      <c r="H151" s="1" t="s">
        <v>1684</v>
      </c>
      <c r="I151" s="1" t="s">
        <v>1689</v>
      </c>
      <c r="J151" s="1" t="s">
        <v>1714</v>
      </c>
      <c r="K151" s="1" t="s">
        <v>1715</v>
      </c>
      <c r="L151" s="1" t="s">
        <v>1716</v>
      </c>
    </row>
    <row r="152" spans="1:12">
      <c r="A152" s="1" t="s">
        <v>1539</v>
      </c>
      <c r="B152" s="1" t="s">
        <v>1525</v>
      </c>
      <c r="C152" s="1" t="s">
        <v>1711</v>
      </c>
      <c r="D152" s="1" t="s">
        <v>1705</v>
      </c>
      <c r="E152" s="92" t="s">
        <v>1835</v>
      </c>
      <c r="F152" s="92" t="s">
        <v>1836</v>
      </c>
      <c r="H152" s="1" t="s">
        <v>1684</v>
      </c>
      <c r="I152" s="1" t="s">
        <v>1689</v>
      </c>
      <c r="J152" s="1" t="s">
        <v>1714</v>
      </c>
      <c r="K152" s="1" t="s">
        <v>1715</v>
      </c>
      <c r="L152" s="1" t="s">
        <v>1716</v>
      </c>
    </row>
    <row r="153" spans="1:12">
      <c r="A153" s="1" t="s">
        <v>1539</v>
      </c>
      <c r="B153" s="1" t="s">
        <v>1525</v>
      </c>
      <c r="C153" s="1" t="s">
        <v>1723</v>
      </c>
      <c r="D153" s="1" t="s">
        <v>218</v>
      </c>
      <c r="E153" s="92" t="s">
        <v>1837</v>
      </c>
      <c r="F153" s="92" t="s">
        <v>1837</v>
      </c>
      <c r="G153" s="92" t="s">
        <v>1755</v>
      </c>
      <c r="H153" s="1" t="s">
        <v>1684</v>
      </c>
      <c r="I153" s="1" t="s">
        <v>973</v>
      </c>
      <c r="J153" s="1" t="s">
        <v>1726</v>
      </c>
      <c r="K153" s="1" t="s">
        <v>1727</v>
      </c>
      <c r="L153" s="1" t="s">
        <v>1728</v>
      </c>
    </row>
    <row r="154" spans="1:12">
      <c r="A154" s="1" t="s">
        <v>1539</v>
      </c>
      <c r="B154" s="1" t="s">
        <v>1525</v>
      </c>
      <c r="C154" s="1" t="s">
        <v>1723</v>
      </c>
      <c r="D154" s="1" t="s">
        <v>1693</v>
      </c>
      <c r="E154" s="1" t="s">
        <v>1694</v>
      </c>
      <c r="F154" s="1" t="s">
        <v>1694</v>
      </c>
      <c r="H154" s="1" t="s">
        <v>1684</v>
      </c>
      <c r="I154" s="1" t="s">
        <v>973</v>
      </c>
      <c r="J154" s="1" t="s">
        <v>1726</v>
      </c>
      <c r="K154" s="1" t="s">
        <v>1727</v>
      </c>
      <c r="L154" s="1" t="s">
        <v>1728</v>
      </c>
    </row>
    <row r="155" spans="1:12">
      <c r="A155" s="1" t="s">
        <v>1539</v>
      </c>
      <c r="B155" s="1" t="s">
        <v>1525</v>
      </c>
      <c r="C155" s="1" t="s">
        <v>1723</v>
      </c>
      <c r="D155" s="1" t="s">
        <v>1695</v>
      </c>
      <c r="E155" s="1" t="s">
        <v>1694</v>
      </c>
      <c r="F155" s="1" t="s">
        <v>1694</v>
      </c>
      <c r="H155" s="1" t="s">
        <v>1684</v>
      </c>
      <c r="I155" s="1" t="s">
        <v>973</v>
      </c>
      <c r="J155" s="1" t="s">
        <v>1726</v>
      </c>
      <c r="K155" s="1" t="s">
        <v>1727</v>
      </c>
      <c r="L155" s="1" t="s">
        <v>1728</v>
      </c>
    </row>
    <row r="156" spans="1:12">
      <c r="A156" s="1" t="s">
        <v>1539</v>
      </c>
      <c r="B156" s="1" t="s">
        <v>1525</v>
      </c>
      <c r="C156" s="1" t="s">
        <v>1723</v>
      </c>
      <c r="D156" s="1" t="s">
        <v>1697</v>
      </c>
      <c r="E156" s="1" t="s">
        <v>1698</v>
      </c>
      <c r="F156" s="1" t="s">
        <v>1698</v>
      </c>
      <c r="H156" s="1" t="s">
        <v>1684</v>
      </c>
      <c r="I156" s="1" t="s">
        <v>973</v>
      </c>
      <c r="J156" s="1" t="s">
        <v>1726</v>
      </c>
      <c r="K156" s="1" t="s">
        <v>1727</v>
      </c>
      <c r="L156" s="1" t="s">
        <v>1728</v>
      </c>
    </row>
    <row r="157" spans="1:12">
      <c r="A157" s="1" t="s">
        <v>1539</v>
      </c>
      <c r="B157" s="1" t="s">
        <v>1525</v>
      </c>
      <c r="C157" s="1" t="s">
        <v>1729</v>
      </c>
      <c r="D157" s="1" t="s">
        <v>1708</v>
      </c>
      <c r="E157" s="1" t="s">
        <v>1730</v>
      </c>
      <c r="F157" s="1" t="s">
        <v>1730</v>
      </c>
      <c r="H157" s="1" t="s">
        <v>1684</v>
      </c>
      <c r="I157" s="1" t="s">
        <v>1731</v>
      </c>
      <c r="J157" s="1" t="s">
        <v>1732</v>
      </c>
      <c r="K157" s="1" t="s">
        <v>1733</v>
      </c>
      <c r="L157" s="1" t="s">
        <v>1734</v>
      </c>
    </row>
    <row r="158" spans="1:12">
      <c r="A158" s="1" t="s">
        <v>1541</v>
      </c>
      <c r="B158" s="1" t="s">
        <v>1525</v>
      </c>
      <c r="C158" s="1" t="s">
        <v>1680</v>
      </c>
      <c r="D158" s="1" t="s">
        <v>1681</v>
      </c>
      <c r="E158" s="92" t="s">
        <v>1735</v>
      </c>
      <c r="F158" s="92" t="s">
        <v>1736</v>
      </c>
      <c r="H158" s="1" t="s">
        <v>1684</v>
      </c>
    </row>
    <row r="159" spans="1:12">
      <c r="A159" s="1" t="s">
        <v>1541</v>
      </c>
      <c r="B159" s="1" t="s">
        <v>1525</v>
      </c>
      <c r="C159" s="1" t="s">
        <v>1680</v>
      </c>
      <c r="D159" s="1" t="s">
        <v>1685</v>
      </c>
      <c r="E159" s="1" t="s">
        <v>1526</v>
      </c>
      <c r="F159" s="1" t="s">
        <v>1526</v>
      </c>
      <c r="H159" s="1" t="s">
        <v>1684</v>
      </c>
    </row>
    <row r="160" spans="1:12">
      <c r="A160" s="1" t="s">
        <v>1541</v>
      </c>
      <c r="B160" s="1" t="s">
        <v>1525</v>
      </c>
      <c r="C160" s="1" t="s">
        <v>1686</v>
      </c>
      <c r="D160" s="1" t="s">
        <v>218</v>
      </c>
      <c r="E160" s="92" t="s">
        <v>1838</v>
      </c>
      <c r="F160" s="92" t="s">
        <v>1838</v>
      </c>
      <c r="G160" s="92" t="s">
        <v>1688</v>
      </c>
      <c r="H160" s="1" t="s">
        <v>1684</v>
      </c>
      <c r="I160" s="1" t="s">
        <v>1689</v>
      </c>
      <c r="J160" s="1" t="s">
        <v>1690</v>
      </c>
      <c r="K160" s="1" t="s">
        <v>1691</v>
      </c>
      <c r="L160" s="1" t="s">
        <v>1692</v>
      </c>
    </row>
    <row r="161" spans="1:12">
      <c r="A161" s="1" t="s">
        <v>1541</v>
      </c>
      <c r="B161" s="1" t="s">
        <v>1525</v>
      </c>
      <c r="C161" s="1" t="s">
        <v>1686</v>
      </c>
      <c r="D161" s="1" t="s">
        <v>1693</v>
      </c>
      <c r="E161" s="1" t="s">
        <v>1694</v>
      </c>
      <c r="F161" s="1" t="s">
        <v>1694</v>
      </c>
      <c r="H161" s="1" t="s">
        <v>1684</v>
      </c>
      <c r="I161" s="1" t="s">
        <v>1689</v>
      </c>
      <c r="J161" s="1" t="s">
        <v>1690</v>
      </c>
      <c r="K161" s="1" t="s">
        <v>1691</v>
      </c>
      <c r="L161" s="1" t="s">
        <v>1692</v>
      </c>
    </row>
    <row r="162" spans="1:12">
      <c r="A162" s="1" t="s">
        <v>1541</v>
      </c>
      <c r="B162" s="1" t="s">
        <v>1525</v>
      </c>
      <c r="C162" s="1" t="s">
        <v>1686</v>
      </c>
      <c r="D162" s="1" t="s">
        <v>1695</v>
      </c>
      <c r="E162" s="1" t="s">
        <v>1696</v>
      </c>
      <c r="F162" s="1" t="s">
        <v>1696</v>
      </c>
      <c r="H162" s="1" t="s">
        <v>1684</v>
      </c>
      <c r="I162" s="1" t="s">
        <v>1689</v>
      </c>
      <c r="J162" s="1" t="s">
        <v>1690</v>
      </c>
      <c r="K162" s="1" t="s">
        <v>1691</v>
      </c>
      <c r="L162" s="1" t="s">
        <v>1692</v>
      </c>
    </row>
    <row r="163" spans="1:12">
      <c r="A163" s="1" t="s">
        <v>1541</v>
      </c>
      <c r="B163" s="1" t="s">
        <v>1525</v>
      </c>
      <c r="C163" s="1" t="s">
        <v>1686</v>
      </c>
      <c r="D163" s="1" t="s">
        <v>1697</v>
      </c>
      <c r="E163" s="1" t="s">
        <v>1698</v>
      </c>
      <c r="F163" s="1" t="s">
        <v>1698</v>
      </c>
      <c r="H163" s="1" t="s">
        <v>1684</v>
      </c>
      <c r="I163" s="1" t="s">
        <v>1689</v>
      </c>
      <c r="J163" s="1" t="s">
        <v>1690</v>
      </c>
      <c r="K163" s="1" t="s">
        <v>1691</v>
      </c>
      <c r="L163" s="1" t="s">
        <v>1692</v>
      </c>
    </row>
    <row r="164" spans="1:12">
      <c r="A164" s="1" t="s">
        <v>1541</v>
      </c>
      <c r="B164" s="1" t="s">
        <v>1525</v>
      </c>
      <c r="C164" s="1" t="s">
        <v>1686</v>
      </c>
      <c r="D164" s="1" t="s">
        <v>1699</v>
      </c>
      <c r="E164" s="92" t="s">
        <v>1839</v>
      </c>
      <c r="F164" s="92" t="s">
        <v>1840</v>
      </c>
      <c r="H164" s="1" t="s">
        <v>1684</v>
      </c>
      <c r="I164" s="1" t="s">
        <v>1689</v>
      </c>
      <c r="J164" s="1" t="s">
        <v>1690</v>
      </c>
      <c r="K164" s="1" t="s">
        <v>1691</v>
      </c>
      <c r="L164" s="1" t="s">
        <v>1692</v>
      </c>
    </row>
    <row r="165" spans="1:12">
      <c r="A165" s="1" t="s">
        <v>1541</v>
      </c>
      <c r="B165" s="1" t="s">
        <v>1525</v>
      </c>
      <c r="C165" s="1" t="s">
        <v>1686</v>
      </c>
      <c r="D165" s="1" t="s">
        <v>1702</v>
      </c>
      <c r="E165" s="92" t="s">
        <v>1841</v>
      </c>
      <c r="F165" s="92" t="s">
        <v>1841</v>
      </c>
      <c r="H165" s="1" t="s">
        <v>1684</v>
      </c>
      <c r="I165" s="1" t="s">
        <v>1689</v>
      </c>
      <c r="J165" s="1" t="s">
        <v>1690</v>
      </c>
      <c r="K165" s="1" t="s">
        <v>1691</v>
      </c>
      <c r="L165" s="1" t="s">
        <v>1692</v>
      </c>
    </row>
    <row r="166" spans="1:12">
      <c r="A166" s="1" t="s">
        <v>1541</v>
      </c>
      <c r="B166" s="1" t="s">
        <v>1525</v>
      </c>
      <c r="C166" s="1" t="s">
        <v>1686</v>
      </c>
      <c r="D166" s="1" t="s">
        <v>1705</v>
      </c>
      <c r="E166" s="92" t="s">
        <v>1842</v>
      </c>
      <c r="F166" s="92" t="s">
        <v>1843</v>
      </c>
      <c r="H166" s="1" t="s">
        <v>1684</v>
      </c>
      <c r="I166" s="1" t="s">
        <v>1689</v>
      </c>
      <c r="J166" s="1" t="s">
        <v>1690</v>
      </c>
      <c r="K166" s="1" t="s">
        <v>1691</v>
      </c>
      <c r="L166" s="1" t="s">
        <v>1692</v>
      </c>
    </row>
    <row r="167" spans="1:12">
      <c r="A167" s="1" t="s">
        <v>1541</v>
      </c>
      <c r="B167" s="1" t="s">
        <v>1525</v>
      </c>
      <c r="C167" s="1" t="s">
        <v>1394</v>
      </c>
      <c r="D167" s="1" t="s">
        <v>1708</v>
      </c>
      <c r="E167" s="1" t="s">
        <v>1709</v>
      </c>
      <c r="F167" s="1" t="s">
        <v>1709</v>
      </c>
      <c r="H167" s="1" t="s">
        <v>1684</v>
      </c>
      <c r="I167" s="1" t="s">
        <v>973</v>
      </c>
      <c r="J167" s="1" t="s">
        <v>1710</v>
      </c>
      <c r="K167" s="1" t="s">
        <v>1691</v>
      </c>
      <c r="L167" s="1" t="s">
        <v>1692</v>
      </c>
    </row>
    <row r="168" spans="1:12">
      <c r="A168" s="1" t="s">
        <v>1541</v>
      </c>
      <c r="B168" s="1" t="s">
        <v>1525</v>
      </c>
      <c r="C168" s="1" t="s">
        <v>1711</v>
      </c>
      <c r="D168" s="1" t="s">
        <v>218</v>
      </c>
      <c r="E168" s="92" t="s">
        <v>1844</v>
      </c>
      <c r="F168" s="92" t="s">
        <v>1844</v>
      </c>
      <c r="G168" s="92" t="s">
        <v>1725</v>
      </c>
      <c r="H168" s="1" t="s">
        <v>1684</v>
      </c>
      <c r="I168" s="1" t="s">
        <v>1689</v>
      </c>
      <c r="J168" s="1" t="s">
        <v>1714</v>
      </c>
      <c r="K168" s="1" t="s">
        <v>1715</v>
      </c>
      <c r="L168" s="1" t="s">
        <v>1716</v>
      </c>
    </row>
    <row r="169" spans="1:12">
      <c r="A169" s="1" t="s">
        <v>1541</v>
      </c>
      <c r="B169" s="1" t="s">
        <v>1525</v>
      </c>
      <c r="C169" s="1" t="s">
        <v>1711</v>
      </c>
      <c r="D169" s="1" t="s">
        <v>1693</v>
      </c>
      <c r="E169" s="1" t="s">
        <v>1745</v>
      </c>
      <c r="F169" s="1" t="s">
        <v>1745</v>
      </c>
      <c r="H169" s="1" t="s">
        <v>1684</v>
      </c>
      <c r="I169" s="1" t="s">
        <v>1689</v>
      </c>
      <c r="J169" s="1" t="s">
        <v>1714</v>
      </c>
      <c r="K169" s="1" t="s">
        <v>1715</v>
      </c>
      <c r="L169" s="1" t="s">
        <v>1716</v>
      </c>
    </row>
    <row r="170" spans="1:12">
      <c r="A170" s="1" t="s">
        <v>1541</v>
      </c>
      <c r="B170" s="1" t="s">
        <v>1525</v>
      </c>
      <c r="C170" s="1" t="s">
        <v>1711</v>
      </c>
      <c r="D170" s="1" t="s">
        <v>1695</v>
      </c>
      <c r="E170" s="1" t="s">
        <v>1746</v>
      </c>
      <c r="F170" s="1" t="s">
        <v>1746</v>
      </c>
      <c r="H170" s="1" t="s">
        <v>1684</v>
      </c>
      <c r="I170" s="1" t="s">
        <v>1689</v>
      </c>
      <c r="J170" s="1" t="s">
        <v>1714</v>
      </c>
      <c r="K170" s="1" t="s">
        <v>1715</v>
      </c>
      <c r="L170" s="1" t="s">
        <v>1716</v>
      </c>
    </row>
    <row r="171" spans="1:12">
      <c r="A171" s="1" t="s">
        <v>1541</v>
      </c>
      <c r="B171" s="1" t="s">
        <v>1525</v>
      </c>
      <c r="C171" s="1" t="s">
        <v>1711</v>
      </c>
      <c r="D171" s="1" t="s">
        <v>1697</v>
      </c>
      <c r="E171" s="1" t="s">
        <v>1698</v>
      </c>
      <c r="F171" s="1" t="s">
        <v>1698</v>
      </c>
      <c r="H171" s="1" t="s">
        <v>1684</v>
      </c>
      <c r="I171" s="1" t="s">
        <v>1689</v>
      </c>
      <c r="J171" s="1" t="s">
        <v>1714</v>
      </c>
      <c r="K171" s="1" t="s">
        <v>1715</v>
      </c>
      <c r="L171" s="1" t="s">
        <v>1716</v>
      </c>
    </row>
    <row r="172" spans="1:12">
      <c r="A172" s="1" t="s">
        <v>1541</v>
      </c>
      <c r="B172" s="1" t="s">
        <v>1525</v>
      </c>
      <c r="C172" s="1" t="s">
        <v>1711</v>
      </c>
      <c r="D172" s="1" t="s">
        <v>1699</v>
      </c>
      <c r="E172" s="92" t="s">
        <v>1832</v>
      </c>
      <c r="F172" s="92" t="s">
        <v>1833</v>
      </c>
      <c r="H172" s="1" t="s">
        <v>1684</v>
      </c>
      <c r="I172" s="1" t="s">
        <v>1689</v>
      </c>
      <c r="J172" s="1" t="s">
        <v>1714</v>
      </c>
      <c r="K172" s="1" t="s">
        <v>1715</v>
      </c>
      <c r="L172" s="1" t="s">
        <v>1716</v>
      </c>
    </row>
    <row r="173" spans="1:12">
      <c r="A173" s="1" t="s">
        <v>1541</v>
      </c>
      <c r="B173" s="1" t="s">
        <v>1525</v>
      </c>
      <c r="C173" s="1" t="s">
        <v>1711</v>
      </c>
      <c r="D173" s="1" t="s">
        <v>1702</v>
      </c>
      <c r="E173" s="92" t="s">
        <v>1845</v>
      </c>
      <c r="F173" s="92" t="s">
        <v>1845</v>
      </c>
      <c r="H173" s="1" t="s">
        <v>1684</v>
      </c>
      <c r="I173" s="1" t="s">
        <v>1689</v>
      </c>
      <c r="J173" s="1" t="s">
        <v>1714</v>
      </c>
      <c r="K173" s="1" t="s">
        <v>1715</v>
      </c>
      <c r="L173" s="1" t="s">
        <v>1716</v>
      </c>
    </row>
    <row r="174" spans="1:12">
      <c r="A174" s="1" t="s">
        <v>1541</v>
      </c>
      <c r="B174" s="1" t="s">
        <v>1525</v>
      </c>
      <c r="C174" s="1" t="s">
        <v>1711</v>
      </c>
      <c r="D174" s="1" t="s">
        <v>1705</v>
      </c>
      <c r="E174" s="92" t="s">
        <v>1846</v>
      </c>
      <c r="F174" s="92" t="s">
        <v>1836</v>
      </c>
      <c r="H174" s="1" t="s">
        <v>1684</v>
      </c>
      <c r="I174" s="1" t="s">
        <v>1689</v>
      </c>
      <c r="J174" s="1" t="s">
        <v>1714</v>
      </c>
      <c r="K174" s="1" t="s">
        <v>1715</v>
      </c>
      <c r="L174" s="1" t="s">
        <v>1716</v>
      </c>
    </row>
    <row r="175" spans="1:12">
      <c r="A175" s="1" t="s">
        <v>1541</v>
      </c>
      <c r="B175" s="1" t="s">
        <v>1525</v>
      </c>
      <c r="C175" s="1" t="s">
        <v>1723</v>
      </c>
      <c r="D175" s="1" t="s">
        <v>218</v>
      </c>
      <c r="E175" s="92" t="s">
        <v>1847</v>
      </c>
      <c r="F175" s="92" t="s">
        <v>1847</v>
      </c>
      <c r="G175" s="92" t="s">
        <v>1713</v>
      </c>
      <c r="H175" s="1" t="s">
        <v>1684</v>
      </c>
      <c r="I175" s="1" t="s">
        <v>973</v>
      </c>
      <c r="J175" s="1" t="s">
        <v>1726</v>
      </c>
      <c r="K175" s="1" t="s">
        <v>1727</v>
      </c>
      <c r="L175" s="1" t="s">
        <v>1728</v>
      </c>
    </row>
    <row r="176" spans="1:12">
      <c r="A176" s="1" t="s">
        <v>1541</v>
      </c>
      <c r="B176" s="1" t="s">
        <v>1525</v>
      </c>
      <c r="C176" s="1" t="s">
        <v>1723</v>
      </c>
      <c r="D176" s="1" t="s">
        <v>1693</v>
      </c>
      <c r="E176" s="1" t="s">
        <v>1694</v>
      </c>
      <c r="F176" s="1" t="s">
        <v>1694</v>
      </c>
      <c r="H176" s="1" t="s">
        <v>1684</v>
      </c>
      <c r="I176" s="1" t="s">
        <v>973</v>
      </c>
      <c r="J176" s="1" t="s">
        <v>1726</v>
      </c>
      <c r="K176" s="1" t="s">
        <v>1727</v>
      </c>
      <c r="L176" s="1" t="s">
        <v>1728</v>
      </c>
    </row>
    <row r="177" spans="1:12">
      <c r="A177" s="1" t="s">
        <v>1541</v>
      </c>
      <c r="B177" s="1" t="s">
        <v>1525</v>
      </c>
      <c r="C177" s="1" t="s">
        <v>1723</v>
      </c>
      <c r="D177" s="1" t="s">
        <v>1695</v>
      </c>
      <c r="E177" s="1" t="s">
        <v>1694</v>
      </c>
      <c r="F177" s="1" t="s">
        <v>1694</v>
      </c>
      <c r="H177" s="1" t="s">
        <v>1684</v>
      </c>
      <c r="I177" s="1" t="s">
        <v>973</v>
      </c>
      <c r="J177" s="1" t="s">
        <v>1726</v>
      </c>
      <c r="K177" s="1" t="s">
        <v>1727</v>
      </c>
      <c r="L177" s="1" t="s">
        <v>1728</v>
      </c>
    </row>
    <row r="178" spans="1:12">
      <c r="A178" s="1" t="s">
        <v>1541</v>
      </c>
      <c r="B178" s="1" t="s">
        <v>1525</v>
      </c>
      <c r="C178" s="1" t="s">
        <v>1723</v>
      </c>
      <c r="D178" s="1" t="s">
        <v>1697</v>
      </c>
      <c r="E178" s="1" t="s">
        <v>1698</v>
      </c>
      <c r="F178" s="1" t="s">
        <v>1698</v>
      </c>
      <c r="H178" s="1" t="s">
        <v>1684</v>
      </c>
      <c r="I178" s="1" t="s">
        <v>973</v>
      </c>
      <c r="J178" s="1" t="s">
        <v>1726</v>
      </c>
      <c r="K178" s="1" t="s">
        <v>1727</v>
      </c>
      <c r="L178" s="1" t="s">
        <v>1728</v>
      </c>
    </row>
    <row r="179" spans="1:12">
      <c r="A179" s="1" t="s">
        <v>1541</v>
      </c>
      <c r="B179" s="1" t="s">
        <v>1525</v>
      </c>
      <c r="C179" s="1" t="s">
        <v>1729</v>
      </c>
      <c r="D179" s="1" t="s">
        <v>1708</v>
      </c>
      <c r="E179" s="1" t="s">
        <v>1730</v>
      </c>
      <c r="F179" s="1" t="s">
        <v>1730</v>
      </c>
      <c r="H179" s="1" t="s">
        <v>1684</v>
      </c>
      <c r="I179" s="1" t="s">
        <v>1731</v>
      </c>
      <c r="J179" s="1" t="s">
        <v>1732</v>
      </c>
      <c r="K179" s="1" t="s">
        <v>1733</v>
      </c>
      <c r="L179" s="1" t="s">
        <v>1734</v>
      </c>
    </row>
    <row r="180" spans="1:12">
      <c r="A180" s="1" t="s">
        <v>1543</v>
      </c>
      <c r="B180" s="1" t="s">
        <v>1525</v>
      </c>
      <c r="C180" s="1" t="s">
        <v>1680</v>
      </c>
      <c r="D180" s="1" t="s">
        <v>1681</v>
      </c>
      <c r="E180" s="92" t="s">
        <v>1752</v>
      </c>
      <c r="F180" s="92" t="s">
        <v>1753</v>
      </c>
      <c r="H180" s="1" t="s">
        <v>1684</v>
      </c>
    </row>
    <row r="181" spans="1:12">
      <c r="A181" s="1" t="s">
        <v>1543</v>
      </c>
      <c r="B181" s="1" t="s">
        <v>1525</v>
      </c>
      <c r="C181" s="1" t="s">
        <v>1680</v>
      </c>
      <c r="D181" s="1" t="s">
        <v>1685</v>
      </c>
      <c r="E181" s="1" t="s">
        <v>1526</v>
      </c>
      <c r="F181" s="1" t="s">
        <v>1526</v>
      </c>
      <c r="H181" s="1" t="s">
        <v>1684</v>
      </c>
    </row>
    <row r="182" spans="1:12">
      <c r="A182" s="1" t="s">
        <v>1543</v>
      </c>
      <c r="B182" s="1" t="s">
        <v>1525</v>
      </c>
      <c r="C182" s="1" t="s">
        <v>1686</v>
      </c>
      <c r="D182" s="1" t="s">
        <v>218</v>
      </c>
      <c r="E182" s="92" t="s">
        <v>1848</v>
      </c>
      <c r="F182" s="92" t="s">
        <v>1848</v>
      </c>
      <c r="G182" s="92" t="s">
        <v>1791</v>
      </c>
      <c r="H182" s="1" t="s">
        <v>1684</v>
      </c>
      <c r="I182" s="1" t="s">
        <v>1689</v>
      </c>
      <c r="J182" s="1" t="s">
        <v>1690</v>
      </c>
      <c r="K182" s="1" t="s">
        <v>1691</v>
      </c>
      <c r="L182" s="1" t="s">
        <v>1692</v>
      </c>
    </row>
    <row r="183" spans="1:12">
      <c r="A183" s="1" t="s">
        <v>1543</v>
      </c>
      <c r="B183" s="1" t="s">
        <v>1525</v>
      </c>
      <c r="C183" s="1" t="s">
        <v>1686</v>
      </c>
      <c r="D183" s="1" t="s">
        <v>1693</v>
      </c>
      <c r="E183" s="1" t="s">
        <v>1694</v>
      </c>
      <c r="F183" s="1" t="s">
        <v>1694</v>
      </c>
      <c r="H183" s="1" t="s">
        <v>1684</v>
      </c>
      <c r="I183" s="1" t="s">
        <v>1689</v>
      </c>
      <c r="J183" s="1" t="s">
        <v>1690</v>
      </c>
      <c r="K183" s="1" t="s">
        <v>1691</v>
      </c>
      <c r="L183" s="1" t="s">
        <v>1692</v>
      </c>
    </row>
    <row r="184" spans="1:12">
      <c r="A184" s="1" t="s">
        <v>1543</v>
      </c>
      <c r="B184" s="1" t="s">
        <v>1525</v>
      </c>
      <c r="C184" s="1" t="s">
        <v>1686</v>
      </c>
      <c r="D184" s="1" t="s">
        <v>1695</v>
      </c>
      <c r="E184" s="1" t="s">
        <v>1849</v>
      </c>
      <c r="F184" s="1" t="s">
        <v>1849</v>
      </c>
      <c r="H184" s="1" t="s">
        <v>1684</v>
      </c>
      <c r="I184" s="1" t="s">
        <v>1689</v>
      </c>
      <c r="J184" s="1" t="s">
        <v>1690</v>
      </c>
      <c r="K184" s="1" t="s">
        <v>1691</v>
      </c>
      <c r="L184" s="1" t="s">
        <v>1692</v>
      </c>
    </row>
    <row r="185" spans="1:12">
      <c r="A185" s="1" t="s">
        <v>1543</v>
      </c>
      <c r="B185" s="1" t="s">
        <v>1525</v>
      </c>
      <c r="C185" s="1" t="s">
        <v>1686</v>
      </c>
      <c r="D185" s="1" t="s">
        <v>1697</v>
      </c>
      <c r="E185" s="1" t="s">
        <v>1698</v>
      </c>
      <c r="F185" s="1" t="s">
        <v>1698</v>
      </c>
      <c r="H185" s="1" t="s">
        <v>1684</v>
      </c>
      <c r="I185" s="1" t="s">
        <v>1689</v>
      </c>
      <c r="J185" s="1" t="s">
        <v>1690</v>
      </c>
      <c r="K185" s="1" t="s">
        <v>1691</v>
      </c>
      <c r="L185" s="1" t="s">
        <v>1692</v>
      </c>
    </row>
    <row r="186" spans="1:12">
      <c r="A186" s="1" t="s">
        <v>1543</v>
      </c>
      <c r="B186" s="1" t="s">
        <v>1525</v>
      </c>
      <c r="C186" s="1" t="s">
        <v>1686</v>
      </c>
      <c r="D186" s="1" t="s">
        <v>1699</v>
      </c>
      <c r="E186" s="92" t="s">
        <v>1850</v>
      </c>
      <c r="F186" s="92" t="s">
        <v>1851</v>
      </c>
      <c r="H186" s="1" t="s">
        <v>1684</v>
      </c>
      <c r="I186" s="1" t="s">
        <v>1689</v>
      </c>
      <c r="J186" s="1" t="s">
        <v>1690</v>
      </c>
      <c r="K186" s="1" t="s">
        <v>1691</v>
      </c>
      <c r="L186" s="1" t="s">
        <v>1692</v>
      </c>
    </row>
    <row r="187" spans="1:12">
      <c r="A187" s="1" t="s">
        <v>1543</v>
      </c>
      <c r="B187" s="1" t="s">
        <v>1525</v>
      </c>
      <c r="C187" s="1" t="s">
        <v>1686</v>
      </c>
      <c r="D187" s="1" t="s">
        <v>1702</v>
      </c>
      <c r="E187" s="92" t="s">
        <v>1852</v>
      </c>
      <c r="F187" s="92" t="s">
        <v>1853</v>
      </c>
      <c r="H187" s="1" t="s">
        <v>1684</v>
      </c>
      <c r="I187" s="1" t="s">
        <v>1689</v>
      </c>
      <c r="J187" s="1" t="s">
        <v>1690</v>
      </c>
      <c r="K187" s="1" t="s">
        <v>1691</v>
      </c>
      <c r="L187" s="1" t="s">
        <v>1692</v>
      </c>
    </row>
    <row r="188" spans="1:12">
      <c r="A188" s="1" t="s">
        <v>1543</v>
      </c>
      <c r="B188" s="1" t="s">
        <v>1525</v>
      </c>
      <c r="C188" s="1" t="s">
        <v>1686</v>
      </c>
      <c r="D188" s="1" t="s">
        <v>1705</v>
      </c>
      <c r="E188" s="92" t="s">
        <v>1854</v>
      </c>
      <c r="F188" s="92" t="s">
        <v>1855</v>
      </c>
      <c r="H188" s="1" t="s">
        <v>1684</v>
      </c>
      <c r="I188" s="1" t="s">
        <v>1689</v>
      </c>
      <c r="J188" s="1" t="s">
        <v>1690</v>
      </c>
      <c r="K188" s="1" t="s">
        <v>1691</v>
      </c>
      <c r="L188" s="1" t="s">
        <v>1692</v>
      </c>
    </row>
    <row r="189" spans="1:12">
      <c r="A189" s="1" t="s">
        <v>1543</v>
      </c>
      <c r="B189" s="1" t="s">
        <v>1525</v>
      </c>
      <c r="C189" s="1" t="s">
        <v>1394</v>
      </c>
      <c r="D189" s="1" t="s">
        <v>1708</v>
      </c>
      <c r="E189" s="1" t="s">
        <v>1709</v>
      </c>
      <c r="F189" s="1" t="s">
        <v>1709</v>
      </c>
      <c r="H189" s="1" t="s">
        <v>1684</v>
      </c>
      <c r="I189" s="1" t="s">
        <v>973</v>
      </c>
      <c r="J189" s="1" t="s">
        <v>1710</v>
      </c>
      <c r="K189" s="1" t="s">
        <v>1691</v>
      </c>
      <c r="L189" s="1" t="s">
        <v>1692</v>
      </c>
    </row>
    <row r="190" spans="1:12">
      <c r="A190" s="1" t="s">
        <v>1543</v>
      </c>
      <c r="B190" s="1" t="s">
        <v>1525</v>
      </c>
      <c r="C190" s="1" t="s">
        <v>1711</v>
      </c>
      <c r="D190" s="1" t="s">
        <v>218</v>
      </c>
      <c r="E190" s="92" t="s">
        <v>1856</v>
      </c>
      <c r="F190" s="92" t="s">
        <v>1856</v>
      </c>
      <c r="G190" s="92" t="s">
        <v>1775</v>
      </c>
      <c r="H190" s="1" t="s">
        <v>1684</v>
      </c>
      <c r="I190" s="1" t="s">
        <v>1689</v>
      </c>
      <c r="J190" s="1" t="s">
        <v>1714</v>
      </c>
      <c r="K190" s="1" t="s">
        <v>1715</v>
      </c>
      <c r="L190" s="1" t="s">
        <v>1716</v>
      </c>
    </row>
    <row r="191" spans="1:12">
      <c r="A191" s="1" t="s">
        <v>1543</v>
      </c>
      <c r="B191" s="1" t="s">
        <v>1525</v>
      </c>
      <c r="C191" s="1" t="s">
        <v>1711</v>
      </c>
      <c r="D191" s="1" t="s">
        <v>1693</v>
      </c>
      <c r="E191" s="1" t="s">
        <v>1766</v>
      </c>
      <c r="F191" s="1" t="s">
        <v>1766</v>
      </c>
      <c r="H191" s="1" t="s">
        <v>1684</v>
      </c>
      <c r="I191" s="1" t="s">
        <v>1689</v>
      </c>
      <c r="J191" s="1" t="s">
        <v>1714</v>
      </c>
      <c r="K191" s="1" t="s">
        <v>1715</v>
      </c>
      <c r="L191" s="1" t="s">
        <v>1716</v>
      </c>
    </row>
    <row r="192" spans="1:12">
      <c r="A192" s="1" t="s">
        <v>1543</v>
      </c>
      <c r="B192" s="1" t="s">
        <v>1525</v>
      </c>
      <c r="C192" s="1" t="s">
        <v>1711</v>
      </c>
      <c r="D192" s="1" t="s">
        <v>1695</v>
      </c>
      <c r="E192" s="1" t="s">
        <v>1757</v>
      </c>
      <c r="F192" s="1" t="s">
        <v>1757</v>
      </c>
      <c r="H192" s="1" t="s">
        <v>1684</v>
      </c>
      <c r="I192" s="1" t="s">
        <v>1689</v>
      </c>
      <c r="J192" s="1" t="s">
        <v>1714</v>
      </c>
      <c r="K192" s="1" t="s">
        <v>1715</v>
      </c>
      <c r="L192" s="1" t="s">
        <v>1716</v>
      </c>
    </row>
    <row r="193" spans="1:12">
      <c r="A193" s="1" t="s">
        <v>1543</v>
      </c>
      <c r="B193" s="1" t="s">
        <v>1525</v>
      </c>
      <c r="C193" s="1" t="s">
        <v>1711</v>
      </c>
      <c r="D193" s="1" t="s">
        <v>1697</v>
      </c>
      <c r="E193" s="1" t="s">
        <v>1698</v>
      </c>
      <c r="F193" s="1" t="s">
        <v>1698</v>
      </c>
      <c r="H193" s="1" t="s">
        <v>1684</v>
      </c>
      <c r="I193" s="1" t="s">
        <v>1689</v>
      </c>
      <c r="J193" s="1" t="s">
        <v>1714</v>
      </c>
      <c r="K193" s="1" t="s">
        <v>1715</v>
      </c>
      <c r="L193" s="1" t="s">
        <v>1716</v>
      </c>
    </row>
    <row r="194" spans="1:12">
      <c r="A194" s="1" t="s">
        <v>1543</v>
      </c>
      <c r="B194" s="1" t="s">
        <v>1525</v>
      </c>
      <c r="C194" s="1" t="s">
        <v>1711</v>
      </c>
      <c r="D194" s="1" t="s">
        <v>1699</v>
      </c>
      <c r="E194" s="92" t="s">
        <v>1832</v>
      </c>
      <c r="F194" s="92" t="s">
        <v>1833</v>
      </c>
      <c r="H194" s="1" t="s">
        <v>1684</v>
      </c>
      <c r="I194" s="1" t="s">
        <v>1689</v>
      </c>
      <c r="J194" s="1" t="s">
        <v>1714</v>
      </c>
      <c r="K194" s="1" t="s">
        <v>1715</v>
      </c>
      <c r="L194" s="1" t="s">
        <v>1716</v>
      </c>
    </row>
    <row r="195" spans="1:12">
      <c r="A195" s="1" t="s">
        <v>1543</v>
      </c>
      <c r="B195" s="1" t="s">
        <v>1525</v>
      </c>
      <c r="C195" s="1" t="s">
        <v>1711</v>
      </c>
      <c r="D195" s="1" t="s">
        <v>1702</v>
      </c>
      <c r="E195" s="92" t="s">
        <v>1857</v>
      </c>
      <c r="F195" s="92" t="s">
        <v>1858</v>
      </c>
      <c r="H195" s="1" t="s">
        <v>1684</v>
      </c>
      <c r="I195" s="1" t="s">
        <v>1689</v>
      </c>
      <c r="J195" s="1" t="s">
        <v>1714</v>
      </c>
      <c r="K195" s="1" t="s">
        <v>1715</v>
      </c>
      <c r="L195" s="1" t="s">
        <v>1716</v>
      </c>
    </row>
    <row r="196" spans="1:12">
      <c r="A196" s="1" t="s">
        <v>1543</v>
      </c>
      <c r="B196" s="1" t="s">
        <v>1525</v>
      </c>
      <c r="C196" s="1" t="s">
        <v>1711</v>
      </c>
      <c r="D196" s="1" t="s">
        <v>1705</v>
      </c>
      <c r="E196" s="92" t="s">
        <v>1859</v>
      </c>
      <c r="F196" s="92" t="s">
        <v>1860</v>
      </c>
      <c r="H196" s="1" t="s">
        <v>1684</v>
      </c>
      <c r="I196" s="1" t="s">
        <v>1689</v>
      </c>
      <c r="J196" s="1" t="s">
        <v>1714</v>
      </c>
      <c r="K196" s="1" t="s">
        <v>1715</v>
      </c>
      <c r="L196" s="1" t="s">
        <v>1716</v>
      </c>
    </row>
    <row r="197" spans="1:12">
      <c r="A197" s="1" t="s">
        <v>1543</v>
      </c>
      <c r="B197" s="1" t="s">
        <v>1525</v>
      </c>
      <c r="C197" s="1" t="s">
        <v>1723</v>
      </c>
      <c r="D197" s="1" t="s">
        <v>218</v>
      </c>
      <c r="E197" s="92" t="s">
        <v>1822</v>
      </c>
      <c r="F197" s="92" t="s">
        <v>1822</v>
      </c>
      <c r="G197" s="92" t="s">
        <v>1822</v>
      </c>
      <c r="H197" s="1" t="s">
        <v>1684</v>
      </c>
      <c r="I197" s="1" t="s">
        <v>973</v>
      </c>
      <c r="J197" s="1" t="s">
        <v>1726</v>
      </c>
      <c r="K197" s="1" t="s">
        <v>1727</v>
      </c>
      <c r="L197" s="1" t="s">
        <v>1728</v>
      </c>
    </row>
    <row r="198" spans="1:12">
      <c r="A198" s="1" t="s">
        <v>1543</v>
      </c>
      <c r="B198" s="1" t="s">
        <v>1525</v>
      </c>
      <c r="C198" s="1" t="s">
        <v>1723</v>
      </c>
      <c r="D198" s="1" t="s">
        <v>1693</v>
      </c>
      <c r="E198" s="1" t="s">
        <v>1694</v>
      </c>
      <c r="F198" s="1" t="s">
        <v>1694</v>
      </c>
      <c r="H198" s="1" t="s">
        <v>1684</v>
      </c>
      <c r="I198" s="1" t="s">
        <v>973</v>
      </c>
      <c r="J198" s="1" t="s">
        <v>1726</v>
      </c>
      <c r="K198" s="1" t="s">
        <v>1727</v>
      </c>
      <c r="L198" s="1" t="s">
        <v>1728</v>
      </c>
    </row>
    <row r="199" spans="1:12">
      <c r="A199" s="1" t="s">
        <v>1543</v>
      </c>
      <c r="B199" s="1" t="s">
        <v>1525</v>
      </c>
      <c r="C199" s="1" t="s">
        <v>1723</v>
      </c>
      <c r="D199" s="1" t="s">
        <v>1695</v>
      </c>
      <c r="E199" s="1" t="s">
        <v>1694</v>
      </c>
      <c r="F199" s="1" t="s">
        <v>1694</v>
      </c>
      <c r="H199" s="1" t="s">
        <v>1684</v>
      </c>
      <c r="I199" s="1" t="s">
        <v>973</v>
      </c>
      <c r="J199" s="1" t="s">
        <v>1726</v>
      </c>
      <c r="K199" s="1" t="s">
        <v>1727</v>
      </c>
      <c r="L199" s="1" t="s">
        <v>1728</v>
      </c>
    </row>
    <row r="200" spans="1:12">
      <c r="A200" s="1" t="s">
        <v>1543</v>
      </c>
      <c r="B200" s="1" t="s">
        <v>1525</v>
      </c>
      <c r="C200" s="1" t="s">
        <v>1723</v>
      </c>
      <c r="D200" s="1" t="s">
        <v>1697</v>
      </c>
      <c r="E200" s="1" t="s">
        <v>1698</v>
      </c>
      <c r="F200" s="1" t="s">
        <v>1698</v>
      </c>
      <c r="H200" s="1" t="s">
        <v>1684</v>
      </c>
      <c r="I200" s="1" t="s">
        <v>973</v>
      </c>
      <c r="J200" s="1" t="s">
        <v>1726</v>
      </c>
      <c r="K200" s="1" t="s">
        <v>1727</v>
      </c>
      <c r="L200" s="1" t="s">
        <v>1728</v>
      </c>
    </row>
    <row r="201" spans="1:12">
      <c r="A201" s="1" t="s">
        <v>1543</v>
      </c>
      <c r="B201" s="1" t="s">
        <v>1525</v>
      </c>
      <c r="C201" s="1" t="s">
        <v>1729</v>
      </c>
      <c r="D201" s="1" t="s">
        <v>1708</v>
      </c>
      <c r="E201" s="1" t="s">
        <v>1730</v>
      </c>
      <c r="F201" s="1" t="s">
        <v>1730</v>
      </c>
      <c r="H201" s="1" t="s">
        <v>1684</v>
      </c>
      <c r="I201" s="1" t="s">
        <v>1731</v>
      </c>
      <c r="J201" s="1" t="s">
        <v>1732</v>
      </c>
      <c r="K201" s="1" t="s">
        <v>1733</v>
      </c>
      <c r="L201" s="1" t="s">
        <v>1734</v>
      </c>
    </row>
    <row r="202" spans="1:12">
      <c r="A202" s="1" t="s">
        <v>1545</v>
      </c>
      <c r="B202" s="1" t="s">
        <v>1525</v>
      </c>
      <c r="C202" s="1" t="s">
        <v>1680</v>
      </c>
      <c r="D202" s="1" t="s">
        <v>1681</v>
      </c>
      <c r="E202" s="92" t="s">
        <v>1772</v>
      </c>
      <c r="F202" s="92" t="s">
        <v>1773</v>
      </c>
      <c r="H202" s="1" t="s">
        <v>1684</v>
      </c>
    </row>
    <row r="203" spans="1:12">
      <c r="A203" s="1" t="s">
        <v>1545</v>
      </c>
      <c r="B203" s="1" t="s">
        <v>1525</v>
      </c>
      <c r="C203" s="1" t="s">
        <v>1680</v>
      </c>
      <c r="D203" s="1" t="s">
        <v>1685</v>
      </c>
      <c r="E203" s="1" t="s">
        <v>1526</v>
      </c>
      <c r="F203" s="1" t="s">
        <v>1526</v>
      </c>
      <c r="H203" s="1" t="s">
        <v>1684</v>
      </c>
    </row>
    <row r="204" spans="1:12">
      <c r="A204" s="1" t="s">
        <v>1545</v>
      </c>
      <c r="B204" s="1" t="s">
        <v>1525</v>
      </c>
      <c r="C204" s="1" t="s">
        <v>1686</v>
      </c>
      <c r="D204" s="1" t="s">
        <v>218</v>
      </c>
      <c r="E204" s="92" t="s">
        <v>1861</v>
      </c>
      <c r="F204" s="92" t="s">
        <v>1861</v>
      </c>
      <c r="G204" s="92" t="s">
        <v>1725</v>
      </c>
      <c r="H204" s="1" t="s">
        <v>1684</v>
      </c>
      <c r="I204" s="1" t="s">
        <v>1689</v>
      </c>
      <c r="J204" s="1" t="s">
        <v>1690</v>
      </c>
      <c r="K204" s="1" t="s">
        <v>1691</v>
      </c>
      <c r="L204" s="1" t="s">
        <v>1692</v>
      </c>
    </row>
    <row r="205" spans="1:12">
      <c r="A205" s="1" t="s">
        <v>1545</v>
      </c>
      <c r="B205" s="1" t="s">
        <v>1525</v>
      </c>
      <c r="C205" s="1" t="s">
        <v>1686</v>
      </c>
      <c r="D205" s="1" t="s">
        <v>1693</v>
      </c>
      <c r="E205" s="1" t="s">
        <v>1694</v>
      </c>
      <c r="F205" s="1" t="s">
        <v>1694</v>
      </c>
      <c r="H205" s="1" t="s">
        <v>1684</v>
      </c>
      <c r="I205" s="1" t="s">
        <v>1689</v>
      </c>
      <c r="J205" s="1" t="s">
        <v>1690</v>
      </c>
      <c r="K205" s="1" t="s">
        <v>1691</v>
      </c>
      <c r="L205" s="1" t="s">
        <v>1692</v>
      </c>
    </row>
    <row r="206" spans="1:12">
      <c r="A206" s="1" t="s">
        <v>1545</v>
      </c>
      <c r="B206" s="1" t="s">
        <v>1525</v>
      </c>
      <c r="C206" s="1" t="s">
        <v>1686</v>
      </c>
      <c r="D206" s="1" t="s">
        <v>1695</v>
      </c>
      <c r="E206" s="1" t="s">
        <v>1696</v>
      </c>
      <c r="F206" s="1" t="s">
        <v>1696</v>
      </c>
      <c r="H206" s="1" t="s">
        <v>1684</v>
      </c>
      <c r="I206" s="1" t="s">
        <v>1689</v>
      </c>
      <c r="J206" s="1" t="s">
        <v>1690</v>
      </c>
      <c r="K206" s="1" t="s">
        <v>1691</v>
      </c>
      <c r="L206" s="1" t="s">
        <v>1692</v>
      </c>
    </row>
    <row r="207" spans="1:12">
      <c r="A207" s="1" t="s">
        <v>1545</v>
      </c>
      <c r="B207" s="1" t="s">
        <v>1525</v>
      </c>
      <c r="C207" s="1" t="s">
        <v>1686</v>
      </c>
      <c r="D207" s="1" t="s">
        <v>1697</v>
      </c>
      <c r="E207" s="1" t="s">
        <v>1698</v>
      </c>
      <c r="F207" s="1" t="s">
        <v>1698</v>
      </c>
      <c r="H207" s="1" t="s">
        <v>1684</v>
      </c>
      <c r="I207" s="1" t="s">
        <v>1689</v>
      </c>
      <c r="J207" s="1" t="s">
        <v>1690</v>
      </c>
      <c r="K207" s="1" t="s">
        <v>1691</v>
      </c>
      <c r="L207" s="1" t="s">
        <v>1692</v>
      </c>
    </row>
    <row r="208" spans="1:12">
      <c r="A208" s="1" t="s">
        <v>1545</v>
      </c>
      <c r="B208" s="1" t="s">
        <v>1525</v>
      </c>
      <c r="C208" s="1" t="s">
        <v>1686</v>
      </c>
      <c r="D208" s="1" t="s">
        <v>1699</v>
      </c>
      <c r="E208" s="92" t="s">
        <v>1862</v>
      </c>
      <c r="F208" s="92" t="s">
        <v>1863</v>
      </c>
      <c r="H208" s="1" t="s">
        <v>1684</v>
      </c>
      <c r="I208" s="1" t="s">
        <v>1689</v>
      </c>
      <c r="J208" s="1" t="s">
        <v>1690</v>
      </c>
      <c r="K208" s="1" t="s">
        <v>1691</v>
      </c>
      <c r="L208" s="1" t="s">
        <v>1692</v>
      </c>
    </row>
    <row r="209" spans="1:12">
      <c r="A209" s="1" t="s">
        <v>1545</v>
      </c>
      <c r="B209" s="1" t="s">
        <v>1525</v>
      </c>
      <c r="C209" s="1" t="s">
        <v>1686</v>
      </c>
      <c r="D209" s="1" t="s">
        <v>1702</v>
      </c>
      <c r="E209" s="92" t="s">
        <v>1864</v>
      </c>
      <c r="F209" s="92" t="s">
        <v>1865</v>
      </c>
      <c r="H209" s="1" t="s">
        <v>1684</v>
      </c>
      <c r="I209" s="1" t="s">
        <v>1689</v>
      </c>
      <c r="J209" s="1" t="s">
        <v>1690</v>
      </c>
      <c r="K209" s="1" t="s">
        <v>1691</v>
      </c>
      <c r="L209" s="1" t="s">
        <v>1692</v>
      </c>
    </row>
    <row r="210" spans="1:12">
      <c r="A210" s="1" t="s">
        <v>1545</v>
      </c>
      <c r="B210" s="1" t="s">
        <v>1525</v>
      </c>
      <c r="C210" s="1" t="s">
        <v>1686</v>
      </c>
      <c r="D210" s="1" t="s">
        <v>1705</v>
      </c>
      <c r="E210" s="92" t="s">
        <v>1866</v>
      </c>
      <c r="F210" s="92" t="s">
        <v>1867</v>
      </c>
      <c r="H210" s="1" t="s">
        <v>1684</v>
      </c>
      <c r="I210" s="1" t="s">
        <v>1689</v>
      </c>
      <c r="J210" s="1" t="s">
        <v>1690</v>
      </c>
      <c r="K210" s="1" t="s">
        <v>1691</v>
      </c>
      <c r="L210" s="1" t="s">
        <v>1692</v>
      </c>
    </row>
    <row r="211" spans="1:12">
      <c r="A211" s="1" t="s">
        <v>1545</v>
      </c>
      <c r="B211" s="1" t="s">
        <v>1525</v>
      </c>
      <c r="C211" s="1" t="s">
        <v>1394</v>
      </c>
      <c r="D211" s="1" t="s">
        <v>1708</v>
      </c>
      <c r="E211" s="1" t="s">
        <v>1709</v>
      </c>
      <c r="F211" s="1" t="s">
        <v>1709</v>
      </c>
      <c r="H211" s="1" t="s">
        <v>1684</v>
      </c>
      <c r="I211" s="1" t="s">
        <v>973</v>
      </c>
      <c r="J211" s="1" t="s">
        <v>1710</v>
      </c>
      <c r="K211" s="1" t="s">
        <v>1691</v>
      </c>
      <c r="L211" s="1" t="s">
        <v>1692</v>
      </c>
    </row>
    <row r="212" spans="1:12">
      <c r="A212" s="1" t="s">
        <v>1545</v>
      </c>
      <c r="B212" s="1" t="s">
        <v>1525</v>
      </c>
      <c r="C212" s="1" t="s">
        <v>1711</v>
      </c>
      <c r="D212" s="1" t="s">
        <v>218</v>
      </c>
      <c r="E212" s="92" t="s">
        <v>1868</v>
      </c>
      <c r="F212" s="92" t="s">
        <v>1868</v>
      </c>
      <c r="G212" s="92" t="s">
        <v>1775</v>
      </c>
      <c r="H212" s="1" t="s">
        <v>1684</v>
      </c>
      <c r="I212" s="1" t="s">
        <v>1689</v>
      </c>
      <c r="J212" s="1" t="s">
        <v>1714</v>
      </c>
      <c r="K212" s="1" t="s">
        <v>1715</v>
      </c>
      <c r="L212" s="1" t="s">
        <v>1716</v>
      </c>
    </row>
    <row r="213" spans="1:12">
      <c r="A213" s="1" t="s">
        <v>1545</v>
      </c>
      <c r="B213" s="1" t="s">
        <v>1525</v>
      </c>
      <c r="C213" s="1" t="s">
        <v>1711</v>
      </c>
      <c r="D213" s="1" t="s">
        <v>1693</v>
      </c>
      <c r="E213" s="1" t="s">
        <v>1746</v>
      </c>
      <c r="F213" s="1" t="s">
        <v>1746</v>
      </c>
      <c r="H213" s="1" t="s">
        <v>1684</v>
      </c>
      <c r="I213" s="1" t="s">
        <v>1689</v>
      </c>
      <c r="J213" s="1" t="s">
        <v>1714</v>
      </c>
      <c r="K213" s="1" t="s">
        <v>1715</v>
      </c>
      <c r="L213" s="1" t="s">
        <v>1716</v>
      </c>
    </row>
    <row r="214" spans="1:12">
      <c r="A214" s="1" t="s">
        <v>1545</v>
      </c>
      <c r="B214" s="1" t="s">
        <v>1525</v>
      </c>
      <c r="C214" s="1" t="s">
        <v>1711</v>
      </c>
      <c r="D214" s="1" t="s">
        <v>1695</v>
      </c>
      <c r="E214" s="1" t="s">
        <v>1746</v>
      </c>
      <c r="F214" s="1" t="s">
        <v>1746</v>
      </c>
      <c r="H214" s="1" t="s">
        <v>1684</v>
      </c>
      <c r="I214" s="1" t="s">
        <v>1689</v>
      </c>
      <c r="J214" s="1" t="s">
        <v>1714</v>
      </c>
      <c r="K214" s="1" t="s">
        <v>1715</v>
      </c>
      <c r="L214" s="1" t="s">
        <v>1716</v>
      </c>
    </row>
    <row r="215" spans="1:12">
      <c r="A215" s="1" t="s">
        <v>1545</v>
      </c>
      <c r="B215" s="1" t="s">
        <v>1525</v>
      </c>
      <c r="C215" s="1" t="s">
        <v>1711</v>
      </c>
      <c r="D215" s="1" t="s">
        <v>1697</v>
      </c>
      <c r="E215" s="1" t="s">
        <v>1698</v>
      </c>
      <c r="F215" s="1" t="s">
        <v>1698</v>
      </c>
      <c r="H215" s="1" t="s">
        <v>1684</v>
      </c>
      <c r="I215" s="1" t="s">
        <v>1689</v>
      </c>
      <c r="J215" s="1" t="s">
        <v>1714</v>
      </c>
      <c r="K215" s="1" t="s">
        <v>1715</v>
      </c>
      <c r="L215" s="1" t="s">
        <v>1716</v>
      </c>
    </row>
    <row r="216" spans="1:12">
      <c r="A216" s="1" t="s">
        <v>1545</v>
      </c>
      <c r="B216" s="1" t="s">
        <v>1525</v>
      </c>
      <c r="C216" s="1" t="s">
        <v>1711</v>
      </c>
      <c r="D216" s="1" t="s">
        <v>1699</v>
      </c>
      <c r="E216" s="92" t="s">
        <v>1832</v>
      </c>
      <c r="F216" s="92" t="s">
        <v>1833</v>
      </c>
      <c r="H216" s="1" t="s">
        <v>1684</v>
      </c>
      <c r="I216" s="1" t="s">
        <v>1689</v>
      </c>
      <c r="J216" s="1" t="s">
        <v>1714</v>
      </c>
      <c r="K216" s="1" t="s">
        <v>1715</v>
      </c>
      <c r="L216" s="1" t="s">
        <v>1716</v>
      </c>
    </row>
    <row r="217" spans="1:12">
      <c r="A217" s="1" t="s">
        <v>1545</v>
      </c>
      <c r="B217" s="1" t="s">
        <v>1525</v>
      </c>
      <c r="C217" s="1" t="s">
        <v>1711</v>
      </c>
      <c r="D217" s="1" t="s">
        <v>1702</v>
      </c>
      <c r="E217" s="92" t="s">
        <v>1869</v>
      </c>
      <c r="F217" s="92" t="s">
        <v>1870</v>
      </c>
      <c r="H217" s="1" t="s">
        <v>1684</v>
      </c>
      <c r="I217" s="1" t="s">
        <v>1689</v>
      </c>
      <c r="J217" s="1" t="s">
        <v>1714</v>
      </c>
      <c r="K217" s="1" t="s">
        <v>1715</v>
      </c>
      <c r="L217" s="1" t="s">
        <v>1716</v>
      </c>
    </row>
    <row r="218" spans="1:12">
      <c r="A218" s="1" t="s">
        <v>1545</v>
      </c>
      <c r="B218" s="1" t="s">
        <v>1525</v>
      </c>
      <c r="C218" s="1" t="s">
        <v>1711</v>
      </c>
      <c r="D218" s="1" t="s">
        <v>1705</v>
      </c>
      <c r="E218" s="92" t="s">
        <v>1871</v>
      </c>
      <c r="F218" s="92" t="s">
        <v>1722</v>
      </c>
      <c r="H218" s="1" t="s">
        <v>1684</v>
      </c>
      <c r="I218" s="1" t="s">
        <v>1689</v>
      </c>
      <c r="J218" s="1" t="s">
        <v>1714</v>
      </c>
      <c r="K218" s="1" t="s">
        <v>1715</v>
      </c>
      <c r="L218" s="1" t="s">
        <v>1716</v>
      </c>
    </row>
    <row r="219" spans="1:12">
      <c r="A219" s="1" t="s">
        <v>1545</v>
      </c>
      <c r="B219" s="1" t="s">
        <v>1525</v>
      </c>
      <c r="C219" s="1" t="s">
        <v>1711</v>
      </c>
      <c r="D219" s="1" t="s">
        <v>1787</v>
      </c>
      <c r="E219" s="92" t="s">
        <v>1872</v>
      </c>
      <c r="F219" s="92" t="s">
        <v>1868</v>
      </c>
      <c r="G219" s="92" t="s">
        <v>1873</v>
      </c>
      <c r="H219" s="1" t="s">
        <v>1534</v>
      </c>
      <c r="I219" s="1" t="s">
        <v>1689</v>
      </c>
      <c r="J219" s="1" t="s">
        <v>1714</v>
      </c>
      <c r="K219" s="1" t="s">
        <v>1715</v>
      </c>
      <c r="L219" s="1" t="s">
        <v>1716</v>
      </c>
    </row>
    <row r="220" spans="1:12">
      <c r="A220" s="1" t="s">
        <v>1545</v>
      </c>
      <c r="B220" s="1" t="s">
        <v>1525</v>
      </c>
      <c r="C220" s="1" t="s">
        <v>1723</v>
      </c>
      <c r="D220" s="1" t="s">
        <v>218</v>
      </c>
      <c r="E220" s="92" t="s">
        <v>1874</v>
      </c>
      <c r="F220" s="92" t="s">
        <v>1874</v>
      </c>
      <c r="G220" s="92" t="s">
        <v>1875</v>
      </c>
      <c r="H220" s="1" t="s">
        <v>1684</v>
      </c>
      <c r="I220" s="1" t="s">
        <v>973</v>
      </c>
      <c r="J220" s="1" t="s">
        <v>1726</v>
      </c>
      <c r="K220" s="1" t="s">
        <v>1727</v>
      </c>
      <c r="L220" s="1" t="s">
        <v>1728</v>
      </c>
    </row>
    <row r="221" spans="1:12">
      <c r="A221" s="1" t="s">
        <v>1545</v>
      </c>
      <c r="B221" s="1" t="s">
        <v>1525</v>
      </c>
      <c r="C221" s="1" t="s">
        <v>1723</v>
      </c>
      <c r="D221" s="1" t="s">
        <v>1693</v>
      </c>
      <c r="E221" s="1" t="s">
        <v>1694</v>
      </c>
      <c r="F221" s="1" t="s">
        <v>1694</v>
      </c>
      <c r="H221" s="1" t="s">
        <v>1684</v>
      </c>
      <c r="I221" s="1" t="s">
        <v>973</v>
      </c>
      <c r="J221" s="1" t="s">
        <v>1726</v>
      </c>
      <c r="K221" s="1" t="s">
        <v>1727</v>
      </c>
      <c r="L221" s="1" t="s">
        <v>1728</v>
      </c>
    </row>
    <row r="222" spans="1:12">
      <c r="A222" s="1" t="s">
        <v>1545</v>
      </c>
      <c r="B222" s="1" t="s">
        <v>1525</v>
      </c>
      <c r="C222" s="1" t="s">
        <v>1723</v>
      </c>
      <c r="D222" s="1" t="s">
        <v>1695</v>
      </c>
      <c r="E222" s="1" t="s">
        <v>1694</v>
      </c>
      <c r="F222" s="1" t="s">
        <v>1694</v>
      </c>
      <c r="H222" s="1" t="s">
        <v>1684</v>
      </c>
      <c r="I222" s="1" t="s">
        <v>973</v>
      </c>
      <c r="J222" s="1" t="s">
        <v>1726</v>
      </c>
      <c r="K222" s="1" t="s">
        <v>1727</v>
      </c>
      <c r="L222" s="1" t="s">
        <v>1728</v>
      </c>
    </row>
    <row r="223" spans="1:12">
      <c r="A223" s="1" t="s">
        <v>1545</v>
      </c>
      <c r="B223" s="1" t="s">
        <v>1525</v>
      </c>
      <c r="C223" s="1" t="s">
        <v>1723</v>
      </c>
      <c r="D223" s="1" t="s">
        <v>1697</v>
      </c>
      <c r="E223" s="1" t="s">
        <v>1698</v>
      </c>
      <c r="F223" s="1" t="s">
        <v>1698</v>
      </c>
      <c r="H223" s="1" t="s">
        <v>1684</v>
      </c>
      <c r="I223" s="1" t="s">
        <v>973</v>
      </c>
      <c r="J223" s="1" t="s">
        <v>1726</v>
      </c>
      <c r="K223" s="1" t="s">
        <v>1727</v>
      </c>
      <c r="L223" s="1" t="s">
        <v>1728</v>
      </c>
    </row>
    <row r="224" spans="1:12">
      <c r="A224" s="1" t="s">
        <v>1545</v>
      </c>
      <c r="B224" s="1" t="s">
        <v>1525</v>
      </c>
      <c r="C224" s="1" t="s">
        <v>1729</v>
      </c>
      <c r="D224" s="1" t="s">
        <v>1708</v>
      </c>
      <c r="E224" s="1" t="s">
        <v>1730</v>
      </c>
      <c r="F224" s="1" t="s">
        <v>1730</v>
      </c>
      <c r="H224" s="1" t="s">
        <v>1684</v>
      </c>
      <c r="I224" s="1" t="s">
        <v>1731</v>
      </c>
      <c r="J224" s="1" t="s">
        <v>1732</v>
      </c>
      <c r="K224" s="1" t="s">
        <v>1733</v>
      </c>
      <c r="L224" s="1" t="s">
        <v>1734</v>
      </c>
    </row>
    <row r="225" spans="1:12">
      <c r="A225" s="1" t="s">
        <v>1547</v>
      </c>
      <c r="B225" s="1" t="s">
        <v>1525</v>
      </c>
      <c r="C225" s="1" t="s">
        <v>1680</v>
      </c>
      <c r="D225" s="1" t="s">
        <v>1681</v>
      </c>
      <c r="E225" s="92" t="s">
        <v>1792</v>
      </c>
      <c r="F225" s="92" t="s">
        <v>1793</v>
      </c>
      <c r="H225" s="1" t="s">
        <v>1684</v>
      </c>
    </row>
    <row r="226" spans="1:12">
      <c r="A226" s="1" t="s">
        <v>1547</v>
      </c>
      <c r="B226" s="1" t="s">
        <v>1525</v>
      </c>
      <c r="C226" s="1" t="s">
        <v>1680</v>
      </c>
      <c r="D226" s="1" t="s">
        <v>1685</v>
      </c>
      <c r="E226" s="1" t="s">
        <v>1526</v>
      </c>
      <c r="F226" s="1" t="s">
        <v>1526</v>
      </c>
      <c r="H226" s="1" t="s">
        <v>1684</v>
      </c>
    </row>
    <row r="227" spans="1:12">
      <c r="A227" s="1" t="s">
        <v>1547</v>
      </c>
      <c r="B227" s="1" t="s">
        <v>1525</v>
      </c>
      <c r="C227" s="1" t="s">
        <v>1686</v>
      </c>
      <c r="D227" s="1" t="s">
        <v>218</v>
      </c>
      <c r="E227" s="92" t="s">
        <v>1876</v>
      </c>
      <c r="F227" s="92" t="s">
        <v>1876</v>
      </c>
      <c r="G227" s="92" t="s">
        <v>1791</v>
      </c>
      <c r="H227" s="1" t="s">
        <v>1684</v>
      </c>
      <c r="I227" s="1" t="s">
        <v>1689</v>
      </c>
      <c r="J227" s="1" t="s">
        <v>1690</v>
      </c>
      <c r="K227" s="1" t="s">
        <v>1691</v>
      </c>
      <c r="L227" s="1" t="s">
        <v>1692</v>
      </c>
    </row>
    <row r="228" spans="1:12">
      <c r="A228" s="1" t="s">
        <v>1547</v>
      </c>
      <c r="B228" s="1" t="s">
        <v>1525</v>
      </c>
      <c r="C228" s="1" t="s">
        <v>1686</v>
      </c>
      <c r="D228" s="1" t="s">
        <v>1693</v>
      </c>
      <c r="E228" s="1" t="s">
        <v>1877</v>
      </c>
      <c r="F228" s="1" t="s">
        <v>1877</v>
      </c>
      <c r="H228" s="1" t="s">
        <v>1684</v>
      </c>
      <c r="I228" s="1" t="s">
        <v>1689</v>
      </c>
      <c r="J228" s="1" t="s">
        <v>1690</v>
      </c>
      <c r="K228" s="1" t="s">
        <v>1691</v>
      </c>
      <c r="L228" s="1" t="s">
        <v>1692</v>
      </c>
    </row>
    <row r="229" spans="1:12">
      <c r="A229" s="1" t="s">
        <v>1547</v>
      </c>
      <c r="B229" s="1" t="s">
        <v>1525</v>
      </c>
      <c r="C229" s="1" t="s">
        <v>1686</v>
      </c>
      <c r="D229" s="1" t="s">
        <v>1695</v>
      </c>
      <c r="E229" s="1" t="s">
        <v>1757</v>
      </c>
      <c r="F229" s="1" t="s">
        <v>1757</v>
      </c>
      <c r="H229" s="1" t="s">
        <v>1684</v>
      </c>
      <c r="I229" s="1" t="s">
        <v>1689</v>
      </c>
      <c r="J229" s="1" t="s">
        <v>1690</v>
      </c>
      <c r="K229" s="1" t="s">
        <v>1691</v>
      </c>
      <c r="L229" s="1" t="s">
        <v>1692</v>
      </c>
    </row>
    <row r="230" spans="1:12">
      <c r="A230" s="1" t="s">
        <v>1547</v>
      </c>
      <c r="B230" s="1" t="s">
        <v>1525</v>
      </c>
      <c r="C230" s="1" t="s">
        <v>1686</v>
      </c>
      <c r="D230" s="1" t="s">
        <v>1697</v>
      </c>
      <c r="E230" s="1" t="s">
        <v>1698</v>
      </c>
      <c r="F230" s="1" t="s">
        <v>1698</v>
      </c>
      <c r="H230" s="1" t="s">
        <v>1684</v>
      </c>
      <c r="I230" s="1" t="s">
        <v>1689</v>
      </c>
      <c r="J230" s="1" t="s">
        <v>1690</v>
      </c>
      <c r="K230" s="1" t="s">
        <v>1691</v>
      </c>
      <c r="L230" s="1" t="s">
        <v>1692</v>
      </c>
    </row>
    <row r="231" spans="1:12">
      <c r="A231" s="1" t="s">
        <v>1547</v>
      </c>
      <c r="B231" s="1" t="s">
        <v>1525</v>
      </c>
      <c r="C231" s="1" t="s">
        <v>1686</v>
      </c>
      <c r="D231" s="1" t="s">
        <v>1699</v>
      </c>
      <c r="E231" s="92" t="s">
        <v>1878</v>
      </c>
      <c r="F231" s="92" t="s">
        <v>1879</v>
      </c>
      <c r="H231" s="1" t="s">
        <v>1684</v>
      </c>
      <c r="I231" s="1" t="s">
        <v>1689</v>
      </c>
      <c r="J231" s="1" t="s">
        <v>1690</v>
      </c>
      <c r="K231" s="1" t="s">
        <v>1691</v>
      </c>
      <c r="L231" s="1" t="s">
        <v>1692</v>
      </c>
    </row>
    <row r="232" spans="1:12">
      <c r="A232" s="1" t="s">
        <v>1547</v>
      </c>
      <c r="B232" s="1" t="s">
        <v>1525</v>
      </c>
      <c r="C232" s="1" t="s">
        <v>1686</v>
      </c>
      <c r="D232" s="1" t="s">
        <v>1702</v>
      </c>
      <c r="E232" s="92" t="s">
        <v>1880</v>
      </c>
      <c r="F232" s="92" t="s">
        <v>1881</v>
      </c>
      <c r="H232" s="1" t="s">
        <v>1684</v>
      </c>
      <c r="I232" s="1" t="s">
        <v>1689</v>
      </c>
      <c r="J232" s="1" t="s">
        <v>1690</v>
      </c>
      <c r="K232" s="1" t="s">
        <v>1691</v>
      </c>
      <c r="L232" s="1" t="s">
        <v>1692</v>
      </c>
    </row>
    <row r="233" spans="1:12">
      <c r="A233" s="1" t="s">
        <v>1547</v>
      </c>
      <c r="B233" s="1" t="s">
        <v>1525</v>
      </c>
      <c r="C233" s="1" t="s">
        <v>1686</v>
      </c>
      <c r="D233" s="1" t="s">
        <v>1705</v>
      </c>
      <c r="E233" s="92" t="s">
        <v>1882</v>
      </c>
      <c r="F233" s="92" t="s">
        <v>1883</v>
      </c>
      <c r="H233" s="1" t="s">
        <v>1684</v>
      </c>
      <c r="I233" s="1" t="s">
        <v>1689</v>
      </c>
      <c r="J233" s="1" t="s">
        <v>1690</v>
      </c>
      <c r="K233" s="1" t="s">
        <v>1691</v>
      </c>
      <c r="L233" s="1" t="s">
        <v>1692</v>
      </c>
    </row>
    <row r="234" spans="1:12">
      <c r="A234" s="1" t="s">
        <v>1547</v>
      </c>
      <c r="B234" s="1" t="s">
        <v>1525</v>
      </c>
      <c r="C234" s="1" t="s">
        <v>1394</v>
      </c>
      <c r="D234" s="1" t="s">
        <v>1708</v>
      </c>
      <c r="E234" s="1" t="s">
        <v>1709</v>
      </c>
      <c r="F234" s="1" t="s">
        <v>1709</v>
      </c>
      <c r="H234" s="1" t="s">
        <v>1684</v>
      </c>
      <c r="I234" s="1" t="s">
        <v>973</v>
      </c>
      <c r="J234" s="1" t="s">
        <v>1710</v>
      </c>
      <c r="K234" s="1" t="s">
        <v>1691</v>
      </c>
      <c r="L234" s="1" t="s">
        <v>1692</v>
      </c>
    </row>
    <row r="235" spans="1:12">
      <c r="A235" s="1" t="s">
        <v>1547</v>
      </c>
      <c r="B235" s="1" t="s">
        <v>1525</v>
      </c>
      <c r="C235" s="1" t="s">
        <v>1711</v>
      </c>
      <c r="D235" s="1" t="s">
        <v>218</v>
      </c>
      <c r="E235" s="92" t="s">
        <v>1884</v>
      </c>
      <c r="F235" s="92" t="s">
        <v>1884</v>
      </c>
      <c r="G235" s="92" t="s">
        <v>1765</v>
      </c>
      <c r="H235" s="1" t="s">
        <v>1684</v>
      </c>
      <c r="I235" s="1" t="s">
        <v>1689</v>
      </c>
      <c r="J235" s="1" t="s">
        <v>1714</v>
      </c>
      <c r="K235" s="1" t="s">
        <v>1715</v>
      </c>
      <c r="L235" s="1" t="s">
        <v>1716</v>
      </c>
    </row>
    <row r="236" spans="1:12">
      <c r="A236" s="1" t="s">
        <v>1547</v>
      </c>
      <c r="B236" s="1" t="s">
        <v>1525</v>
      </c>
      <c r="C236" s="1" t="s">
        <v>1711</v>
      </c>
      <c r="D236" s="1" t="s">
        <v>1693</v>
      </c>
      <c r="E236" s="1" t="s">
        <v>1802</v>
      </c>
      <c r="F236" s="1" t="s">
        <v>1802</v>
      </c>
      <c r="H236" s="1" t="s">
        <v>1684</v>
      </c>
      <c r="I236" s="1" t="s">
        <v>1689</v>
      </c>
      <c r="J236" s="1" t="s">
        <v>1714</v>
      </c>
      <c r="K236" s="1" t="s">
        <v>1715</v>
      </c>
      <c r="L236" s="1" t="s">
        <v>1716</v>
      </c>
    </row>
    <row r="237" spans="1:12">
      <c r="A237" s="1" t="s">
        <v>1547</v>
      </c>
      <c r="B237" s="1" t="s">
        <v>1525</v>
      </c>
      <c r="C237" s="1" t="s">
        <v>1711</v>
      </c>
      <c r="D237" s="1" t="s">
        <v>1695</v>
      </c>
      <c r="E237" s="1" t="s">
        <v>1757</v>
      </c>
      <c r="F237" s="1" t="s">
        <v>1757</v>
      </c>
      <c r="H237" s="1" t="s">
        <v>1684</v>
      </c>
      <c r="I237" s="1" t="s">
        <v>1689</v>
      </c>
      <c r="J237" s="1" t="s">
        <v>1714</v>
      </c>
      <c r="K237" s="1" t="s">
        <v>1715</v>
      </c>
      <c r="L237" s="1" t="s">
        <v>1716</v>
      </c>
    </row>
    <row r="238" spans="1:12">
      <c r="A238" s="1" t="s">
        <v>1547</v>
      </c>
      <c r="B238" s="1" t="s">
        <v>1525</v>
      </c>
      <c r="C238" s="1" t="s">
        <v>1711</v>
      </c>
      <c r="D238" s="1" t="s">
        <v>1697</v>
      </c>
      <c r="E238" s="1" t="s">
        <v>1698</v>
      </c>
      <c r="F238" s="1" t="s">
        <v>1698</v>
      </c>
      <c r="H238" s="1" t="s">
        <v>1684</v>
      </c>
      <c r="I238" s="1" t="s">
        <v>1689</v>
      </c>
      <c r="J238" s="1" t="s">
        <v>1714</v>
      </c>
      <c r="K238" s="1" t="s">
        <v>1715</v>
      </c>
      <c r="L238" s="1" t="s">
        <v>1716</v>
      </c>
    </row>
    <row r="239" spans="1:12">
      <c r="A239" s="1" t="s">
        <v>1547</v>
      </c>
      <c r="B239" s="1" t="s">
        <v>1525</v>
      </c>
      <c r="C239" s="1" t="s">
        <v>1711</v>
      </c>
      <c r="D239" s="1" t="s">
        <v>1699</v>
      </c>
      <c r="E239" s="92" t="s">
        <v>1832</v>
      </c>
      <c r="F239" s="92" t="s">
        <v>1833</v>
      </c>
      <c r="H239" s="1" t="s">
        <v>1684</v>
      </c>
      <c r="I239" s="1" t="s">
        <v>1689</v>
      </c>
      <c r="J239" s="1" t="s">
        <v>1714</v>
      </c>
      <c r="K239" s="1" t="s">
        <v>1715</v>
      </c>
      <c r="L239" s="1" t="s">
        <v>1716</v>
      </c>
    </row>
    <row r="240" spans="1:12">
      <c r="A240" s="1" t="s">
        <v>1547</v>
      </c>
      <c r="B240" s="1" t="s">
        <v>1525</v>
      </c>
      <c r="C240" s="1" t="s">
        <v>1711</v>
      </c>
      <c r="D240" s="1" t="s">
        <v>1702</v>
      </c>
      <c r="E240" s="92" t="s">
        <v>1885</v>
      </c>
      <c r="F240" s="92" t="s">
        <v>1886</v>
      </c>
      <c r="H240" s="1" t="s">
        <v>1684</v>
      </c>
      <c r="I240" s="1" t="s">
        <v>1689</v>
      </c>
      <c r="J240" s="1" t="s">
        <v>1714</v>
      </c>
      <c r="K240" s="1" t="s">
        <v>1715</v>
      </c>
      <c r="L240" s="1" t="s">
        <v>1716</v>
      </c>
    </row>
    <row r="241" spans="1:12">
      <c r="A241" s="1" t="s">
        <v>1547</v>
      </c>
      <c r="B241" s="1" t="s">
        <v>1525</v>
      </c>
      <c r="C241" s="1" t="s">
        <v>1711</v>
      </c>
      <c r="D241" s="1" t="s">
        <v>1705</v>
      </c>
      <c r="E241" s="92" t="s">
        <v>1887</v>
      </c>
      <c r="F241" s="92" t="s">
        <v>1860</v>
      </c>
      <c r="H241" s="1" t="s">
        <v>1684</v>
      </c>
      <c r="I241" s="1" t="s">
        <v>1689</v>
      </c>
      <c r="J241" s="1" t="s">
        <v>1714</v>
      </c>
      <c r="K241" s="1" t="s">
        <v>1715</v>
      </c>
      <c r="L241" s="1" t="s">
        <v>1716</v>
      </c>
    </row>
    <row r="242" spans="1:12">
      <c r="A242" s="1" t="s">
        <v>1547</v>
      </c>
      <c r="B242" s="1" t="s">
        <v>1525</v>
      </c>
      <c r="C242" s="1" t="s">
        <v>1711</v>
      </c>
      <c r="D242" s="1" t="s">
        <v>1787</v>
      </c>
      <c r="E242" s="92" t="s">
        <v>1888</v>
      </c>
      <c r="F242" s="92" t="s">
        <v>1884</v>
      </c>
      <c r="G242" s="92" t="s">
        <v>1889</v>
      </c>
      <c r="H242" s="1" t="s">
        <v>1534</v>
      </c>
      <c r="I242" s="1" t="s">
        <v>1689</v>
      </c>
      <c r="J242" s="1" t="s">
        <v>1714</v>
      </c>
      <c r="K242" s="1" t="s">
        <v>1715</v>
      </c>
      <c r="L242" s="1" t="s">
        <v>1716</v>
      </c>
    </row>
    <row r="243" spans="1:12">
      <c r="A243" s="1" t="s">
        <v>1547</v>
      </c>
      <c r="B243" s="1" t="s">
        <v>1525</v>
      </c>
      <c r="C243" s="1" t="s">
        <v>1723</v>
      </c>
      <c r="D243" s="1" t="s">
        <v>218</v>
      </c>
      <c r="E243" s="92" t="s">
        <v>1890</v>
      </c>
      <c r="F243" s="92" t="s">
        <v>1890</v>
      </c>
      <c r="G243" s="92" t="s">
        <v>1738</v>
      </c>
      <c r="H243" s="1" t="s">
        <v>1684</v>
      </c>
      <c r="I243" s="1" t="s">
        <v>973</v>
      </c>
      <c r="J243" s="1" t="s">
        <v>1726</v>
      </c>
      <c r="K243" s="1" t="s">
        <v>1727</v>
      </c>
      <c r="L243" s="1" t="s">
        <v>1728</v>
      </c>
    </row>
    <row r="244" spans="1:12">
      <c r="A244" s="1" t="s">
        <v>1547</v>
      </c>
      <c r="B244" s="1" t="s">
        <v>1525</v>
      </c>
      <c r="C244" s="1" t="s">
        <v>1723</v>
      </c>
      <c r="D244" s="1" t="s">
        <v>1693</v>
      </c>
      <c r="E244" s="1" t="s">
        <v>1694</v>
      </c>
      <c r="F244" s="1" t="s">
        <v>1694</v>
      </c>
      <c r="H244" s="1" t="s">
        <v>1684</v>
      </c>
      <c r="I244" s="1" t="s">
        <v>973</v>
      </c>
      <c r="J244" s="1" t="s">
        <v>1726</v>
      </c>
      <c r="K244" s="1" t="s">
        <v>1727</v>
      </c>
      <c r="L244" s="1" t="s">
        <v>1728</v>
      </c>
    </row>
    <row r="245" spans="1:12">
      <c r="A245" s="1" t="s">
        <v>1547</v>
      </c>
      <c r="B245" s="1" t="s">
        <v>1525</v>
      </c>
      <c r="C245" s="1" t="s">
        <v>1723</v>
      </c>
      <c r="D245" s="1" t="s">
        <v>1695</v>
      </c>
      <c r="E245" s="1" t="s">
        <v>1694</v>
      </c>
      <c r="F245" s="1" t="s">
        <v>1694</v>
      </c>
      <c r="H245" s="1" t="s">
        <v>1684</v>
      </c>
      <c r="I245" s="1" t="s">
        <v>973</v>
      </c>
      <c r="J245" s="1" t="s">
        <v>1726</v>
      </c>
      <c r="K245" s="1" t="s">
        <v>1727</v>
      </c>
      <c r="L245" s="1" t="s">
        <v>1728</v>
      </c>
    </row>
    <row r="246" spans="1:12">
      <c r="A246" s="1" t="s">
        <v>1547</v>
      </c>
      <c r="B246" s="1" t="s">
        <v>1525</v>
      </c>
      <c r="C246" s="1" t="s">
        <v>1723</v>
      </c>
      <c r="D246" s="1" t="s">
        <v>1697</v>
      </c>
      <c r="E246" s="1" t="s">
        <v>1698</v>
      </c>
      <c r="F246" s="1" t="s">
        <v>1698</v>
      </c>
      <c r="H246" s="1" t="s">
        <v>1684</v>
      </c>
      <c r="I246" s="1" t="s">
        <v>973</v>
      </c>
      <c r="J246" s="1" t="s">
        <v>1726</v>
      </c>
      <c r="K246" s="1" t="s">
        <v>1727</v>
      </c>
      <c r="L246" s="1" t="s">
        <v>1728</v>
      </c>
    </row>
    <row r="247" spans="1:12">
      <c r="A247" s="1" t="s">
        <v>1547</v>
      </c>
      <c r="B247" s="1" t="s">
        <v>1525</v>
      </c>
      <c r="C247" s="1" t="s">
        <v>1729</v>
      </c>
      <c r="D247" s="1" t="s">
        <v>1708</v>
      </c>
      <c r="E247" s="1" t="s">
        <v>1730</v>
      </c>
      <c r="F247" s="1" t="s">
        <v>1730</v>
      </c>
      <c r="H247" s="1" t="s">
        <v>1684</v>
      </c>
      <c r="I247" s="1" t="s">
        <v>1731</v>
      </c>
      <c r="J247" s="1" t="s">
        <v>1732</v>
      </c>
      <c r="K247" s="1" t="s">
        <v>1733</v>
      </c>
      <c r="L247" s="1" t="s">
        <v>1734</v>
      </c>
    </row>
    <row r="248" spans="1:12">
      <c r="A248" s="1" t="s">
        <v>1549</v>
      </c>
      <c r="B248" s="1" t="s">
        <v>1525</v>
      </c>
      <c r="C248" s="1" t="s">
        <v>1680</v>
      </c>
      <c r="D248" s="1" t="s">
        <v>1681</v>
      </c>
      <c r="E248" s="92" t="s">
        <v>1809</v>
      </c>
      <c r="F248" s="92" t="s">
        <v>1810</v>
      </c>
      <c r="H248" s="1" t="s">
        <v>1684</v>
      </c>
    </row>
    <row r="249" spans="1:12">
      <c r="A249" s="1" t="s">
        <v>1549</v>
      </c>
      <c r="B249" s="1" t="s">
        <v>1525</v>
      </c>
      <c r="C249" s="1" t="s">
        <v>1680</v>
      </c>
      <c r="D249" s="1" t="s">
        <v>1685</v>
      </c>
      <c r="E249" s="1" t="s">
        <v>1526</v>
      </c>
      <c r="F249" s="1" t="s">
        <v>1526</v>
      </c>
      <c r="H249" s="1" t="s">
        <v>1684</v>
      </c>
    </row>
    <row r="250" spans="1:12">
      <c r="A250" s="1" t="s">
        <v>1549</v>
      </c>
      <c r="B250" s="1" t="s">
        <v>1525</v>
      </c>
      <c r="C250" s="1" t="s">
        <v>1686</v>
      </c>
      <c r="D250" s="1" t="s">
        <v>218</v>
      </c>
      <c r="E250" s="92" t="s">
        <v>1891</v>
      </c>
      <c r="F250" s="92" t="s">
        <v>1891</v>
      </c>
      <c r="G250" s="92" t="s">
        <v>1713</v>
      </c>
      <c r="H250" s="1" t="s">
        <v>1684</v>
      </c>
      <c r="I250" s="1" t="s">
        <v>1689</v>
      </c>
      <c r="J250" s="1" t="s">
        <v>1690</v>
      </c>
      <c r="K250" s="1" t="s">
        <v>1691</v>
      </c>
      <c r="L250" s="1" t="s">
        <v>1692</v>
      </c>
    </row>
    <row r="251" spans="1:12">
      <c r="A251" s="1" t="s">
        <v>1549</v>
      </c>
      <c r="B251" s="1" t="s">
        <v>1525</v>
      </c>
      <c r="C251" s="1" t="s">
        <v>1686</v>
      </c>
      <c r="D251" s="1" t="s">
        <v>1693</v>
      </c>
      <c r="E251" s="1" t="s">
        <v>1694</v>
      </c>
      <c r="F251" s="1" t="s">
        <v>1694</v>
      </c>
      <c r="H251" s="1" t="s">
        <v>1684</v>
      </c>
      <c r="I251" s="1" t="s">
        <v>1689</v>
      </c>
      <c r="J251" s="1" t="s">
        <v>1690</v>
      </c>
      <c r="K251" s="1" t="s">
        <v>1691</v>
      </c>
      <c r="L251" s="1" t="s">
        <v>1692</v>
      </c>
    </row>
    <row r="252" spans="1:12">
      <c r="A252" s="1" t="s">
        <v>1549</v>
      </c>
      <c r="B252" s="1" t="s">
        <v>1525</v>
      </c>
      <c r="C252" s="1" t="s">
        <v>1686</v>
      </c>
      <c r="D252" s="1" t="s">
        <v>1695</v>
      </c>
      <c r="E252" s="1" t="s">
        <v>1696</v>
      </c>
      <c r="F252" s="1" t="s">
        <v>1696</v>
      </c>
      <c r="H252" s="1" t="s">
        <v>1684</v>
      </c>
      <c r="I252" s="1" t="s">
        <v>1689</v>
      </c>
      <c r="J252" s="1" t="s">
        <v>1690</v>
      </c>
      <c r="K252" s="1" t="s">
        <v>1691</v>
      </c>
      <c r="L252" s="1" t="s">
        <v>1692</v>
      </c>
    </row>
    <row r="253" spans="1:12">
      <c r="A253" s="1" t="s">
        <v>1549</v>
      </c>
      <c r="B253" s="1" t="s">
        <v>1525</v>
      </c>
      <c r="C253" s="1" t="s">
        <v>1686</v>
      </c>
      <c r="D253" s="1" t="s">
        <v>1697</v>
      </c>
      <c r="E253" s="1" t="s">
        <v>1698</v>
      </c>
      <c r="F253" s="1" t="s">
        <v>1698</v>
      </c>
      <c r="H253" s="1" t="s">
        <v>1684</v>
      </c>
      <c r="I253" s="1" t="s">
        <v>1689</v>
      </c>
      <c r="J253" s="1" t="s">
        <v>1690</v>
      </c>
      <c r="K253" s="1" t="s">
        <v>1691</v>
      </c>
      <c r="L253" s="1" t="s">
        <v>1692</v>
      </c>
    </row>
    <row r="254" spans="1:12">
      <c r="A254" s="1" t="s">
        <v>1549</v>
      </c>
      <c r="B254" s="1" t="s">
        <v>1525</v>
      </c>
      <c r="C254" s="1" t="s">
        <v>1686</v>
      </c>
      <c r="D254" s="1" t="s">
        <v>1699</v>
      </c>
      <c r="E254" s="92" t="s">
        <v>1892</v>
      </c>
      <c r="F254" s="92" t="s">
        <v>1718</v>
      </c>
      <c r="H254" s="1" t="s">
        <v>1684</v>
      </c>
      <c r="I254" s="1" t="s">
        <v>1689</v>
      </c>
      <c r="J254" s="1" t="s">
        <v>1690</v>
      </c>
      <c r="K254" s="1" t="s">
        <v>1691</v>
      </c>
      <c r="L254" s="1" t="s">
        <v>1692</v>
      </c>
    </row>
    <row r="255" spans="1:12">
      <c r="A255" s="1" t="s">
        <v>1549</v>
      </c>
      <c r="B255" s="1" t="s">
        <v>1525</v>
      </c>
      <c r="C255" s="1" t="s">
        <v>1686</v>
      </c>
      <c r="D255" s="1" t="s">
        <v>1702</v>
      </c>
      <c r="E255" s="92" t="s">
        <v>1893</v>
      </c>
      <c r="F255" s="92" t="s">
        <v>1894</v>
      </c>
      <c r="H255" s="1" t="s">
        <v>1684</v>
      </c>
      <c r="I255" s="1" t="s">
        <v>1689</v>
      </c>
      <c r="J255" s="1" t="s">
        <v>1690</v>
      </c>
      <c r="K255" s="1" t="s">
        <v>1691</v>
      </c>
      <c r="L255" s="1" t="s">
        <v>1692</v>
      </c>
    </row>
    <row r="256" spans="1:12">
      <c r="A256" s="1" t="s">
        <v>1549</v>
      </c>
      <c r="B256" s="1" t="s">
        <v>1525</v>
      </c>
      <c r="C256" s="1" t="s">
        <v>1686</v>
      </c>
      <c r="D256" s="1" t="s">
        <v>1705</v>
      </c>
      <c r="E256" s="92" t="s">
        <v>1895</v>
      </c>
      <c r="F256" s="92" t="s">
        <v>1896</v>
      </c>
      <c r="H256" s="1" t="s">
        <v>1684</v>
      </c>
      <c r="I256" s="1" t="s">
        <v>1689</v>
      </c>
      <c r="J256" s="1" t="s">
        <v>1690</v>
      </c>
      <c r="K256" s="1" t="s">
        <v>1691</v>
      </c>
      <c r="L256" s="1" t="s">
        <v>1692</v>
      </c>
    </row>
    <row r="257" spans="1:12">
      <c r="A257" s="1" t="s">
        <v>1549</v>
      </c>
      <c r="B257" s="1" t="s">
        <v>1525</v>
      </c>
      <c r="C257" s="1" t="s">
        <v>1394</v>
      </c>
      <c r="D257" s="1" t="s">
        <v>1708</v>
      </c>
      <c r="E257" s="1" t="s">
        <v>1709</v>
      </c>
      <c r="F257" s="1" t="s">
        <v>1709</v>
      </c>
      <c r="H257" s="1" t="s">
        <v>1684</v>
      </c>
      <c r="I257" s="1" t="s">
        <v>973</v>
      </c>
      <c r="J257" s="1" t="s">
        <v>1710</v>
      </c>
      <c r="K257" s="1" t="s">
        <v>1691</v>
      </c>
      <c r="L257" s="1" t="s">
        <v>1692</v>
      </c>
    </row>
    <row r="258" spans="1:12">
      <c r="A258" s="1" t="s">
        <v>1549</v>
      </c>
      <c r="B258" s="1" t="s">
        <v>1525</v>
      </c>
      <c r="C258" s="1" t="s">
        <v>1711</v>
      </c>
      <c r="D258" s="1" t="s">
        <v>218</v>
      </c>
      <c r="E258" s="92" t="s">
        <v>1897</v>
      </c>
      <c r="F258" s="92" t="s">
        <v>1897</v>
      </c>
      <c r="G258" s="92" t="s">
        <v>1791</v>
      </c>
      <c r="H258" s="1" t="s">
        <v>1684</v>
      </c>
      <c r="I258" s="1" t="s">
        <v>1689</v>
      </c>
      <c r="J258" s="1" t="s">
        <v>1714</v>
      </c>
      <c r="K258" s="1" t="s">
        <v>1715</v>
      </c>
      <c r="L258" s="1" t="s">
        <v>1716</v>
      </c>
    </row>
    <row r="259" spans="1:12">
      <c r="A259" s="1" t="s">
        <v>1549</v>
      </c>
      <c r="B259" s="1" t="s">
        <v>1525</v>
      </c>
      <c r="C259" s="1" t="s">
        <v>1711</v>
      </c>
      <c r="D259" s="1" t="s">
        <v>1693</v>
      </c>
      <c r="E259" s="1" t="s">
        <v>1694</v>
      </c>
      <c r="F259" s="1" t="s">
        <v>1694</v>
      </c>
      <c r="H259" s="1" t="s">
        <v>1684</v>
      </c>
      <c r="I259" s="1" t="s">
        <v>1689</v>
      </c>
      <c r="J259" s="1" t="s">
        <v>1714</v>
      </c>
      <c r="K259" s="1" t="s">
        <v>1715</v>
      </c>
      <c r="L259" s="1" t="s">
        <v>1716</v>
      </c>
    </row>
    <row r="260" spans="1:12">
      <c r="A260" s="1" t="s">
        <v>1549</v>
      </c>
      <c r="B260" s="1" t="s">
        <v>1525</v>
      </c>
      <c r="C260" s="1" t="s">
        <v>1711</v>
      </c>
      <c r="D260" s="1" t="s">
        <v>1695</v>
      </c>
      <c r="E260" s="1" t="s">
        <v>1694</v>
      </c>
      <c r="F260" s="1" t="s">
        <v>1694</v>
      </c>
      <c r="H260" s="1" t="s">
        <v>1684</v>
      </c>
      <c r="I260" s="1" t="s">
        <v>1689</v>
      </c>
      <c r="J260" s="1" t="s">
        <v>1714</v>
      </c>
      <c r="K260" s="1" t="s">
        <v>1715</v>
      </c>
      <c r="L260" s="1" t="s">
        <v>1716</v>
      </c>
    </row>
    <row r="261" spans="1:12">
      <c r="A261" s="1" t="s">
        <v>1549</v>
      </c>
      <c r="B261" s="1" t="s">
        <v>1525</v>
      </c>
      <c r="C261" s="1" t="s">
        <v>1711</v>
      </c>
      <c r="D261" s="1" t="s">
        <v>1697</v>
      </c>
      <c r="E261" s="1" t="s">
        <v>1698</v>
      </c>
      <c r="F261" s="1" t="s">
        <v>1698</v>
      </c>
      <c r="H261" s="1" t="s">
        <v>1684</v>
      </c>
      <c r="I261" s="1" t="s">
        <v>1689</v>
      </c>
      <c r="J261" s="1" t="s">
        <v>1714</v>
      </c>
      <c r="K261" s="1" t="s">
        <v>1715</v>
      </c>
      <c r="L261" s="1" t="s">
        <v>1716</v>
      </c>
    </row>
    <row r="262" spans="1:12">
      <c r="A262" s="1" t="s">
        <v>1549</v>
      </c>
      <c r="B262" s="1" t="s">
        <v>1525</v>
      </c>
      <c r="C262" s="1" t="s">
        <v>1711</v>
      </c>
      <c r="D262" s="1" t="s">
        <v>1699</v>
      </c>
      <c r="E262" s="92" t="s">
        <v>1832</v>
      </c>
      <c r="F262" s="92" t="s">
        <v>1833</v>
      </c>
      <c r="H262" s="1" t="s">
        <v>1684</v>
      </c>
      <c r="I262" s="1" t="s">
        <v>1689</v>
      </c>
      <c r="J262" s="1" t="s">
        <v>1714</v>
      </c>
      <c r="K262" s="1" t="s">
        <v>1715</v>
      </c>
      <c r="L262" s="1" t="s">
        <v>1716</v>
      </c>
    </row>
    <row r="263" spans="1:12">
      <c r="A263" s="1" t="s">
        <v>1549</v>
      </c>
      <c r="B263" s="1" t="s">
        <v>1525</v>
      </c>
      <c r="C263" s="1" t="s">
        <v>1711</v>
      </c>
      <c r="D263" s="1" t="s">
        <v>1702</v>
      </c>
      <c r="E263" s="92" t="s">
        <v>1898</v>
      </c>
      <c r="F263" s="92" t="s">
        <v>1899</v>
      </c>
      <c r="H263" s="1" t="s">
        <v>1684</v>
      </c>
      <c r="I263" s="1" t="s">
        <v>1689</v>
      </c>
      <c r="J263" s="1" t="s">
        <v>1714</v>
      </c>
      <c r="K263" s="1" t="s">
        <v>1715</v>
      </c>
      <c r="L263" s="1" t="s">
        <v>1716</v>
      </c>
    </row>
    <row r="264" spans="1:12">
      <c r="A264" s="1" t="s">
        <v>1549</v>
      </c>
      <c r="B264" s="1" t="s">
        <v>1525</v>
      </c>
      <c r="C264" s="1" t="s">
        <v>1711</v>
      </c>
      <c r="D264" s="1" t="s">
        <v>1705</v>
      </c>
      <c r="E264" s="92" t="s">
        <v>1900</v>
      </c>
      <c r="F264" s="92" t="s">
        <v>1901</v>
      </c>
      <c r="H264" s="1" t="s">
        <v>1684</v>
      </c>
      <c r="I264" s="1" t="s">
        <v>1689</v>
      </c>
      <c r="J264" s="1" t="s">
        <v>1714</v>
      </c>
      <c r="K264" s="1" t="s">
        <v>1715</v>
      </c>
      <c r="L264" s="1" t="s">
        <v>1716</v>
      </c>
    </row>
    <row r="265" spans="1:12">
      <c r="A265" s="1" t="s">
        <v>1549</v>
      </c>
      <c r="B265" s="1" t="s">
        <v>1525</v>
      </c>
      <c r="C265" s="1" t="s">
        <v>1723</v>
      </c>
      <c r="D265" s="1" t="s">
        <v>218</v>
      </c>
      <c r="E265" s="92" t="s">
        <v>1902</v>
      </c>
      <c r="F265" s="92" t="s">
        <v>1902</v>
      </c>
      <c r="G265" s="92" t="s">
        <v>1725</v>
      </c>
      <c r="H265" s="1" t="s">
        <v>1684</v>
      </c>
      <c r="I265" s="1" t="s">
        <v>973</v>
      </c>
      <c r="J265" s="1" t="s">
        <v>1726</v>
      </c>
      <c r="K265" s="1" t="s">
        <v>1727</v>
      </c>
      <c r="L265" s="1" t="s">
        <v>1728</v>
      </c>
    </row>
    <row r="266" spans="1:12">
      <c r="A266" s="1" t="s">
        <v>1549</v>
      </c>
      <c r="B266" s="1" t="s">
        <v>1525</v>
      </c>
      <c r="C266" s="1" t="s">
        <v>1723</v>
      </c>
      <c r="D266" s="1" t="s">
        <v>1693</v>
      </c>
      <c r="E266" s="1" t="s">
        <v>1694</v>
      </c>
      <c r="F266" s="1" t="s">
        <v>1694</v>
      </c>
      <c r="H266" s="1" t="s">
        <v>1684</v>
      </c>
      <c r="I266" s="1" t="s">
        <v>973</v>
      </c>
      <c r="J266" s="1" t="s">
        <v>1726</v>
      </c>
      <c r="K266" s="1" t="s">
        <v>1727</v>
      </c>
      <c r="L266" s="1" t="s">
        <v>1728</v>
      </c>
    </row>
    <row r="267" spans="1:12">
      <c r="A267" s="1" t="s">
        <v>1549</v>
      </c>
      <c r="B267" s="1" t="s">
        <v>1525</v>
      </c>
      <c r="C267" s="1" t="s">
        <v>1723</v>
      </c>
      <c r="D267" s="1" t="s">
        <v>1695</v>
      </c>
      <c r="E267" s="1" t="s">
        <v>1694</v>
      </c>
      <c r="F267" s="1" t="s">
        <v>1694</v>
      </c>
      <c r="H267" s="1" t="s">
        <v>1684</v>
      </c>
      <c r="I267" s="1" t="s">
        <v>973</v>
      </c>
      <c r="J267" s="1" t="s">
        <v>1726</v>
      </c>
      <c r="K267" s="1" t="s">
        <v>1727</v>
      </c>
      <c r="L267" s="1" t="s">
        <v>1728</v>
      </c>
    </row>
    <row r="268" spans="1:12">
      <c r="A268" s="1" t="s">
        <v>1549</v>
      </c>
      <c r="B268" s="1" t="s">
        <v>1525</v>
      </c>
      <c r="C268" s="1" t="s">
        <v>1723</v>
      </c>
      <c r="D268" s="1" t="s">
        <v>1697</v>
      </c>
      <c r="E268" s="1" t="s">
        <v>1698</v>
      </c>
      <c r="F268" s="1" t="s">
        <v>1698</v>
      </c>
      <c r="H268" s="1" t="s">
        <v>1684</v>
      </c>
      <c r="I268" s="1" t="s">
        <v>973</v>
      </c>
      <c r="J268" s="1" t="s">
        <v>1726</v>
      </c>
      <c r="K268" s="1" t="s">
        <v>1727</v>
      </c>
      <c r="L268" s="1" t="s">
        <v>1728</v>
      </c>
    </row>
    <row r="269" spans="1:12">
      <c r="A269" s="1" t="s">
        <v>1549</v>
      </c>
      <c r="B269" s="1" t="s">
        <v>1525</v>
      </c>
      <c r="C269" s="1" t="s">
        <v>1729</v>
      </c>
      <c r="D269" s="1" t="s">
        <v>1708</v>
      </c>
      <c r="E269" s="1" t="s">
        <v>1730</v>
      </c>
      <c r="F269" s="1" t="s">
        <v>1709</v>
      </c>
      <c r="H269" s="1" t="s">
        <v>1684</v>
      </c>
      <c r="I269" s="1" t="s">
        <v>1731</v>
      </c>
      <c r="J269" s="1" t="s">
        <v>1732</v>
      </c>
      <c r="K269" s="1" t="s">
        <v>1733</v>
      </c>
      <c r="L269" s="1" t="s">
        <v>1734</v>
      </c>
    </row>
    <row r="270" spans="1:12">
      <c r="A270" s="1" t="s">
        <v>1551</v>
      </c>
      <c r="B270" s="1" t="s">
        <v>1552</v>
      </c>
      <c r="C270" s="1" t="s">
        <v>1680</v>
      </c>
      <c r="D270" s="1" t="s">
        <v>1681</v>
      </c>
      <c r="E270" s="92" t="s">
        <v>1735</v>
      </c>
      <c r="F270" s="92" t="s">
        <v>1736</v>
      </c>
      <c r="H270" s="1" t="s">
        <v>1684</v>
      </c>
    </row>
    <row r="271" spans="1:12">
      <c r="A271" s="1" t="s">
        <v>1551</v>
      </c>
      <c r="B271" s="1" t="s">
        <v>1552</v>
      </c>
      <c r="C271" s="1" t="s">
        <v>1680</v>
      </c>
      <c r="D271" s="1" t="s">
        <v>1685</v>
      </c>
      <c r="E271" s="1" t="s">
        <v>1526</v>
      </c>
      <c r="F271" s="1" t="s">
        <v>1526</v>
      </c>
      <c r="H271" s="1" t="s">
        <v>1684</v>
      </c>
    </row>
    <row r="272" spans="1:12">
      <c r="A272" s="1" t="s">
        <v>1551</v>
      </c>
      <c r="B272" s="1" t="s">
        <v>1552</v>
      </c>
      <c r="C272" s="1" t="s">
        <v>1686</v>
      </c>
      <c r="D272" s="1" t="s">
        <v>218</v>
      </c>
      <c r="E272" s="92" t="s">
        <v>1903</v>
      </c>
      <c r="F272" s="92" t="s">
        <v>1903</v>
      </c>
      <c r="G272" s="92" t="s">
        <v>1765</v>
      </c>
      <c r="H272" s="1" t="s">
        <v>1684</v>
      </c>
      <c r="I272" s="1" t="s">
        <v>1689</v>
      </c>
      <c r="J272" s="1" t="s">
        <v>1690</v>
      </c>
      <c r="K272" s="1" t="s">
        <v>1691</v>
      </c>
      <c r="L272" s="1" t="s">
        <v>1692</v>
      </c>
    </row>
    <row r="273" spans="1:12">
      <c r="A273" s="1" t="s">
        <v>1551</v>
      </c>
      <c r="B273" s="1" t="s">
        <v>1552</v>
      </c>
      <c r="C273" s="1" t="s">
        <v>1686</v>
      </c>
      <c r="D273" s="1" t="s">
        <v>1693</v>
      </c>
      <c r="E273" s="1" t="s">
        <v>1694</v>
      </c>
      <c r="F273" s="1" t="s">
        <v>1694</v>
      </c>
      <c r="H273" s="1" t="s">
        <v>1684</v>
      </c>
      <c r="I273" s="1" t="s">
        <v>1689</v>
      </c>
      <c r="J273" s="1" t="s">
        <v>1690</v>
      </c>
      <c r="K273" s="1" t="s">
        <v>1691</v>
      </c>
      <c r="L273" s="1" t="s">
        <v>1692</v>
      </c>
    </row>
    <row r="274" spans="1:12">
      <c r="A274" s="1" t="s">
        <v>1551</v>
      </c>
      <c r="B274" s="1" t="s">
        <v>1552</v>
      </c>
      <c r="C274" s="1" t="s">
        <v>1686</v>
      </c>
      <c r="D274" s="1" t="s">
        <v>1695</v>
      </c>
      <c r="E274" s="1" t="s">
        <v>1696</v>
      </c>
      <c r="F274" s="1" t="s">
        <v>1696</v>
      </c>
      <c r="H274" s="1" t="s">
        <v>1684</v>
      </c>
      <c r="I274" s="1" t="s">
        <v>1689</v>
      </c>
      <c r="J274" s="1" t="s">
        <v>1690</v>
      </c>
      <c r="K274" s="1" t="s">
        <v>1691</v>
      </c>
      <c r="L274" s="1" t="s">
        <v>1692</v>
      </c>
    </row>
    <row r="275" spans="1:12">
      <c r="A275" s="1" t="s">
        <v>1551</v>
      </c>
      <c r="B275" s="1" t="s">
        <v>1552</v>
      </c>
      <c r="C275" s="1" t="s">
        <v>1686</v>
      </c>
      <c r="D275" s="1" t="s">
        <v>1697</v>
      </c>
      <c r="E275" s="1" t="s">
        <v>1698</v>
      </c>
      <c r="F275" s="1" t="s">
        <v>1698</v>
      </c>
      <c r="H275" s="1" t="s">
        <v>1684</v>
      </c>
      <c r="I275" s="1" t="s">
        <v>1689</v>
      </c>
      <c r="J275" s="1" t="s">
        <v>1690</v>
      </c>
      <c r="K275" s="1" t="s">
        <v>1691</v>
      </c>
      <c r="L275" s="1" t="s">
        <v>1692</v>
      </c>
    </row>
    <row r="276" spans="1:12">
      <c r="A276" s="1" t="s">
        <v>1551</v>
      </c>
      <c r="B276" s="1" t="s">
        <v>1552</v>
      </c>
      <c r="C276" s="1" t="s">
        <v>1686</v>
      </c>
      <c r="D276" s="1" t="s">
        <v>1699</v>
      </c>
      <c r="E276" s="92" t="s">
        <v>1739</v>
      </c>
      <c r="F276" s="92" t="s">
        <v>1740</v>
      </c>
      <c r="H276" s="1" t="s">
        <v>1684</v>
      </c>
      <c r="I276" s="1" t="s">
        <v>1689</v>
      </c>
      <c r="J276" s="1" t="s">
        <v>1690</v>
      </c>
      <c r="K276" s="1" t="s">
        <v>1691</v>
      </c>
      <c r="L276" s="1" t="s">
        <v>1692</v>
      </c>
    </row>
    <row r="277" spans="1:12">
      <c r="A277" s="1" t="s">
        <v>1551</v>
      </c>
      <c r="B277" s="1" t="s">
        <v>1552</v>
      </c>
      <c r="C277" s="1" t="s">
        <v>1686</v>
      </c>
      <c r="D277" s="1" t="s">
        <v>1702</v>
      </c>
      <c r="E277" s="92" t="s">
        <v>1741</v>
      </c>
      <c r="F277" s="92" t="s">
        <v>1741</v>
      </c>
      <c r="H277" s="1" t="s">
        <v>1684</v>
      </c>
      <c r="I277" s="1" t="s">
        <v>1689</v>
      </c>
      <c r="J277" s="1" t="s">
        <v>1690</v>
      </c>
      <c r="K277" s="1" t="s">
        <v>1691</v>
      </c>
      <c r="L277" s="1" t="s">
        <v>1692</v>
      </c>
    </row>
    <row r="278" spans="1:12">
      <c r="A278" s="1" t="s">
        <v>1551</v>
      </c>
      <c r="B278" s="1" t="s">
        <v>1552</v>
      </c>
      <c r="C278" s="1" t="s">
        <v>1686</v>
      </c>
      <c r="D278" s="1" t="s">
        <v>1705</v>
      </c>
      <c r="E278" s="92" t="s">
        <v>1742</v>
      </c>
      <c r="F278" s="92" t="s">
        <v>1743</v>
      </c>
      <c r="H278" s="1" t="s">
        <v>1684</v>
      </c>
      <c r="I278" s="1" t="s">
        <v>1689</v>
      </c>
      <c r="J278" s="1" t="s">
        <v>1690</v>
      </c>
      <c r="K278" s="1" t="s">
        <v>1691</v>
      </c>
      <c r="L278" s="1" t="s">
        <v>1692</v>
      </c>
    </row>
    <row r="279" spans="1:12">
      <c r="A279" s="1" t="s">
        <v>1551</v>
      </c>
      <c r="B279" s="1" t="s">
        <v>1552</v>
      </c>
      <c r="C279" s="1" t="s">
        <v>1394</v>
      </c>
      <c r="D279" s="1" t="s">
        <v>1708</v>
      </c>
      <c r="E279" s="1" t="s">
        <v>1709</v>
      </c>
      <c r="F279" s="1" t="s">
        <v>1709</v>
      </c>
      <c r="H279" s="1" t="s">
        <v>1684</v>
      </c>
      <c r="I279" s="1" t="s">
        <v>973</v>
      </c>
      <c r="J279" s="1" t="s">
        <v>1710</v>
      </c>
      <c r="K279" s="1" t="s">
        <v>1691</v>
      </c>
      <c r="L279" s="1" t="s">
        <v>1692</v>
      </c>
    </row>
    <row r="280" spans="1:12">
      <c r="A280" s="1" t="s">
        <v>1551</v>
      </c>
      <c r="B280" s="1" t="s">
        <v>1552</v>
      </c>
      <c r="C280" s="1" t="s">
        <v>1711</v>
      </c>
      <c r="D280" s="1" t="s">
        <v>218</v>
      </c>
      <c r="E280" s="92" t="s">
        <v>1875</v>
      </c>
      <c r="F280" s="92" t="s">
        <v>1875</v>
      </c>
      <c r="G280" s="92" t="s">
        <v>1822</v>
      </c>
      <c r="H280" s="1" t="s">
        <v>1684</v>
      </c>
      <c r="I280" s="1" t="s">
        <v>1689</v>
      </c>
      <c r="J280" s="1" t="s">
        <v>1714</v>
      </c>
      <c r="K280" s="1" t="s">
        <v>1715</v>
      </c>
      <c r="L280" s="1" t="s">
        <v>1716</v>
      </c>
    </row>
    <row r="281" spans="1:12">
      <c r="A281" s="1" t="s">
        <v>1551</v>
      </c>
      <c r="B281" s="1" t="s">
        <v>1552</v>
      </c>
      <c r="C281" s="1" t="s">
        <v>1711</v>
      </c>
      <c r="D281" s="1" t="s">
        <v>1693</v>
      </c>
      <c r="E281" s="1" t="s">
        <v>1694</v>
      </c>
      <c r="F281" s="1" t="s">
        <v>1694</v>
      </c>
      <c r="H281" s="1" t="s">
        <v>1684</v>
      </c>
      <c r="I281" s="1" t="s">
        <v>1689</v>
      </c>
      <c r="J281" s="1" t="s">
        <v>1714</v>
      </c>
      <c r="K281" s="1" t="s">
        <v>1715</v>
      </c>
      <c r="L281" s="1" t="s">
        <v>1716</v>
      </c>
    </row>
    <row r="282" spans="1:12">
      <c r="A282" s="1" t="s">
        <v>1551</v>
      </c>
      <c r="B282" s="1" t="s">
        <v>1552</v>
      </c>
      <c r="C282" s="1" t="s">
        <v>1711</v>
      </c>
      <c r="D282" s="1" t="s">
        <v>1695</v>
      </c>
      <c r="E282" s="1" t="s">
        <v>1694</v>
      </c>
      <c r="F282" s="1" t="s">
        <v>1694</v>
      </c>
      <c r="H282" s="1" t="s">
        <v>1684</v>
      </c>
      <c r="I282" s="1" t="s">
        <v>1689</v>
      </c>
      <c r="J282" s="1" t="s">
        <v>1714</v>
      </c>
      <c r="K282" s="1" t="s">
        <v>1715</v>
      </c>
      <c r="L282" s="1" t="s">
        <v>1716</v>
      </c>
    </row>
    <row r="283" spans="1:12">
      <c r="A283" s="1" t="s">
        <v>1551</v>
      </c>
      <c r="B283" s="1" t="s">
        <v>1552</v>
      </c>
      <c r="C283" s="1" t="s">
        <v>1711</v>
      </c>
      <c r="D283" s="1" t="s">
        <v>1697</v>
      </c>
      <c r="E283" s="1" t="s">
        <v>1698</v>
      </c>
      <c r="F283" s="1" t="s">
        <v>1698</v>
      </c>
      <c r="H283" s="1" t="s">
        <v>1684</v>
      </c>
      <c r="I283" s="1" t="s">
        <v>1689</v>
      </c>
      <c r="J283" s="1" t="s">
        <v>1714</v>
      </c>
      <c r="K283" s="1" t="s">
        <v>1715</v>
      </c>
      <c r="L283" s="1" t="s">
        <v>1716</v>
      </c>
    </row>
    <row r="284" spans="1:12">
      <c r="A284" s="1" t="s">
        <v>1551</v>
      </c>
      <c r="B284" s="1" t="s">
        <v>1552</v>
      </c>
      <c r="C284" s="1" t="s">
        <v>1711</v>
      </c>
      <c r="D284" s="1" t="s">
        <v>1699</v>
      </c>
      <c r="E284" s="92" t="s">
        <v>1717</v>
      </c>
      <c r="F284" s="92" t="s">
        <v>1718</v>
      </c>
      <c r="H284" s="1" t="s">
        <v>1684</v>
      </c>
      <c r="I284" s="1" t="s">
        <v>1689</v>
      </c>
      <c r="J284" s="1" t="s">
        <v>1714</v>
      </c>
      <c r="K284" s="1" t="s">
        <v>1715</v>
      </c>
      <c r="L284" s="1" t="s">
        <v>1716</v>
      </c>
    </row>
    <row r="285" spans="1:12">
      <c r="A285" s="1" t="s">
        <v>1551</v>
      </c>
      <c r="B285" s="1" t="s">
        <v>1552</v>
      </c>
      <c r="C285" s="1" t="s">
        <v>1711</v>
      </c>
      <c r="D285" s="1" t="s">
        <v>1702</v>
      </c>
      <c r="E285" s="92" t="s">
        <v>1904</v>
      </c>
      <c r="F285" s="92" t="s">
        <v>1904</v>
      </c>
      <c r="H285" s="1" t="s">
        <v>1684</v>
      </c>
      <c r="I285" s="1" t="s">
        <v>1689</v>
      </c>
      <c r="J285" s="1" t="s">
        <v>1714</v>
      </c>
      <c r="K285" s="1" t="s">
        <v>1715</v>
      </c>
      <c r="L285" s="1" t="s">
        <v>1716</v>
      </c>
    </row>
    <row r="286" spans="1:12">
      <c r="A286" s="1" t="s">
        <v>1551</v>
      </c>
      <c r="B286" s="1" t="s">
        <v>1552</v>
      </c>
      <c r="C286" s="1" t="s">
        <v>1711</v>
      </c>
      <c r="D286" s="1" t="s">
        <v>1705</v>
      </c>
      <c r="E286" s="92" t="s">
        <v>1749</v>
      </c>
      <c r="F286" s="92" t="s">
        <v>1750</v>
      </c>
      <c r="H286" s="1" t="s">
        <v>1684</v>
      </c>
      <c r="I286" s="1" t="s">
        <v>1689</v>
      </c>
      <c r="J286" s="1" t="s">
        <v>1714</v>
      </c>
      <c r="K286" s="1" t="s">
        <v>1715</v>
      </c>
      <c r="L286" s="1" t="s">
        <v>1716</v>
      </c>
    </row>
    <row r="287" spans="1:12">
      <c r="A287" s="1" t="s">
        <v>1551</v>
      </c>
      <c r="B287" s="1" t="s">
        <v>1552</v>
      </c>
      <c r="C287" s="1" t="s">
        <v>1723</v>
      </c>
      <c r="D287" s="1" t="s">
        <v>218</v>
      </c>
      <c r="E287" s="92" t="s">
        <v>1905</v>
      </c>
      <c r="F287" s="92" t="s">
        <v>1905</v>
      </c>
      <c r="G287" s="92" t="s">
        <v>1713</v>
      </c>
      <c r="H287" s="1" t="s">
        <v>1684</v>
      </c>
      <c r="I287" s="1" t="s">
        <v>973</v>
      </c>
      <c r="J287" s="1" t="s">
        <v>1726</v>
      </c>
      <c r="K287" s="1" t="s">
        <v>1727</v>
      </c>
      <c r="L287" s="1" t="s">
        <v>1728</v>
      </c>
    </row>
    <row r="288" spans="1:12">
      <c r="A288" s="1" t="s">
        <v>1551</v>
      </c>
      <c r="B288" s="1" t="s">
        <v>1552</v>
      </c>
      <c r="C288" s="1" t="s">
        <v>1723</v>
      </c>
      <c r="D288" s="1" t="s">
        <v>1693</v>
      </c>
      <c r="E288" s="1" t="s">
        <v>1694</v>
      </c>
      <c r="F288" s="1" t="s">
        <v>1694</v>
      </c>
      <c r="H288" s="1" t="s">
        <v>1684</v>
      </c>
      <c r="I288" s="1" t="s">
        <v>973</v>
      </c>
      <c r="J288" s="1" t="s">
        <v>1726</v>
      </c>
      <c r="K288" s="1" t="s">
        <v>1727</v>
      </c>
      <c r="L288" s="1" t="s">
        <v>1728</v>
      </c>
    </row>
    <row r="289" spans="1:12">
      <c r="A289" s="1" t="s">
        <v>1551</v>
      </c>
      <c r="B289" s="1" t="s">
        <v>1552</v>
      </c>
      <c r="C289" s="1" t="s">
        <v>1723</v>
      </c>
      <c r="D289" s="1" t="s">
        <v>1695</v>
      </c>
      <c r="E289" s="1" t="s">
        <v>1694</v>
      </c>
      <c r="F289" s="1" t="s">
        <v>1694</v>
      </c>
      <c r="H289" s="1" t="s">
        <v>1684</v>
      </c>
      <c r="I289" s="1" t="s">
        <v>973</v>
      </c>
      <c r="J289" s="1" t="s">
        <v>1726</v>
      </c>
      <c r="K289" s="1" t="s">
        <v>1727</v>
      </c>
      <c r="L289" s="1" t="s">
        <v>1728</v>
      </c>
    </row>
    <row r="290" spans="1:12">
      <c r="A290" s="1" t="s">
        <v>1551</v>
      </c>
      <c r="B290" s="1" t="s">
        <v>1552</v>
      </c>
      <c r="C290" s="1" t="s">
        <v>1723</v>
      </c>
      <c r="D290" s="1" t="s">
        <v>1697</v>
      </c>
      <c r="E290" s="1" t="s">
        <v>1698</v>
      </c>
      <c r="F290" s="1" t="s">
        <v>1698</v>
      </c>
      <c r="H290" s="1" t="s">
        <v>1684</v>
      </c>
      <c r="I290" s="1" t="s">
        <v>973</v>
      </c>
      <c r="J290" s="1" t="s">
        <v>1726</v>
      </c>
      <c r="K290" s="1" t="s">
        <v>1727</v>
      </c>
      <c r="L290" s="1" t="s">
        <v>1728</v>
      </c>
    </row>
    <row r="291" spans="1:12">
      <c r="A291" s="1" t="s">
        <v>1551</v>
      </c>
      <c r="B291" s="1" t="s">
        <v>1552</v>
      </c>
      <c r="C291" s="1" t="s">
        <v>1729</v>
      </c>
      <c r="D291" s="1" t="s">
        <v>1708</v>
      </c>
      <c r="E291" s="1" t="s">
        <v>1730</v>
      </c>
      <c r="F291" s="1" t="s">
        <v>1730</v>
      </c>
      <c r="H291" s="1" t="s">
        <v>1684</v>
      </c>
      <c r="I291" s="1" t="s">
        <v>1731</v>
      </c>
      <c r="J291" s="1" t="s">
        <v>1732</v>
      </c>
      <c r="K291" s="1" t="s">
        <v>1733</v>
      </c>
      <c r="L291" s="1" t="s">
        <v>1734</v>
      </c>
    </row>
    <row r="292" spans="1:12">
      <c r="A292" s="1" t="s">
        <v>1554</v>
      </c>
      <c r="B292" s="1" t="s">
        <v>1552</v>
      </c>
      <c r="C292" s="1" t="s">
        <v>1680</v>
      </c>
      <c r="D292" s="1" t="s">
        <v>1681</v>
      </c>
      <c r="E292" s="92" t="s">
        <v>1735</v>
      </c>
      <c r="F292" s="92" t="s">
        <v>1736</v>
      </c>
      <c r="H292" s="1" t="s">
        <v>1684</v>
      </c>
    </row>
    <row r="293" spans="1:12">
      <c r="A293" s="1" t="s">
        <v>1554</v>
      </c>
      <c r="B293" s="1" t="s">
        <v>1552</v>
      </c>
      <c r="C293" s="1" t="s">
        <v>1680</v>
      </c>
      <c r="D293" s="1" t="s">
        <v>1685</v>
      </c>
      <c r="E293" s="1" t="s">
        <v>1526</v>
      </c>
      <c r="F293" s="1" t="s">
        <v>1526</v>
      </c>
      <c r="H293" s="1" t="s">
        <v>1684</v>
      </c>
    </row>
    <row r="294" spans="1:12">
      <c r="A294" s="1" t="s">
        <v>1554</v>
      </c>
      <c r="B294" s="1" t="s">
        <v>1552</v>
      </c>
      <c r="C294" s="1" t="s">
        <v>1686</v>
      </c>
      <c r="D294" s="1" t="s">
        <v>218</v>
      </c>
      <c r="E294" s="92" t="s">
        <v>1906</v>
      </c>
      <c r="F294" s="92" t="s">
        <v>1906</v>
      </c>
      <c r="G294" s="92" t="s">
        <v>1725</v>
      </c>
      <c r="H294" s="1" t="s">
        <v>1684</v>
      </c>
      <c r="I294" s="1" t="s">
        <v>1689</v>
      </c>
      <c r="J294" s="1" t="s">
        <v>1690</v>
      </c>
      <c r="K294" s="1" t="s">
        <v>1691</v>
      </c>
      <c r="L294" s="1" t="s">
        <v>1692</v>
      </c>
    </row>
    <row r="295" spans="1:12">
      <c r="A295" s="1" t="s">
        <v>1554</v>
      </c>
      <c r="B295" s="1" t="s">
        <v>1552</v>
      </c>
      <c r="C295" s="1" t="s">
        <v>1686</v>
      </c>
      <c r="D295" s="1" t="s">
        <v>1693</v>
      </c>
      <c r="E295" s="1" t="s">
        <v>1694</v>
      </c>
      <c r="F295" s="1" t="s">
        <v>1694</v>
      </c>
      <c r="H295" s="1" t="s">
        <v>1684</v>
      </c>
      <c r="I295" s="1" t="s">
        <v>1689</v>
      </c>
      <c r="J295" s="1" t="s">
        <v>1690</v>
      </c>
      <c r="K295" s="1" t="s">
        <v>1691</v>
      </c>
      <c r="L295" s="1" t="s">
        <v>1692</v>
      </c>
    </row>
    <row r="296" spans="1:12">
      <c r="A296" s="1" t="s">
        <v>1554</v>
      </c>
      <c r="B296" s="1" t="s">
        <v>1552</v>
      </c>
      <c r="C296" s="1" t="s">
        <v>1686</v>
      </c>
      <c r="D296" s="1" t="s">
        <v>1695</v>
      </c>
      <c r="E296" s="1" t="s">
        <v>1696</v>
      </c>
      <c r="F296" s="1" t="s">
        <v>1696</v>
      </c>
      <c r="H296" s="1" t="s">
        <v>1684</v>
      </c>
      <c r="I296" s="1" t="s">
        <v>1689</v>
      </c>
      <c r="J296" s="1" t="s">
        <v>1690</v>
      </c>
      <c r="K296" s="1" t="s">
        <v>1691</v>
      </c>
      <c r="L296" s="1" t="s">
        <v>1692</v>
      </c>
    </row>
    <row r="297" spans="1:12">
      <c r="A297" s="1" t="s">
        <v>1554</v>
      </c>
      <c r="B297" s="1" t="s">
        <v>1552</v>
      </c>
      <c r="C297" s="1" t="s">
        <v>1686</v>
      </c>
      <c r="D297" s="1" t="s">
        <v>1697</v>
      </c>
      <c r="E297" s="1" t="s">
        <v>1698</v>
      </c>
      <c r="F297" s="1" t="s">
        <v>1698</v>
      </c>
      <c r="H297" s="1" t="s">
        <v>1684</v>
      </c>
      <c r="I297" s="1" t="s">
        <v>1689</v>
      </c>
      <c r="J297" s="1" t="s">
        <v>1690</v>
      </c>
      <c r="K297" s="1" t="s">
        <v>1691</v>
      </c>
      <c r="L297" s="1" t="s">
        <v>1692</v>
      </c>
    </row>
    <row r="298" spans="1:12">
      <c r="A298" s="1" t="s">
        <v>1554</v>
      </c>
      <c r="B298" s="1" t="s">
        <v>1552</v>
      </c>
      <c r="C298" s="1" t="s">
        <v>1686</v>
      </c>
      <c r="D298" s="1" t="s">
        <v>1699</v>
      </c>
      <c r="E298" s="92" t="s">
        <v>1739</v>
      </c>
      <c r="F298" s="92" t="s">
        <v>1740</v>
      </c>
      <c r="H298" s="1" t="s">
        <v>1684</v>
      </c>
      <c r="I298" s="1" t="s">
        <v>1689</v>
      </c>
      <c r="J298" s="1" t="s">
        <v>1690</v>
      </c>
      <c r="K298" s="1" t="s">
        <v>1691</v>
      </c>
      <c r="L298" s="1" t="s">
        <v>1692</v>
      </c>
    </row>
    <row r="299" spans="1:12">
      <c r="A299" s="1" t="s">
        <v>1554</v>
      </c>
      <c r="B299" s="1" t="s">
        <v>1552</v>
      </c>
      <c r="C299" s="1" t="s">
        <v>1686</v>
      </c>
      <c r="D299" s="1" t="s">
        <v>1702</v>
      </c>
      <c r="E299" s="92" t="s">
        <v>1741</v>
      </c>
      <c r="F299" s="92" t="s">
        <v>1741</v>
      </c>
      <c r="H299" s="1" t="s">
        <v>1684</v>
      </c>
      <c r="I299" s="1" t="s">
        <v>1689</v>
      </c>
      <c r="J299" s="1" t="s">
        <v>1690</v>
      </c>
      <c r="K299" s="1" t="s">
        <v>1691</v>
      </c>
      <c r="L299" s="1" t="s">
        <v>1692</v>
      </c>
    </row>
    <row r="300" spans="1:12">
      <c r="A300" s="1" t="s">
        <v>1554</v>
      </c>
      <c r="B300" s="1" t="s">
        <v>1552</v>
      </c>
      <c r="C300" s="1" t="s">
        <v>1686</v>
      </c>
      <c r="D300" s="1" t="s">
        <v>1705</v>
      </c>
      <c r="E300" s="92" t="s">
        <v>1742</v>
      </c>
      <c r="F300" s="92" t="s">
        <v>1743</v>
      </c>
      <c r="H300" s="1" t="s">
        <v>1684</v>
      </c>
      <c r="I300" s="1" t="s">
        <v>1689</v>
      </c>
      <c r="J300" s="1" t="s">
        <v>1690</v>
      </c>
      <c r="K300" s="1" t="s">
        <v>1691</v>
      </c>
      <c r="L300" s="1" t="s">
        <v>1692</v>
      </c>
    </row>
    <row r="301" spans="1:12">
      <c r="A301" s="1" t="s">
        <v>1554</v>
      </c>
      <c r="B301" s="1" t="s">
        <v>1552</v>
      </c>
      <c r="C301" s="1" t="s">
        <v>1394</v>
      </c>
      <c r="D301" s="1" t="s">
        <v>1708</v>
      </c>
      <c r="E301" s="1" t="s">
        <v>1709</v>
      </c>
      <c r="F301" s="1" t="s">
        <v>1709</v>
      </c>
      <c r="H301" s="1" t="s">
        <v>1684</v>
      </c>
      <c r="I301" s="1" t="s">
        <v>973</v>
      </c>
      <c r="J301" s="1" t="s">
        <v>1710</v>
      </c>
      <c r="K301" s="1" t="s">
        <v>1691</v>
      </c>
      <c r="L301" s="1" t="s">
        <v>1692</v>
      </c>
    </row>
    <row r="302" spans="1:12">
      <c r="A302" s="1" t="s">
        <v>1554</v>
      </c>
      <c r="B302" s="1" t="s">
        <v>1552</v>
      </c>
      <c r="C302" s="1" t="s">
        <v>1711</v>
      </c>
      <c r="D302" s="1" t="s">
        <v>218</v>
      </c>
      <c r="E302" s="92" t="s">
        <v>1907</v>
      </c>
      <c r="F302" s="92" t="s">
        <v>1907</v>
      </c>
      <c r="G302" s="92" t="s">
        <v>1738</v>
      </c>
      <c r="H302" s="1" t="s">
        <v>1684</v>
      </c>
      <c r="I302" s="1" t="s">
        <v>1689</v>
      </c>
      <c r="J302" s="1" t="s">
        <v>1714</v>
      </c>
      <c r="K302" s="1" t="s">
        <v>1715</v>
      </c>
      <c r="L302" s="1" t="s">
        <v>1716</v>
      </c>
    </row>
    <row r="303" spans="1:12">
      <c r="A303" s="1" t="s">
        <v>1554</v>
      </c>
      <c r="B303" s="1" t="s">
        <v>1552</v>
      </c>
      <c r="C303" s="1" t="s">
        <v>1711</v>
      </c>
      <c r="D303" s="1" t="s">
        <v>1693</v>
      </c>
      <c r="E303" s="1" t="s">
        <v>1908</v>
      </c>
      <c r="F303" s="1" t="s">
        <v>1908</v>
      </c>
      <c r="H303" s="1" t="s">
        <v>1684</v>
      </c>
      <c r="I303" s="1" t="s">
        <v>1689</v>
      </c>
      <c r="J303" s="1" t="s">
        <v>1714</v>
      </c>
      <c r="K303" s="1" t="s">
        <v>1715</v>
      </c>
      <c r="L303" s="1" t="s">
        <v>1716</v>
      </c>
    </row>
    <row r="304" spans="1:12">
      <c r="A304" s="1" t="s">
        <v>1554</v>
      </c>
      <c r="B304" s="1" t="s">
        <v>1552</v>
      </c>
      <c r="C304" s="1" t="s">
        <v>1711</v>
      </c>
      <c r="D304" s="1" t="s">
        <v>1695</v>
      </c>
      <c r="E304" s="1" t="s">
        <v>1745</v>
      </c>
      <c r="F304" s="1" t="s">
        <v>1745</v>
      </c>
      <c r="H304" s="1" t="s">
        <v>1684</v>
      </c>
      <c r="I304" s="1" t="s">
        <v>1689</v>
      </c>
      <c r="J304" s="1" t="s">
        <v>1714</v>
      </c>
      <c r="K304" s="1" t="s">
        <v>1715</v>
      </c>
      <c r="L304" s="1" t="s">
        <v>1716</v>
      </c>
    </row>
    <row r="305" spans="1:12">
      <c r="A305" s="1" t="s">
        <v>1554</v>
      </c>
      <c r="B305" s="1" t="s">
        <v>1552</v>
      </c>
      <c r="C305" s="1" t="s">
        <v>1711</v>
      </c>
      <c r="D305" s="1" t="s">
        <v>1697</v>
      </c>
      <c r="E305" s="1" t="s">
        <v>1698</v>
      </c>
      <c r="F305" s="1" t="s">
        <v>1698</v>
      </c>
      <c r="H305" s="1" t="s">
        <v>1684</v>
      </c>
      <c r="I305" s="1" t="s">
        <v>1689</v>
      </c>
      <c r="J305" s="1" t="s">
        <v>1714</v>
      </c>
      <c r="K305" s="1" t="s">
        <v>1715</v>
      </c>
      <c r="L305" s="1" t="s">
        <v>1716</v>
      </c>
    </row>
    <row r="306" spans="1:12">
      <c r="A306" s="1" t="s">
        <v>1554</v>
      </c>
      <c r="B306" s="1" t="s">
        <v>1552</v>
      </c>
      <c r="C306" s="1" t="s">
        <v>1711</v>
      </c>
      <c r="D306" s="1" t="s">
        <v>1699</v>
      </c>
      <c r="E306" s="92" t="s">
        <v>1717</v>
      </c>
      <c r="F306" s="92" t="s">
        <v>1718</v>
      </c>
      <c r="H306" s="1" t="s">
        <v>1684</v>
      </c>
      <c r="I306" s="1" t="s">
        <v>1689</v>
      </c>
      <c r="J306" s="1" t="s">
        <v>1714</v>
      </c>
      <c r="K306" s="1" t="s">
        <v>1715</v>
      </c>
      <c r="L306" s="1" t="s">
        <v>1716</v>
      </c>
    </row>
    <row r="307" spans="1:12">
      <c r="A307" s="1" t="s">
        <v>1554</v>
      </c>
      <c r="B307" s="1" t="s">
        <v>1552</v>
      </c>
      <c r="C307" s="1" t="s">
        <v>1711</v>
      </c>
      <c r="D307" s="1" t="s">
        <v>1702</v>
      </c>
      <c r="E307" s="92" t="s">
        <v>1904</v>
      </c>
      <c r="F307" s="92" t="s">
        <v>1904</v>
      </c>
      <c r="H307" s="1" t="s">
        <v>1684</v>
      </c>
      <c r="I307" s="1" t="s">
        <v>1689</v>
      </c>
      <c r="J307" s="1" t="s">
        <v>1714</v>
      </c>
      <c r="K307" s="1" t="s">
        <v>1715</v>
      </c>
      <c r="L307" s="1" t="s">
        <v>1716</v>
      </c>
    </row>
    <row r="308" spans="1:12">
      <c r="A308" s="1" t="s">
        <v>1554</v>
      </c>
      <c r="B308" s="1" t="s">
        <v>1552</v>
      </c>
      <c r="C308" s="1" t="s">
        <v>1711</v>
      </c>
      <c r="D308" s="1" t="s">
        <v>1705</v>
      </c>
      <c r="E308" s="92" t="s">
        <v>1749</v>
      </c>
      <c r="F308" s="92" t="s">
        <v>1750</v>
      </c>
      <c r="H308" s="1" t="s">
        <v>1684</v>
      </c>
      <c r="I308" s="1" t="s">
        <v>1689</v>
      </c>
      <c r="J308" s="1" t="s">
        <v>1714</v>
      </c>
      <c r="K308" s="1" t="s">
        <v>1715</v>
      </c>
      <c r="L308" s="1" t="s">
        <v>1716</v>
      </c>
    </row>
    <row r="309" spans="1:12">
      <c r="A309" s="1" t="s">
        <v>1554</v>
      </c>
      <c r="B309" s="1" t="s">
        <v>1552</v>
      </c>
      <c r="C309" s="1" t="s">
        <v>1723</v>
      </c>
      <c r="D309" s="1" t="s">
        <v>218</v>
      </c>
      <c r="E309" s="92" t="s">
        <v>1905</v>
      </c>
      <c r="F309" s="92" t="s">
        <v>1905</v>
      </c>
      <c r="G309" s="92" t="s">
        <v>1713</v>
      </c>
      <c r="H309" s="1" t="s">
        <v>1684</v>
      </c>
      <c r="I309" s="1" t="s">
        <v>973</v>
      </c>
      <c r="J309" s="1" t="s">
        <v>1726</v>
      </c>
      <c r="K309" s="1" t="s">
        <v>1727</v>
      </c>
      <c r="L309" s="1" t="s">
        <v>1728</v>
      </c>
    </row>
    <row r="310" spans="1:12">
      <c r="A310" s="1" t="s">
        <v>1554</v>
      </c>
      <c r="B310" s="1" t="s">
        <v>1552</v>
      </c>
      <c r="C310" s="1" t="s">
        <v>1723</v>
      </c>
      <c r="D310" s="1" t="s">
        <v>1693</v>
      </c>
      <c r="E310" s="1" t="s">
        <v>1694</v>
      </c>
      <c r="F310" s="1" t="s">
        <v>1694</v>
      </c>
      <c r="H310" s="1" t="s">
        <v>1684</v>
      </c>
      <c r="I310" s="1" t="s">
        <v>973</v>
      </c>
      <c r="J310" s="1" t="s">
        <v>1726</v>
      </c>
      <c r="K310" s="1" t="s">
        <v>1727</v>
      </c>
      <c r="L310" s="1" t="s">
        <v>1728</v>
      </c>
    </row>
    <row r="311" spans="1:12">
      <c r="A311" s="1" t="s">
        <v>1554</v>
      </c>
      <c r="B311" s="1" t="s">
        <v>1552</v>
      </c>
      <c r="C311" s="1" t="s">
        <v>1723</v>
      </c>
      <c r="D311" s="1" t="s">
        <v>1695</v>
      </c>
      <c r="E311" s="1" t="s">
        <v>1694</v>
      </c>
      <c r="F311" s="1" t="s">
        <v>1694</v>
      </c>
      <c r="H311" s="1" t="s">
        <v>1684</v>
      </c>
      <c r="I311" s="1" t="s">
        <v>973</v>
      </c>
      <c r="J311" s="1" t="s">
        <v>1726</v>
      </c>
      <c r="K311" s="1" t="s">
        <v>1727</v>
      </c>
      <c r="L311" s="1" t="s">
        <v>1728</v>
      </c>
    </row>
    <row r="312" spans="1:12">
      <c r="A312" s="1" t="s">
        <v>1554</v>
      </c>
      <c r="B312" s="1" t="s">
        <v>1552</v>
      </c>
      <c r="C312" s="1" t="s">
        <v>1723</v>
      </c>
      <c r="D312" s="1" t="s">
        <v>1697</v>
      </c>
      <c r="E312" s="1" t="s">
        <v>1698</v>
      </c>
      <c r="F312" s="1" t="s">
        <v>1698</v>
      </c>
      <c r="H312" s="1" t="s">
        <v>1684</v>
      </c>
      <c r="I312" s="1" t="s">
        <v>973</v>
      </c>
      <c r="J312" s="1" t="s">
        <v>1726</v>
      </c>
      <c r="K312" s="1" t="s">
        <v>1727</v>
      </c>
      <c r="L312" s="1" t="s">
        <v>1728</v>
      </c>
    </row>
    <row r="313" spans="1:12">
      <c r="A313" s="1" t="s">
        <v>1554</v>
      </c>
      <c r="B313" s="1" t="s">
        <v>1552</v>
      </c>
      <c r="C313" s="1" t="s">
        <v>1729</v>
      </c>
      <c r="D313" s="1" t="s">
        <v>1708</v>
      </c>
      <c r="E313" s="1" t="s">
        <v>1730</v>
      </c>
      <c r="F313" s="1" t="s">
        <v>1730</v>
      </c>
      <c r="H313" s="1" t="s">
        <v>1684</v>
      </c>
      <c r="I313" s="1" t="s">
        <v>1731</v>
      </c>
      <c r="J313" s="1" t="s">
        <v>1732</v>
      </c>
      <c r="K313" s="1" t="s">
        <v>1733</v>
      </c>
      <c r="L313" s="1" t="s">
        <v>1734</v>
      </c>
    </row>
    <row r="314" spans="1:12">
      <c r="A314" s="1" t="s">
        <v>1556</v>
      </c>
      <c r="B314" s="1" t="s">
        <v>1552</v>
      </c>
      <c r="C314" s="1" t="s">
        <v>1680</v>
      </c>
      <c r="D314" s="1" t="s">
        <v>1681</v>
      </c>
      <c r="E314" s="92" t="s">
        <v>1735</v>
      </c>
      <c r="F314" s="92" t="s">
        <v>1736</v>
      </c>
      <c r="H314" s="1" t="s">
        <v>1684</v>
      </c>
    </row>
    <row r="315" spans="1:12">
      <c r="A315" s="1" t="s">
        <v>1556</v>
      </c>
      <c r="B315" s="1" t="s">
        <v>1552</v>
      </c>
      <c r="C315" s="1" t="s">
        <v>1680</v>
      </c>
      <c r="D315" s="1" t="s">
        <v>1685</v>
      </c>
      <c r="E315" s="1" t="s">
        <v>1526</v>
      </c>
      <c r="F315" s="1" t="s">
        <v>1526</v>
      </c>
      <c r="H315" s="1" t="s">
        <v>1684</v>
      </c>
    </row>
    <row r="316" spans="1:12">
      <c r="A316" s="1" t="s">
        <v>1556</v>
      </c>
      <c r="B316" s="1" t="s">
        <v>1552</v>
      </c>
      <c r="C316" s="1" t="s">
        <v>1686</v>
      </c>
      <c r="D316" s="1" t="s">
        <v>218</v>
      </c>
      <c r="E316" s="92" t="s">
        <v>1909</v>
      </c>
      <c r="F316" s="92" t="s">
        <v>1909</v>
      </c>
      <c r="G316" s="92" t="s">
        <v>1713</v>
      </c>
      <c r="H316" s="1" t="s">
        <v>1684</v>
      </c>
      <c r="I316" s="1" t="s">
        <v>1689</v>
      </c>
      <c r="J316" s="1" t="s">
        <v>1690</v>
      </c>
      <c r="K316" s="1" t="s">
        <v>1691</v>
      </c>
      <c r="L316" s="1" t="s">
        <v>1692</v>
      </c>
    </row>
    <row r="317" spans="1:12">
      <c r="A317" s="1" t="s">
        <v>1556</v>
      </c>
      <c r="B317" s="1" t="s">
        <v>1552</v>
      </c>
      <c r="C317" s="1" t="s">
        <v>1686</v>
      </c>
      <c r="D317" s="1" t="s">
        <v>1693</v>
      </c>
      <c r="E317" s="1" t="s">
        <v>1694</v>
      </c>
      <c r="F317" s="1" t="s">
        <v>1694</v>
      </c>
      <c r="H317" s="1" t="s">
        <v>1684</v>
      </c>
      <c r="I317" s="1" t="s">
        <v>1689</v>
      </c>
      <c r="J317" s="1" t="s">
        <v>1690</v>
      </c>
      <c r="K317" s="1" t="s">
        <v>1691</v>
      </c>
      <c r="L317" s="1" t="s">
        <v>1692</v>
      </c>
    </row>
    <row r="318" spans="1:12">
      <c r="A318" s="1" t="s">
        <v>1556</v>
      </c>
      <c r="B318" s="1" t="s">
        <v>1552</v>
      </c>
      <c r="C318" s="1" t="s">
        <v>1686</v>
      </c>
      <c r="D318" s="1" t="s">
        <v>1695</v>
      </c>
      <c r="E318" s="1" t="s">
        <v>1849</v>
      </c>
      <c r="F318" s="1" t="s">
        <v>1849</v>
      </c>
      <c r="H318" s="1" t="s">
        <v>1684</v>
      </c>
      <c r="I318" s="1" t="s">
        <v>1689</v>
      </c>
      <c r="J318" s="1" t="s">
        <v>1690</v>
      </c>
      <c r="K318" s="1" t="s">
        <v>1691</v>
      </c>
      <c r="L318" s="1" t="s">
        <v>1692</v>
      </c>
    </row>
    <row r="319" spans="1:12">
      <c r="A319" s="1" t="s">
        <v>1556</v>
      </c>
      <c r="B319" s="1" t="s">
        <v>1552</v>
      </c>
      <c r="C319" s="1" t="s">
        <v>1686</v>
      </c>
      <c r="D319" s="1" t="s">
        <v>1697</v>
      </c>
      <c r="E319" s="1" t="s">
        <v>1698</v>
      </c>
      <c r="F319" s="1" t="s">
        <v>1698</v>
      </c>
      <c r="H319" s="1" t="s">
        <v>1684</v>
      </c>
      <c r="I319" s="1" t="s">
        <v>1689</v>
      </c>
      <c r="J319" s="1" t="s">
        <v>1690</v>
      </c>
      <c r="K319" s="1" t="s">
        <v>1691</v>
      </c>
      <c r="L319" s="1" t="s">
        <v>1692</v>
      </c>
    </row>
    <row r="320" spans="1:12">
      <c r="A320" s="1" t="s">
        <v>1556</v>
      </c>
      <c r="B320" s="1" t="s">
        <v>1552</v>
      </c>
      <c r="C320" s="1" t="s">
        <v>1686</v>
      </c>
      <c r="D320" s="1" t="s">
        <v>1699</v>
      </c>
      <c r="E320" s="92" t="s">
        <v>1739</v>
      </c>
      <c r="F320" s="92" t="s">
        <v>1740</v>
      </c>
      <c r="H320" s="1" t="s">
        <v>1684</v>
      </c>
      <c r="I320" s="1" t="s">
        <v>1689</v>
      </c>
      <c r="J320" s="1" t="s">
        <v>1690</v>
      </c>
      <c r="K320" s="1" t="s">
        <v>1691</v>
      </c>
      <c r="L320" s="1" t="s">
        <v>1692</v>
      </c>
    </row>
    <row r="321" spans="1:12">
      <c r="A321" s="1" t="s">
        <v>1556</v>
      </c>
      <c r="B321" s="1" t="s">
        <v>1552</v>
      </c>
      <c r="C321" s="1" t="s">
        <v>1686</v>
      </c>
      <c r="D321" s="1" t="s">
        <v>1702</v>
      </c>
      <c r="E321" s="92" t="s">
        <v>1741</v>
      </c>
      <c r="F321" s="92" t="s">
        <v>1741</v>
      </c>
      <c r="H321" s="1" t="s">
        <v>1684</v>
      </c>
      <c r="I321" s="1" t="s">
        <v>1689</v>
      </c>
      <c r="J321" s="1" t="s">
        <v>1690</v>
      </c>
      <c r="K321" s="1" t="s">
        <v>1691</v>
      </c>
      <c r="L321" s="1" t="s">
        <v>1692</v>
      </c>
    </row>
    <row r="322" spans="1:12">
      <c r="A322" s="1" t="s">
        <v>1556</v>
      </c>
      <c r="B322" s="1" t="s">
        <v>1552</v>
      </c>
      <c r="C322" s="1" t="s">
        <v>1686</v>
      </c>
      <c r="D322" s="1" t="s">
        <v>1705</v>
      </c>
      <c r="E322" s="92" t="s">
        <v>1742</v>
      </c>
      <c r="F322" s="92" t="s">
        <v>1743</v>
      </c>
      <c r="H322" s="1" t="s">
        <v>1684</v>
      </c>
      <c r="I322" s="1" t="s">
        <v>1689</v>
      </c>
      <c r="J322" s="1" t="s">
        <v>1690</v>
      </c>
      <c r="K322" s="1" t="s">
        <v>1691</v>
      </c>
      <c r="L322" s="1" t="s">
        <v>1692</v>
      </c>
    </row>
    <row r="323" spans="1:12">
      <c r="A323" s="1" t="s">
        <v>1556</v>
      </c>
      <c r="B323" s="1" t="s">
        <v>1552</v>
      </c>
      <c r="C323" s="1" t="s">
        <v>1394</v>
      </c>
      <c r="D323" s="1" t="s">
        <v>1708</v>
      </c>
      <c r="E323" s="1" t="s">
        <v>1709</v>
      </c>
      <c r="F323" s="1" t="s">
        <v>1709</v>
      </c>
      <c r="H323" s="1" t="s">
        <v>1684</v>
      </c>
      <c r="I323" s="1" t="s">
        <v>973</v>
      </c>
      <c r="J323" s="1" t="s">
        <v>1710</v>
      </c>
      <c r="K323" s="1" t="s">
        <v>1691</v>
      </c>
      <c r="L323" s="1" t="s">
        <v>1692</v>
      </c>
    </row>
    <row r="324" spans="1:12">
      <c r="A324" s="1" t="s">
        <v>1556</v>
      </c>
      <c r="B324" s="1" t="s">
        <v>1552</v>
      </c>
      <c r="C324" s="1" t="s">
        <v>1711</v>
      </c>
      <c r="D324" s="1" t="s">
        <v>218</v>
      </c>
      <c r="E324" s="92" t="s">
        <v>1910</v>
      </c>
      <c r="F324" s="92" t="s">
        <v>1910</v>
      </c>
      <c r="G324" s="92" t="s">
        <v>1755</v>
      </c>
      <c r="H324" s="1" t="s">
        <v>1684</v>
      </c>
      <c r="I324" s="1" t="s">
        <v>1689</v>
      </c>
      <c r="J324" s="1" t="s">
        <v>1714</v>
      </c>
      <c r="K324" s="1" t="s">
        <v>1715</v>
      </c>
      <c r="L324" s="1" t="s">
        <v>1716</v>
      </c>
    </row>
    <row r="325" spans="1:12">
      <c r="A325" s="1" t="s">
        <v>1556</v>
      </c>
      <c r="B325" s="1" t="s">
        <v>1552</v>
      </c>
      <c r="C325" s="1" t="s">
        <v>1711</v>
      </c>
      <c r="D325" s="1" t="s">
        <v>1693</v>
      </c>
      <c r="E325" s="1" t="s">
        <v>1766</v>
      </c>
      <c r="F325" s="1" t="s">
        <v>1766</v>
      </c>
      <c r="H325" s="1" t="s">
        <v>1684</v>
      </c>
      <c r="I325" s="1" t="s">
        <v>1689</v>
      </c>
      <c r="J325" s="1" t="s">
        <v>1714</v>
      </c>
      <c r="K325" s="1" t="s">
        <v>1715</v>
      </c>
      <c r="L325" s="1" t="s">
        <v>1716</v>
      </c>
    </row>
    <row r="326" spans="1:12">
      <c r="A326" s="1" t="s">
        <v>1556</v>
      </c>
      <c r="B326" s="1" t="s">
        <v>1552</v>
      </c>
      <c r="C326" s="1" t="s">
        <v>1711</v>
      </c>
      <c r="D326" s="1" t="s">
        <v>1695</v>
      </c>
      <c r="E326" s="1" t="s">
        <v>1757</v>
      </c>
      <c r="F326" s="1" t="s">
        <v>1757</v>
      </c>
      <c r="H326" s="1" t="s">
        <v>1684</v>
      </c>
      <c r="I326" s="1" t="s">
        <v>1689</v>
      </c>
      <c r="J326" s="1" t="s">
        <v>1714</v>
      </c>
      <c r="K326" s="1" t="s">
        <v>1715</v>
      </c>
      <c r="L326" s="1" t="s">
        <v>1716</v>
      </c>
    </row>
    <row r="327" spans="1:12">
      <c r="A327" s="1" t="s">
        <v>1556</v>
      </c>
      <c r="B327" s="1" t="s">
        <v>1552</v>
      </c>
      <c r="C327" s="1" t="s">
        <v>1711</v>
      </c>
      <c r="D327" s="1" t="s">
        <v>1697</v>
      </c>
      <c r="E327" s="1" t="s">
        <v>1698</v>
      </c>
      <c r="F327" s="1" t="s">
        <v>1698</v>
      </c>
      <c r="H327" s="1" t="s">
        <v>1684</v>
      </c>
      <c r="I327" s="1" t="s">
        <v>1689</v>
      </c>
      <c r="J327" s="1" t="s">
        <v>1714</v>
      </c>
      <c r="K327" s="1" t="s">
        <v>1715</v>
      </c>
      <c r="L327" s="1" t="s">
        <v>1716</v>
      </c>
    </row>
    <row r="328" spans="1:12">
      <c r="A328" s="1" t="s">
        <v>1556</v>
      </c>
      <c r="B328" s="1" t="s">
        <v>1552</v>
      </c>
      <c r="C328" s="1" t="s">
        <v>1711</v>
      </c>
      <c r="D328" s="1" t="s">
        <v>1699</v>
      </c>
      <c r="E328" s="92" t="s">
        <v>1717</v>
      </c>
      <c r="F328" s="92" t="s">
        <v>1718</v>
      </c>
      <c r="H328" s="1" t="s">
        <v>1684</v>
      </c>
      <c r="I328" s="1" t="s">
        <v>1689</v>
      </c>
      <c r="J328" s="1" t="s">
        <v>1714</v>
      </c>
      <c r="K328" s="1" t="s">
        <v>1715</v>
      </c>
      <c r="L328" s="1" t="s">
        <v>1716</v>
      </c>
    </row>
    <row r="329" spans="1:12">
      <c r="A329" s="1" t="s">
        <v>1556</v>
      </c>
      <c r="B329" s="1" t="s">
        <v>1552</v>
      </c>
      <c r="C329" s="1" t="s">
        <v>1711</v>
      </c>
      <c r="D329" s="1" t="s">
        <v>1702</v>
      </c>
      <c r="E329" s="92" t="s">
        <v>1904</v>
      </c>
      <c r="F329" s="92" t="s">
        <v>1904</v>
      </c>
      <c r="H329" s="1" t="s">
        <v>1684</v>
      </c>
      <c r="I329" s="1" t="s">
        <v>1689</v>
      </c>
      <c r="J329" s="1" t="s">
        <v>1714</v>
      </c>
      <c r="K329" s="1" t="s">
        <v>1715</v>
      </c>
      <c r="L329" s="1" t="s">
        <v>1716</v>
      </c>
    </row>
    <row r="330" spans="1:12">
      <c r="A330" s="1" t="s">
        <v>1556</v>
      </c>
      <c r="B330" s="1" t="s">
        <v>1552</v>
      </c>
      <c r="C330" s="1" t="s">
        <v>1711</v>
      </c>
      <c r="D330" s="1" t="s">
        <v>1705</v>
      </c>
      <c r="E330" s="92" t="s">
        <v>1749</v>
      </c>
      <c r="F330" s="92" t="s">
        <v>1750</v>
      </c>
      <c r="H330" s="1" t="s">
        <v>1684</v>
      </c>
      <c r="I330" s="1" t="s">
        <v>1689</v>
      </c>
      <c r="J330" s="1" t="s">
        <v>1714</v>
      </c>
      <c r="K330" s="1" t="s">
        <v>1715</v>
      </c>
      <c r="L330" s="1" t="s">
        <v>1716</v>
      </c>
    </row>
    <row r="331" spans="1:12">
      <c r="A331" s="1" t="s">
        <v>1556</v>
      </c>
      <c r="B331" s="1" t="s">
        <v>1552</v>
      </c>
      <c r="C331" s="1" t="s">
        <v>1723</v>
      </c>
      <c r="D331" s="1" t="s">
        <v>218</v>
      </c>
      <c r="E331" s="92" t="s">
        <v>1905</v>
      </c>
      <c r="F331" s="92" t="s">
        <v>1905</v>
      </c>
      <c r="G331" s="92" t="s">
        <v>1713</v>
      </c>
      <c r="H331" s="1" t="s">
        <v>1684</v>
      </c>
      <c r="I331" s="1" t="s">
        <v>973</v>
      </c>
      <c r="J331" s="1" t="s">
        <v>1726</v>
      </c>
      <c r="K331" s="1" t="s">
        <v>1727</v>
      </c>
      <c r="L331" s="1" t="s">
        <v>1728</v>
      </c>
    </row>
    <row r="332" spans="1:12">
      <c r="A332" s="1" t="s">
        <v>1556</v>
      </c>
      <c r="B332" s="1" t="s">
        <v>1552</v>
      </c>
      <c r="C332" s="1" t="s">
        <v>1723</v>
      </c>
      <c r="D332" s="1" t="s">
        <v>1693</v>
      </c>
      <c r="E332" s="1" t="s">
        <v>1694</v>
      </c>
      <c r="F332" s="1" t="s">
        <v>1694</v>
      </c>
      <c r="H332" s="1" t="s">
        <v>1684</v>
      </c>
      <c r="I332" s="1" t="s">
        <v>973</v>
      </c>
      <c r="J332" s="1" t="s">
        <v>1726</v>
      </c>
      <c r="K332" s="1" t="s">
        <v>1727</v>
      </c>
      <c r="L332" s="1" t="s">
        <v>1728</v>
      </c>
    </row>
    <row r="333" spans="1:12">
      <c r="A333" s="1" t="s">
        <v>1556</v>
      </c>
      <c r="B333" s="1" t="s">
        <v>1552</v>
      </c>
      <c r="C333" s="1" t="s">
        <v>1723</v>
      </c>
      <c r="D333" s="1" t="s">
        <v>1695</v>
      </c>
      <c r="E333" s="1" t="s">
        <v>1694</v>
      </c>
      <c r="F333" s="1" t="s">
        <v>1694</v>
      </c>
      <c r="H333" s="1" t="s">
        <v>1684</v>
      </c>
      <c r="I333" s="1" t="s">
        <v>973</v>
      </c>
      <c r="J333" s="1" t="s">
        <v>1726</v>
      </c>
      <c r="K333" s="1" t="s">
        <v>1727</v>
      </c>
      <c r="L333" s="1" t="s">
        <v>1728</v>
      </c>
    </row>
    <row r="334" spans="1:12">
      <c r="A334" s="1" t="s">
        <v>1556</v>
      </c>
      <c r="B334" s="1" t="s">
        <v>1552</v>
      </c>
      <c r="C334" s="1" t="s">
        <v>1723</v>
      </c>
      <c r="D334" s="1" t="s">
        <v>1697</v>
      </c>
      <c r="E334" s="1" t="s">
        <v>1698</v>
      </c>
      <c r="F334" s="1" t="s">
        <v>1698</v>
      </c>
      <c r="H334" s="1" t="s">
        <v>1684</v>
      </c>
      <c r="I334" s="1" t="s">
        <v>973</v>
      </c>
      <c r="J334" s="1" t="s">
        <v>1726</v>
      </c>
      <c r="K334" s="1" t="s">
        <v>1727</v>
      </c>
      <c r="L334" s="1" t="s">
        <v>1728</v>
      </c>
    </row>
    <row r="335" spans="1:12">
      <c r="A335" s="1" t="s">
        <v>1556</v>
      </c>
      <c r="B335" s="1" t="s">
        <v>1552</v>
      </c>
      <c r="C335" s="1" t="s">
        <v>1729</v>
      </c>
      <c r="D335" s="1" t="s">
        <v>1708</v>
      </c>
      <c r="E335" s="1" t="s">
        <v>1730</v>
      </c>
      <c r="F335" s="1" t="s">
        <v>1730</v>
      </c>
      <c r="H335" s="1" t="s">
        <v>1684</v>
      </c>
      <c r="I335" s="1" t="s">
        <v>1731</v>
      </c>
      <c r="J335" s="1" t="s">
        <v>1732</v>
      </c>
      <c r="K335" s="1" t="s">
        <v>1733</v>
      </c>
      <c r="L335" s="1" t="s">
        <v>1734</v>
      </c>
    </row>
    <row r="336" spans="1:12">
      <c r="A336" s="1" t="s">
        <v>1558</v>
      </c>
      <c r="B336" s="1" t="s">
        <v>1552</v>
      </c>
      <c r="C336" s="1" t="s">
        <v>1680</v>
      </c>
      <c r="D336" s="1" t="s">
        <v>1681</v>
      </c>
      <c r="E336" s="92" t="s">
        <v>1911</v>
      </c>
      <c r="F336" s="92" t="s">
        <v>1912</v>
      </c>
      <c r="H336" s="1" t="s">
        <v>1684</v>
      </c>
    </row>
    <row r="337" spans="1:12">
      <c r="A337" s="1" t="s">
        <v>1558</v>
      </c>
      <c r="B337" s="1" t="s">
        <v>1552</v>
      </c>
      <c r="C337" s="1" t="s">
        <v>1680</v>
      </c>
      <c r="D337" s="1" t="s">
        <v>1685</v>
      </c>
      <c r="E337" s="1" t="s">
        <v>1526</v>
      </c>
      <c r="F337" s="1" t="s">
        <v>1526</v>
      </c>
      <c r="H337" s="1" t="s">
        <v>1684</v>
      </c>
    </row>
    <row r="338" spans="1:12">
      <c r="A338" s="1" t="s">
        <v>1558</v>
      </c>
      <c r="B338" s="1" t="s">
        <v>1552</v>
      </c>
      <c r="C338" s="1" t="s">
        <v>1686</v>
      </c>
      <c r="D338" s="1" t="s">
        <v>218</v>
      </c>
      <c r="E338" s="92" t="s">
        <v>1913</v>
      </c>
      <c r="F338" s="92" t="s">
        <v>1913</v>
      </c>
      <c r="G338" s="92" t="s">
        <v>1875</v>
      </c>
      <c r="H338" s="1" t="s">
        <v>1684</v>
      </c>
      <c r="I338" s="1" t="s">
        <v>1689</v>
      </c>
      <c r="J338" s="1" t="s">
        <v>1690</v>
      </c>
      <c r="K338" s="1" t="s">
        <v>1691</v>
      </c>
      <c r="L338" s="1" t="s">
        <v>1692</v>
      </c>
    </row>
    <row r="339" spans="1:12">
      <c r="A339" s="1" t="s">
        <v>1558</v>
      </c>
      <c r="B339" s="1" t="s">
        <v>1552</v>
      </c>
      <c r="C339" s="1" t="s">
        <v>1686</v>
      </c>
      <c r="D339" s="1" t="s">
        <v>1693</v>
      </c>
      <c r="E339" s="1" t="s">
        <v>1694</v>
      </c>
      <c r="F339" s="1" t="s">
        <v>1694</v>
      </c>
      <c r="H339" s="1" t="s">
        <v>1684</v>
      </c>
      <c r="I339" s="1" t="s">
        <v>1689</v>
      </c>
      <c r="J339" s="1" t="s">
        <v>1690</v>
      </c>
      <c r="K339" s="1" t="s">
        <v>1691</v>
      </c>
      <c r="L339" s="1" t="s">
        <v>1692</v>
      </c>
    </row>
    <row r="340" spans="1:12">
      <c r="A340" s="1" t="s">
        <v>1558</v>
      </c>
      <c r="B340" s="1" t="s">
        <v>1552</v>
      </c>
      <c r="C340" s="1" t="s">
        <v>1686</v>
      </c>
      <c r="D340" s="1" t="s">
        <v>1695</v>
      </c>
      <c r="E340" s="1" t="s">
        <v>1696</v>
      </c>
      <c r="F340" s="1" t="s">
        <v>1696</v>
      </c>
      <c r="H340" s="1" t="s">
        <v>1684</v>
      </c>
      <c r="I340" s="1" t="s">
        <v>1689</v>
      </c>
      <c r="J340" s="1" t="s">
        <v>1690</v>
      </c>
      <c r="K340" s="1" t="s">
        <v>1691</v>
      </c>
      <c r="L340" s="1" t="s">
        <v>1692</v>
      </c>
    </row>
    <row r="341" spans="1:12">
      <c r="A341" s="1" t="s">
        <v>1558</v>
      </c>
      <c r="B341" s="1" t="s">
        <v>1552</v>
      </c>
      <c r="C341" s="1" t="s">
        <v>1686</v>
      </c>
      <c r="D341" s="1" t="s">
        <v>1697</v>
      </c>
      <c r="E341" s="1" t="s">
        <v>1698</v>
      </c>
      <c r="F341" s="1" t="s">
        <v>1698</v>
      </c>
      <c r="H341" s="1" t="s">
        <v>1684</v>
      </c>
      <c r="I341" s="1" t="s">
        <v>1689</v>
      </c>
      <c r="J341" s="1" t="s">
        <v>1690</v>
      </c>
      <c r="K341" s="1" t="s">
        <v>1691</v>
      </c>
      <c r="L341" s="1" t="s">
        <v>1692</v>
      </c>
    </row>
    <row r="342" spans="1:12">
      <c r="A342" s="1" t="s">
        <v>1558</v>
      </c>
      <c r="B342" s="1" t="s">
        <v>1552</v>
      </c>
      <c r="C342" s="1" t="s">
        <v>1686</v>
      </c>
      <c r="D342" s="1" t="s">
        <v>1699</v>
      </c>
      <c r="E342" s="92" t="s">
        <v>1914</v>
      </c>
      <c r="F342" s="92" t="s">
        <v>1915</v>
      </c>
      <c r="H342" s="1" t="s">
        <v>1684</v>
      </c>
      <c r="I342" s="1" t="s">
        <v>1689</v>
      </c>
      <c r="J342" s="1" t="s">
        <v>1690</v>
      </c>
      <c r="K342" s="1" t="s">
        <v>1691</v>
      </c>
      <c r="L342" s="1" t="s">
        <v>1692</v>
      </c>
    </row>
    <row r="343" spans="1:12">
      <c r="A343" s="1" t="s">
        <v>1558</v>
      </c>
      <c r="B343" s="1" t="s">
        <v>1552</v>
      </c>
      <c r="C343" s="1" t="s">
        <v>1686</v>
      </c>
      <c r="D343" s="1" t="s">
        <v>1702</v>
      </c>
      <c r="E343" s="92" t="s">
        <v>1916</v>
      </c>
      <c r="F343" s="92" t="s">
        <v>1917</v>
      </c>
      <c r="H343" s="1" t="s">
        <v>1684</v>
      </c>
      <c r="I343" s="1" t="s">
        <v>1689</v>
      </c>
      <c r="J343" s="1" t="s">
        <v>1690</v>
      </c>
      <c r="K343" s="1" t="s">
        <v>1691</v>
      </c>
      <c r="L343" s="1" t="s">
        <v>1692</v>
      </c>
    </row>
    <row r="344" spans="1:12">
      <c r="A344" s="1" t="s">
        <v>1558</v>
      </c>
      <c r="B344" s="1" t="s">
        <v>1552</v>
      </c>
      <c r="C344" s="1" t="s">
        <v>1686</v>
      </c>
      <c r="D344" s="1" t="s">
        <v>1705</v>
      </c>
      <c r="E344" s="92" t="s">
        <v>1918</v>
      </c>
      <c r="F344" s="92" t="s">
        <v>1919</v>
      </c>
      <c r="H344" s="1" t="s">
        <v>1684</v>
      </c>
      <c r="I344" s="1" t="s">
        <v>1689</v>
      </c>
      <c r="J344" s="1" t="s">
        <v>1690</v>
      </c>
      <c r="K344" s="1" t="s">
        <v>1691</v>
      </c>
      <c r="L344" s="1" t="s">
        <v>1692</v>
      </c>
    </row>
    <row r="345" spans="1:12">
      <c r="A345" s="1" t="s">
        <v>1558</v>
      </c>
      <c r="B345" s="1" t="s">
        <v>1552</v>
      </c>
      <c r="C345" s="1" t="s">
        <v>1394</v>
      </c>
      <c r="D345" s="1" t="s">
        <v>1708</v>
      </c>
      <c r="E345" s="1" t="s">
        <v>1709</v>
      </c>
      <c r="F345" s="1" t="s">
        <v>1709</v>
      </c>
      <c r="H345" s="1" t="s">
        <v>1684</v>
      </c>
      <c r="I345" s="1" t="s">
        <v>973</v>
      </c>
      <c r="J345" s="1" t="s">
        <v>1710</v>
      </c>
      <c r="K345" s="1" t="s">
        <v>1691</v>
      </c>
      <c r="L345" s="1" t="s">
        <v>1692</v>
      </c>
    </row>
    <row r="346" spans="1:12">
      <c r="A346" s="1" t="s">
        <v>1558</v>
      </c>
      <c r="B346" s="1" t="s">
        <v>1552</v>
      </c>
      <c r="C346" s="1" t="s">
        <v>1711</v>
      </c>
      <c r="D346" s="1" t="s">
        <v>218</v>
      </c>
      <c r="E346" s="92" t="s">
        <v>1823</v>
      </c>
      <c r="F346" s="92" t="s">
        <v>1823</v>
      </c>
      <c r="G346" s="92" t="s">
        <v>1765</v>
      </c>
      <c r="H346" s="1" t="s">
        <v>1684</v>
      </c>
      <c r="I346" s="1" t="s">
        <v>1689</v>
      </c>
      <c r="J346" s="1" t="s">
        <v>1714</v>
      </c>
      <c r="K346" s="1" t="s">
        <v>1715</v>
      </c>
      <c r="L346" s="1" t="s">
        <v>1716</v>
      </c>
    </row>
    <row r="347" spans="1:12">
      <c r="A347" s="1" t="s">
        <v>1558</v>
      </c>
      <c r="B347" s="1" t="s">
        <v>1552</v>
      </c>
      <c r="C347" s="1" t="s">
        <v>1711</v>
      </c>
      <c r="D347" s="1" t="s">
        <v>1693</v>
      </c>
      <c r="E347" s="1" t="s">
        <v>1694</v>
      </c>
      <c r="F347" s="1" t="s">
        <v>1694</v>
      </c>
      <c r="H347" s="1" t="s">
        <v>1684</v>
      </c>
      <c r="I347" s="1" t="s">
        <v>1689</v>
      </c>
      <c r="J347" s="1" t="s">
        <v>1714</v>
      </c>
      <c r="K347" s="1" t="s">
        <v>1715</v>
      </c>
      <c r="L347" s="1" t="s">
        <v>1716</v>
      </c>
    </row>
    <row r="348" spans="1:12">
      <c r="A348" s="1" t="s">
        <v>1558</v>
      </c>
      <c r="B348" s="1" t="s">
        <v>1552</v>
      </c>
      <c r="C348" s="1" t="s">
        <v>1711</v>
      </c>
      <c r="D348" s="1" t="s">
        <v>1695</v>
      </c>
      <c r="E348" s="1" t="s">
        <v>1694</v>
      </c>
      <c r="F348" s="1" t="s">
        <v>1694</v>
      </c>
      <c r="H348" s="1" t="s">
        <v>1684</v>
      </c>
      <c r="I348" s="1" t="s">
        <v>1689</v>
      </c>
      <c r="J348" s="1" t="s">
        <v>1714</v>
      </c>
      <c r="K348" s="1" t="s">
        <v>1715</v>
      </c>
      <c r="L348" s="1" t="s">
        <v>1716</v>
      </c>
    </row>
    <row r="349" spans="1:12">
      <c r="A349" s="1" t="s">
        <v>1558</v>
      </c>
      <c r="B349" s="1" t="s">
        <v>1552</v>
      </c>
      <c r="C349" s="1" t="s">
        <v>1711</v>
      </c>
      <c r="D349" s="1" t="s">
        <v>1697</v>
      </c>
      <c r="E349" s="1" t="s">
        <v>1698</v>
      </c>
      <c r="F349" s="1" t="s">
        <v>1698</v>
      </c>
      <c r="H349" s="1" t="s">
        <v>1684</v>
      </c>
      <c r="I349" s="1" t="s">
        <v>1689</v>
      </c>
      <c r="J349" s="1" t="s">
        <v>1714</v>
      </c>
      <c r="K349" s="1" t="s">
        <v>1715</v>
      </c>
      <c r="L349" s="1" t="s">
        <v>1716</v>
      </c>
    </row>
    <row r="350" spans="1:12">
      <c r="A350" s="1" t="s">
        <v>1558</v>
      </c>
      <c r="B350" s="1" t="s">
        <v>1552</v>
      </c>
      <c r="C350" s="1" t="s">
        <v>1711</v>
      </c>
      <c r="D350" s="1" t="s">
        <v>1699</v>
      </c>
      <c r="E350" s="92" t="s">
        <v>1717</v>
      </c>
      <c r="F350" s="92" t="s">
        <v>1718</v>
      </c>
      <c r="H350" s="1" t="s">
        <v>1684</v>
      </c>
      <c r="I350" s="1" t="s">
        <v>1689</v>
      </c>
      <c r="J350" s="1" t="s">
        <v>1714</v>
      </c>
      <c r="K350" s="1" t="s">
        <v>1715</v>
      </c>
      <c r="L350" s="1" t="s">
        <v>1716</v>
      </c>
    </row>
    <row r="351" spans="1:12">
      <c r="A351" s="1" t="s">
        <v>1558</v>
      </c>
      <c r="B351" s="1" t="s">
        <v>1552</v>
      </c>
      <c r="C351" s="1" t="s">
        <v>1711</v>
      </c>
      <c r="D351" s="1" t="s">
        <v>1702</v>
      </c>
      <c r="E351" s="92" t="s">
        <v>1920</v>
      </c>
      <c r="F351" s="92" t="s">
        <v>1921</v>
      </c>
      <c r="H351" s="1" t="s">
        <v>1684</v>
      </c>
      <c r="I351" s="1" t="s">
        <v>1689</v>
      </c>
      <c r="J351" s="1" t="s">
        <v>1714</v>
      </c>
      <c r="K351" s="1" t="s">
        <v>1715</v>
      </c>
      <c r="L351" s="1" t="s">
        <v>1716</v>
      </c>
    </row>
    <row r="352" spans="1:12">
      <c r="A352" s="1" t="s">
        <v>1558</v>
      </c>
      <c r="B352" s="1" t="s">
        <v>1552</v>
      </c>
      <c r="C352" s="1" t="s">
        <v>1711</v>
      </c>
      <c r="D352" s="1" t="s">
        <v>1705</v>
      </c>
      <c r="E352" s="92" t="s">
        <v>1922</v>
      </c>
      <c r="F352" s="92" t="s">
        <v>1923</v>
      </c>
      <c r="H352" s="1" t="s">
        <v>1684</v>
      </c>
      <c r="I352" s="1" t="s">
        <v>1689</v>
      </c>
      <c r="J352" s="1" t="s">
        <v>1714</v>
      </c>
      <c r="K352" s="1" t="s">
        <v>1715</v>
      </c>
      <c r="L352" s="1" t="s">
        <v>1716</v>
      </c>
    </row>
    <row r="353" spans="1:12">
      <c r="A353" s="1" t="s">
        <v>1558</v>
      </c>
      <c r="B353" s="1" t="s">
        <v>1552</v>
      </c>
      <c r="C353" s="1" t="s">
        <v>1723</v>
      </c>
      <c r="D353" s="1" t="s">
        <v>218</v>
      </c>
      <c r="E353" s="92" t="s">
        <v>1924</v>
      </c>
      <c r="F353" s="92" t="s">
        <v>1924</v>
      </c>
      <c r="G353" s="92" t="s">
        <v>1688</v>
      </c>
      <c r="H353" s="1" t="s">
        <v>1684</v>
      </c>
      <c r="I353" s="1" t="s">
        <v>973</v>
      </c>
      <c r="J353" s="1" t="s">
        <v>1726</v>
      </c>
      <c r="K353" s="1" t="s">
        <v>1727</v>
      </c>
      <c r="L353" s="1" t="s">
        <v>1728</v>
      </c>
    </row>
    <row r="354" spans="1:12">
      <c r="A354" s="1" t="s">
        <v>1558</v>
      </c>
      <c r="B354" s="1" t="s">
        <v>1552</v>
      </c>
      <c r="C354" s="1" t="s">
        <v>1723</v>
      </c>
      <c r="D354" s="1" t="s">
        <v>1693</v>
      </c>
      <c r="E354" s="1" t="s">
        <v>1694</v>
      </c>
      <c r="F354" s="1" t="s">
        <v>1694</v>
      </c>
      <c r="H354" s="1" t="s">
        <v>1684</v>
      </c>
      <c r="I354" s="1" t="s">
        <v>973</v>
      </c>
      <c r="J354" s="1" t="s">
        <v>1726</v>
      </c>
      <c r="K354" s="1" t="s">
        <v>1727</v>
      </c>
      <c r="L354" s="1" t="s">
        <v>1728</v>
      </c>
    </row>
    <row r="355" spans="1:12">
      <c r="A355" s="1" t="s">
        <v>1558</v>
      </c>
      <c r="B355" s="1" t="s">
        <v>1552</v>
      </c>
      <c r="C355" s="1" t="s">
        <v>1723</v>
      </c>
      <c r="D355" s="1" t="s">
        <v>1695</v>
      </c>
      <c r="E355" s="1" t="s">
        <v>1694</v>
      </c>
      <c r="F355" s="1" t="s">
        <v>1694</v>
      </c>
      <c r="H355" s="1" t="s">
        <v>1684</v>
      </c>
      <c r="I355" s="1" t="s">
        <v>973</v>
      </c>
      <c r="J355" s="1" t="s">
        <v>1726</v>
      </c>
      <c r="K355" s="1" t="s">
        <v>1727</v>
      </c>
      <c r="L355" s="1" t="s">
        <v>1728</v>
      </c>
    </row>
    <row r="356" spans="1:12">
      <c r="A356" s="1" t="s">
        <v>1558</v>
      </c>
      <c r="B356" s="1" t="s">
        <v>1552</v>
      </c>
      <c r="C356" s="1" t="s">
        <v>1723</v>
      </c>
      <c r="D356" s="1" t="s">
        <v>1697</v>
      </c>
      <c r="E356" s="1" t="s">
        <v>1698</v>
      </c>
      <c r="F356" s="1" t="s">
        <v>1698</v>
      </c>
      <c r="H356" s="1" t="s">
        <v>1684</v>
      </c>
      <c r="I356" s="1" t="s">
        <v>973</v>
      </c>
      <c r="J356" s="1" t="s">
        <v>1726</v>
      </c>
      <c r="K356" s="1" t="s">
        <v>1727</v>
      </c>
      <c r="L356" s="1" t="s">
        <v>1728</v>
      </c>
    </row>
    <row r="357" spans="1:12">
      <c r="A357" s="1" t="s">
        <v>1558</v>
      </c>
      <c r="B357" s="1" t="s">
        <v>1552</v>
      </c>
      <c r="C357" s="1" t="s">
        <v>1729</v>
      </c>
      <c r="D357" s="1" t="s">
        <v>1708</v>
      </c>
      <c r="E357" s="1" t="s">
        <v>1730</v>
      </c>
      <c r="F357" s="1" t="s">
        <v>1730</v>
      </c>
      <c r="H357" s="1" t="s">
        <v>1684</v>
      </c>
      <c r="I357" s="1" t="s">
        <v>1731</v>
      </c>
      <c r="J357" s="1" t="s">
        <v>1732</v>
      </c>
      <c r="K357" s="1" t="s">
        <v>1733</v>
      </c>
      <c r="L357" s="1" t="s">
        <v>1734</v>
      </c>
    </row>
    <row r="358" spans="1:12">
      <c r="A358" s="1" t="s">
        <v>1559</v>
      </c>
      <c r="B358" s="1" t="s">
        <v>1552</v>
      </c>
      <c r="C358" s="1" t="s">
        <v>1680</v>
      </c>
      <c r="D358" s="1" t="s">
        <v>1681</v>
      </c>
      <c r="E358" s="92" t="s">
        <v>1911</v>
      </c>
      <c r="F358" s="92" t="s">
        <v>1912</v>
      </c>
      <c r="H358" s="1" t="s">
        <v>1684</v>
      </c>
    </row>
    <row r="359" spans="1:12">
      <c r="A359" s="1" t="s">
        <v>1559</v>
      </c>
      <c r="B359" s="1" t="s">
        <v>1552</v>
      </c>
      <c r="C359" s="1" t="s">
        <v>1680</v>
      </c>
      <c r="D359" s="1" t="s">
        <v>1685</v>
      </c>
      <c r="E359" s="1" t="s">
        <v>1526</v>
      </c>
      <c r="F359" s="1" t="s">
        <v>1526</v>
      </c>
      <c r="H359" s="1" t="s">
        <v>1684</v>
      </c>
    </row>
    <row r="360" spans="1:12">
      <c r="A360" s="1" t="s">
        <v>1559</v>
      </c>
      <c r="B360" s="1" t="s">
        <v>1552</v>
      </c>
      <c r="C360" s="1" t="s">
        <v>1686</v>
      </c>
      <c r="D360" s="1" t="s">
        <v>218</v>
      </c>
      <c r="E360" s="92" t="s">
        <v>1925</v>
      </c>
      <c r="F360" s="92" t="s">
        <v>1925</v>
      </c>
      <c r="G360" s="92" t="s">
        <v>1822</v>
      </c>
      <c r="H360" s="1" t="s">
        <v>1684</v>
      </c>
      <c r="I360" s="1" t="s">
        <v>1689</v>
      </c>
      <c r="J360" s="1" t="s">
        <v>1690</v>
      </c>
      <c r="K360" s="1" t="s">
        <v>1691</v>
      </c>
      <c r="L360" s="1" t="s">
        <v>1692</v>
      </c>
    </row>
    <row r="361" spans="1:12">
      <c r="A361" s="1" t="s">
        <v>1559</v>
      </c>
      <c r="B361" s="1" t="s">
        <v>1552</v>
      </c>
      <c r="C361" s="1" t="s">
        <v>1686</v>
      </c>
      <c r="D361" s="1" t="s">
        <v>1693</v>
      </c>
      <c r="E361" s="1" t="s">
        <v>1694</v>
      </c>
      <c r="F361" s="1" t="s">
        <v>1694</v>
      </c>
      <c r="H361" s="1" t="s">
        <v>1684</v>
      </c>
      <c r="I361" s="1" t="s">
        <v>1689</v>
      </c>
      <c r="J361" s="1" t="s">
        <v>1690</v>
      </c>
      <c r="K361" s="1" t="s">
        <v>1691</v>
      </c>
      <c r="L361" s="1" t="s">
        <v>1692</v>
      </c>
    </row>
    <row r="362" spans="1:12">
      <c r="A362" s="1" t="s">
        <v>1559</v>
      </c>
      <c r="B362" s="1" t="s">
        <v>1552</v>
      </c>
      <c r="C362" s="1" t="s">
        <v>1686</v>
      </c>
      <c r="D362" s="1" t="s">
        <v>1695</v>
      </c>
      <c r="E362" s="1" t="s">
        <v>1696</v>
      </c>
      <c r="F362" s="1" t="s">
        <v>1696</v>
      </c>
      <c r="H362" s="1" t="s">
        <v>1684</v>
      </c>
      <c r="I362" s="1" t="s">
        <v>1689</v>
      </c>
      <c r="J362" s="1" t="s">
        <v>1690</v>
      </c>
      <c r="K362" s="1" t="s">
        <v>1691</v>
      </c>
      <c r="L362" s="1" t="s">
        <v>1692</v>
      </c>
    </row>
    <row r="363" spans="1:12">
      <c r="A363" s="1" t="s">
        <v>1559</v>
      </c>
      <c r="B363" s="1" t="s">
        <v>1552</v>
      </c>
      <c r="C363" s="1" t="s">
        <v>1686</v>
      </c>
      <c r="D363" s="1" t="s">
        <v>1697</v>
      </c>
      <c r="E363" s="1" t="s">
        <v>1698</v>
      </c>
      <c r="F363" s="1" t="s">
        <v>1698</v>
      </c>
      <c r="H363" s="1" t="s">
        <v>1684</v>
      </c>
      <c r="I363" s="1" t="s">
        <v>1689</v>
      </c>
      <c r="J363" s="1" t="s">
        <v>1690</v>
      </c>
      <c r="K363" s="1" t="s">
        <v>1691</v>
      </c>
      <c r="L363" s="1" t="s">
        <v>1692</v>
      </c>
    </row>
    <row r="364" spans="1:12">
      <c r="A364" s="1" t="s">
        <v>1559</v>
      </c>
      <c r="B364" s="1" t="s">
        <v>1552</v>
      </c>
      <c r="C364" s="1" t="s">
        <v>1686</v>
      </c>
      <c r="D364" s="1" t="s">
        <v>1699</v>
      </c>
      <c r="E364" s="92" t="s">
        <v>1914</v>
      </c>
      <c r="F364" s="92" t="s">
        <v>1915</v>
      </c>
      <c r="H364" s="1" t="s">
        <v>1684</v>
      </c>
      <c r="I364" s="1" t="s">
        <v>1689</v>
      </c>
      <c r="J364" s="1" t="s">
        <v>1690</v>
      </c>
      <c r="K364" s="1" t="s">
        <v>1691</v>
      </c>
      <c r="L364" s="1" t="s">
        <v>1692</v>
      </c>
    </row>
    <row r="365" spans="1:12">
      <c r="A365" s="1" t="s">
        <v>1559</v>
      </c>
      <c r="B365" s="1" t="s">
        <v>1552</v>
      </c>
      <c r="C365" s="1" t="s">
        <v>1686</v>
      </c>
      <c r="D365" s="1" t="s">
        <v>1702</v>
      </c>
      <c r="E365" s="92" t="s">
        <v>1916</v>
      </c>
      <c r="F365" s="92" t="s">
        <v>1917</v>
      </c>
      <c r="H365" s="1" t="s">
        <v>1684</v>
      </c>
      <c r="I365" s="1" t="s">
        <v>1689</v>
      </c>
      <c r="J365" s="1" t="s">
        <v>1690</v>
      </c>
      <c r="K365" s="1" t="s">
        <v>1691</v>
      </c>
      <c r="L365" s="1" t="s">
        <v>1692</v>
      </c>
    </row>
    <row r="366" spans="1:12">
      <c r="A366" s="1" t="s">
        <v>1559</v>
      </c>
      <c r="B366" s="1" t="s">
        <v>1552</v>
      </c>
      <c r="C366" s="1" t="s">
        <v>1686</v>
      </c>
      <c r="D366" s="1" t="s">
        <v>1705</v>
      </c>
      <c r="E366" s="92" t="s">
        <v>1918</v>
      </c>
      <c r="F366" s="92" t="s">
        <v>1919</v>
      </c>
      <c r="H366" s="1" t="s">
        <v>1684</v>
      </c>
      <c r="I366" s="1" t="s">
        <v>1689</v>
      </c>
      <c r="J366" s="1" t="s">
        <v>1690</v>
      </c>
      <c r="K366" s="1" t="s">
        <v>1691</v>
      </c>
      <c r="L366" s="1" t="s">
        <v>1692</v>
      </c>
    </row>
    <row r="367" spans="1:12">
      <c r="A367" s="1" t="s">
        <v>1559</v>
      </c>
      <c r="B367" s="1" t="s">
        <v>1552</v>
      </c>
      <c r="C367" s="1" t="s">
        <v>1394</v>
      </c>
      <c r="D367" s="1" t="s">
        <v>1708</v>
      </c>
      <c r="E367" s="1" t="s">
        <v>1709</v>
      </c>
      <c r="F367" s="1" t="s">
        <v>1709</v>
      </c>
      <c r="H367" s="1" t="s">
        <v>1684</v>
      </c>
      <c r="I367" s="1" t="s">
        <v>973</v>
      </c>
      <c r="J367" s="1" t="s">
        <v>1710</v>
      </c>
      <c r="K367" s="1" t="s">
        <v>1691</v>
      </c>
      <c r="L367" s="1" t="s">
        <v>1692</v>
      </c>
    </row>
    <row r="368" spans="1:12">
      <c r="A368" s="1" t="s">
        <v>1559</v>
      </c>
      <c r="B368" s="1" t="s">
        <v>1552</v>
      </c>
      <c r="C368" s="1" t="s">
        <v>1711</v>
      </c>
      <c r="D368" s="1" t="s">
        <v>218</v>
      </c>
      <c r="E368" s="92" t="s">
        <v>1926</v>
      </c>
      <c r="F368" s="92" t="s">
        <v>1926</v>
      </c>
      <c r="G368" s="92" t="s">
        <v>1775</v>
      </c>
      <c r="H368" s="1" t="s">
        <v>1684</v>
      </c>
      <c r="I368" s="1" t="s">
        <v>1689</v>
      </c>
      <c r="J368" s="1" t="s">
        <v>1714</v>
      </c>
      <c r="K368" s="1" t="s">
        <v>1715</v>
      </c>
      <c r="L368" s="1" t="s">
        <v>1716</v>
      </c>
    </row>
    <row r="369" spans="1:12">
      <c r="A369" s="1" t="s">
        <v>1559</v>
      </c>
      <c r="B369" s="1" t="s">
        <v>1552</v>
      </c>
      <c r="C369" s="1" t="s">
        <v>1711</v>
      </c>
      <c r="D369" s="1" t="s">
        <v>1693</v>
      </c>
      <c r="E369" s="1" t="s">
        <v>1745</v>
      </c>
      <c r="F369" s="1" t="s">
        <v>1745</v>
      </c>
      <c r="H369" s="1" t="s">
        <v>1684</v>
      </c>
      <c r="I369" s="1" t="s">
        <v>1689</v>
      </c>
      <c r="J369" s="1" t="s">
        <v>1714</v>
      </c>
      <c r="K369" s="1" t="s">
        <v>1715</v>
      </c>
      <c r="L369" s="1" t="s">
        <v>1716</v>
      </c>
    </row>
    <row r="370" spans="1:12">
      <c r="A370" s="1" t="s">
        <v>1559</v>
      </c>
      <c r="B370" s="1" t="s">
        <v>1552</v>
      </c>
      <c r="C370" s="1" t="s">
        <v>1711</v>
      </c>
      <c r="D370" s="1" t="s">
        <v>1695</v>
      </c>
      <c r="E370" s="1" t="s">
        <v>1746</v>
      </c>
      <c r="F370" s="1" t="s">
        <v>1746</v>
      </c>
      <c r="H370" s="1" t="s">
        <v>1684</v>
      </c>
      <c r="I370" s="1" t="s">
        <v>1689</v>
      </c>
      <c r="J370" s="1" t="s">
        <v>1714</v>
      </c>
      <c r="K370" s="1" t="s">
        <v>1715</v>
      </c>
      <c r="L370" s="1" t="s">
        <v>1716</v>
      </c>
    </row>
    <row r="371" spans="1:12">
      <c r="A371" s="1" t="s">
        <v>1559</v>
      </c>
      <c r="B371" s="1" t="s">
        <v>1552</v>
      </c>
      <c r="C371" s="1" t="s">
        <v>1711</v>
      </c>
      <c r="D371" s="1" t="s">
        <v>1697</v>
      </c>
      <c r="E371" s="1" t="s">
        <v>1698</v>
      </c>
      <c r="F371" s="1" t="s">
        <v>1698</v>
      </c>
      <c r="H371" s="1" t="s">
        <v>1684</v>
      </c>
      <c r="I371" s="1" t="s">
        <v>1689</v>
      </c>
      <c r="J371" s="1" t="s">
        <v>1714</v>
      </c>
      <c r="K371" s="1" t="s">
        <v>1715</v>
      </c>
      <c r="L371" s="1" t="s">
        <v>1716</v>
      </c>
    </row>
    <row r="372" spans="1:12">
      <c r="A372" s="1" t="s">
        <v>1559</v>
      </c>
      <c r="B372" s="1" t="s">
        <v>1552</v>
      </c>
      <c r="C372" s="1" t="s">
        <v>1711</v>
      </c>
      <c r="D372" s="1" t="s">
        <v>1699</v>
      </c>
      <c r="E372" s="92" t="s">
        <v>1717</v>
      </c>
      <c r="F372" s="92" t="s">
        <v>1718</v>
      </c>
      <c r="H372" s="1" t="s">
        <v>1684</v>
      </c>
      <c r="I372" s="1" t="s">
        <v>1689</v>
      </c>
      <c r="J372" s="1" t="s">
        <v>1714</v>
      </c>
      <c r="K372" s="1" t="s">
        <v>1715</v>
      </c>
      <c r="L372" s="1" t="s">
        <v>1716</v>
      </c>
    </row>
    <row r="373" spans="1:12">
      <c r="A373" s="1" t="s">
        <v>1559</v>
      </c>
      <c r="B373" s="1" t="s">
        <v>1552</v>
      </c>
      <c r="C373" s="1" t="s">
        <v>1711</v>
      </c>
      <c r="D373" s="1" t="s">
        <v>1702</v>
      </c>
      <c r="E373" s="92" t="s">
        <v>1920</v>
      </c>
      <c r="F373" s="92" t="s">
        <v>1921</v>
      </c>
      <c r="H373" s="1" t="s">
        <v>1684</v>
      </c>
      <c r="I373" s="1" t="s">
        <v>1689</v>
      </c>
      <c r="J373" s="1" t="s">
        <v>1714</v>
      </c>
      <c r="K373" s="1" t="s">
        <v>1715</v>
      </c>
      <c r="L373" s="1" t="s">
        <v>1716</v>
      </c>
    </row>
    <row r="374" spans="1:12">
      <c r="A374" s="1" t="s">
        <v>1559</v>
      </c>
      <c r="B374" s="1" t="s">
        <v>1552</v>
      </c>
      <c r="C374" s="1" t="s">
        <v>1711</v>
      </c>
      <c r="D374" s="1" t="s">
        <v>1705</v>
      </c>
      <c r="E374" s="92" t="s">
        <v>1922</v>
      </c>
      <c r="F374" s="92" t="s">
        <v>1923</v>
      </c>
      <c r="H374" s="1" t="s">
        <v>1684</v>
      </c>
      <c r="I374" s="1" t="s">
        <v>1689</v>
      </c>
      <c r="J374" s="1" t="s">
        <v>1714</v>
      </c>
      <c r="K374" s="1" t="s">
        <v>1715</v>
      </c>
      <c r="L374" s="1" t="s">
        <v>1716</v>
      </c>
    </row>
    <row r="375" spans="1:12">
      <c r="A375" s="1" t="s">
        <v>1559</v>
      </c>
      <c r="B375" s="1" t="s">
        <v>1552</v>
      </c>
      <c r="C375" s="1" t="s">
        <v>1723</v>
      </c>
      <c r="D375" s="1" t="s">
        <v>218</v>
      </c>
      <c r="E375" s="92" t="s">
        <v>1924</v>
      </c>
      <c r="F375" s="92" t="s">
        <v>1924</v>
      </c>
      <c r="G375" s="92" t="s">
        <v>1688</v>
      </c>
      <c r="H375" s="1" t="s">
        <v>1684</v>
      </c>
      <c r="I375" s="1" t="s">
        <v>973</v>
      </c>
      <c r="J375" s="1" t="s">
        <v>1726</v>
      </c>
      <c r="K375" s="1" t="s">
        <v>1727</v>
      </c>
      <c r="L375" s="1" t="s">
        <v>1728</v>
      </c>
    </row>
    <row r="376" spans="1:12">
      <c r="A376" s="1" t="s">
        <v>1559</v>
      </c>
      <c r="B376" s="1" t="s">
        <v>1552</v>
      </c>
      <c r="C376" s="1" t="s">
        <v>1723</v>
      </c>
      <c r="D376" s="1" t="s">
        <v>1693</v>
      </c>
      <c r="E376" s="1" t="s">
        <v>1694</v>
      </c>
      <c r="F376" s="1" t="s">
        <v>1694</v>
      </c>
      <c r="H376" s="1" t="s">
        <v>1684</v>
      </c>
      <c r="I376" s="1" t="s">
        <v>973</v>
      </c>
      <c r="J376" s="1" t="s">
        <v>1726</v>
      </c>
      <c r="K376" s="1" t="s">
        <v>1727</v>
      </c>
      <c r="L376" s="1" t="s">
        <v>1728</v>
      </c>
    </row>
    <row r="377" spans="1:12">
      <c r="A377" s="1" t="s">
        <v>1559</v>
      </c>
      <c r="B377" s="1" t="s">
        <v>1552</v>
      </c>
      <c r="C377" s="1" t="s">
        <v>1723</v>
      </c>
      <c r="D377" s="1" t="s">
        <v>1695</v>
      </c>
      <c r="E377" s="1" t="s">
        <v>1694</v>
      </c>
      <c r="F377" s="1" t="s">
        <v>1694</v>
      </c>
      <c r="H377" s="1" t="s">
        <v>1684</v>
      </c>
      <c r="I377" s="1" t="s">
        <v>973</v>
      </c>
      <c r="J377" s="1" t="s">
        <v>1726</v>
      </c>
      <c r="K377" s="1" t="s">
        <v>1727</v>
      </c>
      <c r="L377" s="1" t="s">
        <v>1728</v>
      </c>
    </row>
    <row r="378" spans="1:12">
      <c r="A378" s="1" t="s">
        <v>1559</v>
      </c>
      <c r="B378" s="1" t="s">
        <v>1552</v>
      </c>
      <c r="C378" s="1" t="s">
        <v>1723</v>
      </c>
      <c r="D378" s="1" t="s">
        <v>1697</v>
      </c>
      <c r="E378" s="1" t="s">
        <v>1698</v>
      </c>
      <c r="F378" s="1" t="s">
        <v>1698</v>
      </c>
      <c r="H378" s="1" t="s">
        <v>1684</v>
      </c>
      <c r="I378" s="1" t="s">
        <v>973</v>
      </c>
      <c r="J378" s="1" t="s">
        <v>1726</v>
      </c>
      <c r="K378" s="1" t="s">
        <v>1727</v>
      </c>
      <c r="L378" s="1" t="s">
        <v>1728</v>
      </c>
    </row>
    <row r="379" spans="1:12">
      <c r="A379" s="1" t="s">
        <v>1559</v>
      </c>
      <c r="B379" s="1" t="s">
        <v>1552</v>
      </c>
      <c r="C379" s="1" t="s">
        <v>1729</v>
      </c>
      <c r="D379" s="1" t="s">
        <v>1708</v>
      </c>
      <c r="E379" s="1" t="s">
        <v>1730</v>
      </c>
      <c r="F379" s="1" t="s">
        <v>1730</v>
      </c>
      <c r="H379" s="1" t="s">
        <v>1684</v>
      </c>
      <c r="I379" s="1" t="s">
        <v>1731</v>
      </c>
      <c r="J379" s="1" t="s">
        <v>1732</v>
      </c>
      <c r="K379" s="1" t="s">
        <v>1733</v>
      </c>
      <c r="L379" s="1" t="s">
        <v>1734</v>
      </c>
    </row>
    <row r="380" spans="1:12">
      <c r="A380" s="1" t="s">
        <v>1561</v>
      </c>
      <c r="B380" s="1" t="s">
        <v>1552</v>
      </c>
      <c r="C380" s="1" t="s">
        <v>1680</v>
      </c>
      <c r="D380" s="1" t="s">
        <v>1681</v>
      </c>
      <c r="E380" s="92" t="s">
        <v>1927</v>
      </c>
      <c r="F380" s="92" t="s">
        <v>1928</v>
      </c>
      <c r="H380" s="1" t="s">
        <v>1684</v>
      </c>
    </row>
    <row r="381" spans="1:12">
      <c r="A381" s="1" t="s">
        <v>1561</v>
      </c>
      <c r="B381" s="1" t="s">
        <v>1552</v>
      </c>
      <c r="C381" s="1" t="s">
        <v>1680</v>
      </c>
      <c r="D381" s="1" t="s">
        <v>1685</v>
      </c>
      <c r="E381" s="1" t="s">
        <v>1526</v>
      </c>
      <c r="F381" s="1" t="s">
        <v>1526</v>
      </c>
      <c r="H381" s="1" t="s">
        <v>1684</v>
      </c>
    </row>
    <row r="382" spans="1:12">
      <c r="A382" s="1" t="s">
        <v>1561</v>
      </c>
      <c r="B382" s="1" t="s">
        <v>1552</v>
      </c>
      <c r="C382" s="1" t="s">
        <v>1686</v>
      </c>
      <c r="D382" s="1" t="s">
        <v>218</v>
      </c>
      <c r="E382" s="92" t="s">
        <v>1929</v>
      </c>
      <c r="F382" s="92" t="s">
        <v>1929</v>
      </c>
      <c r="G382" s="92" t="s">
        <v>1775</v>
      </c>
      <c r="H382" s="1" t="s">
        <v>1684</v>
      </c>
      <c r="I382" s="1" t="s">
        <v>1689</v>
      </c>
      <c r="J382" s="1" t="s">
        <v>1690</v>
      </c>
      <c r="K382" s="1" t="s">
        <v>1691</v>
      </c>
      <c r="L382" s="1" t="s">
        <v>1692</v>
      </c>
    </row>
    <row r="383" spans="1:12">
      <c r="A383" s="1" t="s">
        <v>1561</v>
      </c>
      <c r="B383" s="1" t="s">
        <v>1552</v>
      </c>
      <c r="C383" s="1" t="s">
        <v>1686</v>
      </c>
      <c r="D383" s="1" t="s">
        <v>1693</v>
      </c>
      <c r="E383" s="1" t="s">
        <v>1756</v>
      </c>
      <c r="F383" s="1" t="s">
        <v>1756</v>
      </c>
      <c r="H383" s="1" t="s">
        <v>1684</v>
      </c>
      <c r="I383" s="1" t="s">
        <v>1689</v>
      </c>
      <c r="J383" s="1" t="s">
        <v>1690</v>
      </c>
      <c r="K383" s="1" t="s">
        <v>1691</v>
      </c>
      <c r="L383" s="1" t="s">
        <v>1692</v>
      </c>
    </row>
    <row r="384" spans="1:12">
      <c r="A384" s="1" t="s">
        <v>1561</v>
      </c>
      <c r="B384" s="1" t="s">
        <v>1552</v>
      </c>
      <c r="C384" s="1" t="s">
        <v>1686</v>
      </c>
      <c r="D384" s="1" t="s">
        <v>1695</v>
      </c>
      <c r="E384" s="1" t="s">
        <v>1757</v>
      </c>
      <c r="F384" s="1" t="s">
        <v>1757</v>
      </c>
      <c r="H384" s="1" t="s">
        <v>1684</v>
      </c>
      <c r="I384" s="1" t="s">
        <v>1689</v>
      </c>
      <c r="J384" s="1" t="s">
        <v>1690</v>
      </c>
      <c r="K384" s="1" t="s">
        <v>1691</v>
      </c>
      <c r="L384" s="1" t="s">
        <v>1692</v>
      </c>
    </row>
    <row r="385" spans="1:12">
      <c r="A385" s="1" t="s">
        <v>1561</v>
      </c>
      <c r="B385" s="1" t="s">
        <v>1552</v>
      </c>
      <c r="C385" s="1" t="s">
        <v>1686</v>
      </c>
      <c r="D385" s="1" t="s">
        <v>1697</v>
      </c>
      <c r="E385" s="1" t="s">
        <v>1698</v>
      </c>
      <c r="F385" s="1" t="s">
        <v>1698</v>
      </c>
      <c r="H385" s="1" t="s">
        <v>1684</v>
      </c>
      <c r="I385" s="1" t="s">
        <v>1689</v>
      </c>
      <c r="J385" s="1" t="s">
        <v>1690</v>
      </c>
      <c r="K385" s="1" t="s">
        <v>1691</v>
      </c>
      <c r="L385" s="1" t="s">
        <v>1692</v>
      </c>
    </row>
    <row r="386" spans="1:12">
      <c r="A386" s="1" t="s">
        <v>1561</v>
      </c>
      <c r="B386" s="1" t="s">
        <v>1552</v>
      </c>
      <c r="C386" s="1" t="s">
        <v>1686</v>
      </c>
      <c r="D386" s="1" t="s">
        <v>1699</v>
      </c>
      <c r="E386" s="92" t="s">
        <v>1930</v>
      </c>
      <c r="F386" s="92" t="s">
        <v>1931</v>
      </c>
      <c r="H386" s="1" t="s">
        <v>1684</v>
      </c>
      <c r="I386" s="1" t="s">
        <v>1689</v>
      </c>
      <c r="J386" s="1" t="s">
        <v>1690</v>
      </c>
      <c r="K386" s="1" t="s">
        <v>1691</v>
      </c>
      <c r="L386" s="1" t="s">
        <v>1692</v>
      </c>
    </row>
    <row r="387" spans="1:12">
      <c r="A387" s="1" t="s">
        <v>1561</v>
      </c>
      <c r="B387" s="1" t="s">
        <v>1552</v>
      </c>
      <c r="C387" s="1" t="s">
        <v>1686</v>
      </c>
      <c r="D387" s="1" t="s">
        <v>1702</v>
      </c>
      <c r="E387" s="92" t="s">
        <v>1932</v>
      </c>
      <c r="F387" s="92" t="s">
        <v>1933</v>
      </c>
      <c r="H387" s="1" t="s">
        <v>1684</v>
      </c>
      <c r="I387" s="1" t="s">
        <v>1689</v>
      </c>
      <c r="J387" s="1" t="s">
        <v>1690</v>
      </c>
      <c r="K387" s="1" t="s">
        <v>1691</v>
      </c>
      <c r="L387" s="1" t="s">
        <v>1692</v>
      </c>
    </row>
    <row r="388" spans="1:12">
      <c r="A388" s="1" t="s">
        <v>1561</v>
      </c>
      <c r="B388" s="1" t="s">
        <v>1552</v>
      </c>
      <c r="C388" s="1" t="s">
        <v>1686</v>
      </c>
      <c r="D388" s="1" t="s">
        <v>1705</v>
      </c>
      <c r="E388" s="92" t="s">
        <v>1934</v>
      </c>
      <c r="F388" s="92" t="s">
        <v>1935</v>
      </c>
      <c r="H388" s="1" t="s">
        <v>1684</v>
      </c>
      <c r="I388" s="1" t="s">
        <v>1689</v>
      </c>
      <c r="J388" s="1" t="s">
        <v>1690</v>
      </c>
      <c r="K388" s="1" t="s">
        <v>1691</v>
      </c>
      <c r="L388" s="1" t="s">
        <v>1692</v>
      </c>
    </row>
    <row r="389" spans="1:12">
      <c r="A389" s="1" t="s">
        <v>1561</v>
      </c>
      <c r="B389" s="1" t="s">
        <v>1552</v>
      </c>
      <c r="C389" s="1" t="s">
        <v>1394</v>
      </c>
      <c r="D389" s="1" t="s">
        <v>1708</v>
      </c>
      <c r="E389" s="1" t="s">
        <v>1709</v>
      </c>
      <c r="F389" s="1" t="s">
        <v>1709</v>
      </c>
      <c r="H389" s="1" t="s">
        <v>1684</v>
      </c>
      <c r="I389" s="1" t="s">
        <v>973</v>
      </c>
      <c r="J389" s="1" t="s">
        <v>1710</v>
      </c>
      <c r="K389" s="1" t="s">
        <v>1691</v>
      </c>
      <c r="L389" s="1" t="s">
        <v>1692</v>
      </c>
    </row>
    <row r="390" spans="1:12">
      <c r="A390" s="1" t="s">
        <v>1561</v>
      </c>
      <c r="B390" s="1" t="s">
        <v>1552</v>
      </c>
      <c r="C390" s="1" t="s">
        <v>1711</v>
      </c>
      <c r="D390" s="1" t="s">
        <v>218</v>
      </c>
      <c r="E390" s="92" t="s">
        <v>1876</v>
      </c>
      <c r="F390" s="92" t="s">
        <v>1876</v>
      </c>
      <c r="G390" s="92" t="s">
        <v>1775</v>
      </c>
      <c r="H390" s="1" t="s">
        <v>1684</v>
      </c>
      <c r="I390" s="1" t="s">
        <v>1689</v>
      </c>
      <c r="J390" s="1" t="s">
        <v>1714</v>
      </c>
      <c r="K390" s="1" t="s">
        <v>1715</v>
      </c>
      <c r="L390" s="1" t="s">
        <v>1716</v>
      </c>
    </row>
    <row r="391" spans="1:12">
      <c r="A391" s="1" t="s">
        <v>1561</v>
      </c>
      <c r="B391" s="1" t="s">
        <v>1552</v>
      </c>
      <c r="C391" s="1" t="s">
        <v>1711</v>
      </c>
      <c r="D391" s="1" t="s">
        <v>1693</v>
      </c>
      <c r="E391" s="1" t="s">
        <v>1802</v>
      </c>
      <c r="F391" s="1" t="s">
        <v>1802</v>
      </c>
      <c r="H391" s="1" t="s">
        <v>1684</v>
      </c>
      <c r="I391" s="1" t="s">
        <v>1689</v>
      </c>
      <c r="J391" s="1" t="s">
        <v>1714</v>
      </c>
      <c r="K391" s="1" t="s">
        <v>1715</v>
      </c>
      <c r="L391" s="1" t="s">
        <v>1716</v>
      </c>
    </row>
    <row r="392" spans="1:12">
      <c r="A392" s="1" t="s">
        <v>1561</v>
      </c>
      <c r="B392" s="1" t="s">
        <v>1552</v>
      </c>
      <c r="C392" s="1" t="s">
        <v>1711</v>
      </c>
      <c r="D392" s="1" t="s">
        <v>1695</v>
      </c>
      <c r="E392" s="1" t="s">
        <v>1757</v>
      </c>
      <c r="F392" s="1" t="s">
        <v>1757</v>
      </c>
      <c r="H392" s="1" t="s">
        <v>1684</v>
      </c>
      <c r="I392" s="1" t="s">
        <v>1689</v>
      </c>
      <c r="J392" s="1" t="s">
        <v>1714</v>
      </c>
      <c r="K392" s="1" t="s">
        <v>1715</v>
      </c>
      <c r="L392" s="1" t="s">
        <v>1716</v>
      </c>
    </row>
    <row r="393" spans="1:12">
      <c r="A393" s="1" t="s">
        <v>1561</v>
      </c>
      <c r="B393" s="1" t="s">
        <v>1552</v>
      </c>
      <c r="C393" s="1" t="s">
        <v>1711</v>
      </c>
      <c r="D393" s="1" t="s">
        <v>1697</v>
      </c>
      <c r="E393" s="1" t="s">
        <v>1698</v>
      </c>
      <c r="F393" s="1" t="s">
        <v>1698</v>
      </c>
      <c r="H393" s="1" t="s">
        <v>1684</v>
      </c>
      <c r="I393" s="1" t="s">
        <v>1689</v>
      </c>
      <c r="J393" s="1" t="s">
        <v>1714</v>
      </c>
      <c r="K393" s="1" t="s">
        <v>1715</v>
      </c>
      <c r="L393" s="1" t="s">
        <v>1716</v>
      </c>
    </row>
    <row r="394" spans="1:12">
      <c r="A394" s="1" t="s">
        <v>1561</v>
      </c>
      <c r="B394" s="1" t="s">
        <v>1552</v>
      </c>
      <c r="C394" s="1" t="s">
        <v>1711</v>
      </c>
      <c r="D394" s="1" t="s">
        <v>1699</v>
      </c>
      <c r="E394" s="92" t="s">
        <v>1717</v>
      </c>
      <c r="F394" s="92" t="s">
        <v>1718</v>
      </c>
      <c r="H394" s="1" t="s">
        <v>1684</v>
      </c>
      <c r="I394" s="1" t="s">
        <v>1689</v>
      </c>
      <c r="J394" s="1" t="s">
        <v>1714</v>
      </c>
      <c r="K394" s="1" t="s">
        <v>1715</v>
      </c>
      <c r="L394" s="1" t="s">
        <v>1716</v>
      </c>
    </row>
    <row r="395" spans="1:12">
      <c r="A395" s="1" t="s">
        <v>1561</v>
      </c>
      <c r="B395" s="1" t="s">
        <v>1552</v>
      </c>
      <c r="C395" s="1" t="s">
        <v>1711</v>
      </c>
      <c r="D395" s="1" t="s">
        <v>1702</v>
      </c>
      <c r="E395" s="92" t="s">
        <v>1936</v>
      </c>
      <c r="F395" s="92" t="s">
        <v>1937</v>
      </c>
      <c r="H395" s="1" t="s">
        <v>1684</v>
      </c>
      <c r="I395" s="1" t="s">
        <v>1689</v>
      </c>
      <c r="J395" s="1" t="s">
        <v>1714</v>
      </c>
      <c r="K395" s="1" t="s">
        <v>1715</v>
      </c>
      <c r="L395" s="1" t="s">
        <v>1716</v>
      </c>
    </row>
    <row r="396" spans="1:12">
      <c r="A396" s="1" t="s">
        <v>1561</v>
      </c>
      <c r="B396" s="1" t="s">
        <v>1552</v>
      </c>
      <c r="C396" s="1" t="s">
        <v>1711</v>
      </c>
      <c r="D396" s="1" t="s">
        <v>1705</v>
      </c>
      <c r="E396" s="92" t="s">
        <v>1938</v>
      </c>
      <c r="F396" s="92" t="s">
        <v>1750</v>
      </c>
      <c r="H396" s="1" t="s">
        <v>1684</v>
      </c>
      <c r="I396" s="1" t="s">
        <v>1689</v>
      </c>
      <c r="J396" s="1" t="s">
        <v>1714</v>
      </c>
      <c r="K396" s="1" t="s">
        <v>1715</v>
      </c>
      <c r="L396" s="1" t="s">
        <v>1716</v>
      </c>
    </row>
    <row r="397" spans="1:12">
      <c r="A397" s="1" t="s">
        <v>1561</v>
      </c>
      <c r="B397" s="1" t="s">
        <v>1552</v>
      </c>
      <c r="C397" s="1" t="s">
        <v>1723</v>
      </c>
      <c r="D397" s="1" t="s">
        <v>218</v>
      </c>
      <c r="E397" s="92" t="s">
        <v>1939</v>
      </c>
      <c r="F397" s="92" t="s">
        <v>1939</v>
      </c>
      <c r="G397" s="92" t="s">
        <v>1713</v>
      </c>
      <c r="H397" s="1" t="s">
        <v>1684</v>
      </c>
      <c r="I397" s="1" t="s">
        <v>973</v>
      </c>
      <c r="J397" s="1" t="s">
        <v>1726</v>
      </c>
      <c r="K397" s="1" t="s">
        <v>1727</v>
      </c>
      <c r="L397" s="1" t="s">
        <v>1728</v>
      </c>
    </row>
    <row r="398" spans="1:12">
      <c r="A398" s="1" t="s">
        <v>1561</v>
      </c>
      <c r="B398" s="1" t="s">
        <v>1552</v>
      </c>
      <c r="C398" s="1" t="s">
        <v>1723</v>
      </c>
      <c r="D398" s="1" t="s">
        <v>1693</v>
      </c>
      <c r="E398" s="1" t="s">
        <v>1694</v>
      </c>
      <c r="F398" s="1" t="s">
        <v>1694</v>
      </c>
      <c r="H398" s="1" t="s">
        <v>1684</v>
      </c>
      <c r="I398" s="1" t="s">
        <v>973</v>
      </c>
      <c r="J398" s="1" t="s">
        <v>1726</v>
      </c>
      <c r="K398" s="1" t="s">
        <v>1727</v>
      </c>
      <c r="L398" s="1" t="s">
        <v>1728</v>
      </c>
    </row>
    <row r="399" spans="1:12">
      <c r="A399" s="1" t="s">
        <v>1561</v>
      </c>
      <c r="B399" s="1" t="s">
        <v>1552</v>
      </c>
      <c r="C399" s="1" t="s">
        <v>1723</v>
      </c>
      <c r="D399" s="1" t="s">
        <v>1695</v>
      </c>
      <c r="E399" s="1" t="s">
        <v>1694</v>
      </c>
      <c r="F399" s="1" t="s">
        <v>1694</v>
      </c>
      <c r="H399" s="1" t="s">
        <v>1684</v>
      </c>
      <c r="I399" s="1" t="s">
        <v>973</v>
      </c>
      <c r="J399" s="1" t="s">
        <v>1726</v>
      </c>
      <c r="K399" s="1" t="s">
        <v>1727</v>
      </c>
      <c r="L399" s="1" t="s">
        <v>1728</v>
      </c>
    </row>
    <row r="400" spans="1:12">
      <c r="A400" s="1" t="s">
        <v>1561</v>
      </c>
      <c r="B400" s="1" t="s">
        <v>1552</v>
      </c>
      <c r="C400" s="1" t="s">
        <v>1723</v>
      </c>
      <c r="D400" s="1" t="s">
        <v>1697</v>
      </c>
      <c r="E400" s="1" t="s">
        <v>1698</v>
      </c>
      <c r="F400" s="1" t="s">
        <v>1698</v>
      </c>
      <c r="H400" s="1" t="s">
        <v>1684</v>
      </c>
      <c r="I400" s="1" t="s">
        <v>973</v>
      </c>
      <c r="J400" s="1" t="s">
        <v>1726</v>
      </c>
      <c r="K400" s="1" t="s">
        <v>1727</v>
      </c>
      <c r="L400" s="1" t="s">
        <v>1728</v>
      </c>
    </row>
    <row r="401" spans="1:12">
      <c r="A401" s="1" t="s">
        <v>1561</v>
      </c>
      <c r="B401" s="1" t="s">
        <v>1552</v>
      </c>
      <c r="C401" s="1" t="s">
        <v>1729</v>
      </c>
      <c r="D401" s="1" t="s">
        <v>1708</v>
      </c>
      <c r="E401" s="1" t="s">
        <v>1730</v>
      </c>
      <c r="F401" s="1" t="s">
        <v>1709</v>
      </c>
      <c r="H401" s="1" t="s">
        <v>1684</v>
      </c>
      <c r="I401" s="1" t="s">
        <v>1731</v>
      </c>
      <c r="J401" s="1" t="s">
        <v>1732</v>
      </c>
      <c r="K401" s="1" t="s">
        <v>1733</v>
      </c>
      <c r="L401" s="1" t="s">
        <v>1734</v>
      </c>
    </row>
    <row r="402" spans="1:12">
      <c r="A402" s="1" t="s">
        <v>1563</v>
      </c>
      <c r="B402" s="1" t="s">
        <v>1552</v>
      </c>
      <c r="C402" s="1" t="s">
        <v>1680</v>
      </c>
      <c r="D402" s="1" t="s">
        <v>1681</v>
      </c>
      <c r="E402" s="92" t="s">
        <v>1735</v>
      </c>
      <c r="F402" s="92" t="s">
        <v>1736</v>
      </c>
      <c r="H402" s="1" t="s">
        <v>1684</v>
      </c>
    </row>
    <row r="403" spans="1:12">
      <c r="A403" s="1" t="s">
        <v>1563</v>
      </c>
      <c r="B403" s="1" t="s">
        <v>1552</v>
      </c>
      <c r="C403" s="1" t="s">
        <v>1680</v>
      </c>
      <c r="D403" s="1" t="s">
        <v>1685</v>
      </c>
      <c r="E403" s="1" t="s">
        <v>1526</v>
      </c>
      <c r="F403" s="1" t="s">
        <v>1526</v>
      </c>
      <c r="H403" s="1" t="s">
        <v>1684</v>
      </c>
    </row>
    <row r="404" spans="1:12">
      <c r="A404" s="1" t="s">
        <v>1563</v>
      </c>
      <c r="B404" s="1" t="s">
        <v>1552</v>
      </c>
      <c r="C404" s="1" t="s">
        <v>1686</v>
      </c>
      <c r="D404" s="1" t="s">
        <v>218</v>
      </c>
      <c r="E404" s="92" t="s">
        <v>1940</v>
      </c>
      <c r="F404" s="92" t="s">
        <v>1940</v>
      </c>
      <c r="G404" s="92" t="s">
        <v>1738</v>
      </c>
      <c r="H404" s="1" t="s">
        <v>1684</v>
      </c>
      <c r="I404" s="1" t="s">
        <v>1689</v>
      </c>
      <c r="J404" s="1" t="s">
        <v>1690</v>
      </c>
      <c r="K404" s="1" t="s">
        <v>1691</v>
      </c>
      <c r="L404" s="1" t="s">
        <v>1692</v>
      </c>
    </row>
    <row r="405" spans="1:12">
      <c r="A405" s="1" t="s">
        <v>1563</v>
      </c>
      <c r="B405" s="1" t="s">
        <v>1552</v>
      </c>
      <c r="C405" s="1" t="s">
        <v>1686</v>
      </c>
      <c r="D405" s="1" t="s">
        <v>1693</v>
      </c>
      <c r="E405" s="1" t="s">
        <v>1694</v>
      </c>
      <c r="F405" s="1" t="s">
        <v>1694</v>
      </c>
      <c r="H405" s="1" t="s">
        <v>1684</v>
      </c>
      <c r="I405" s="1" t="s">
        <v>1689</v>
      </c>
      <c r="J405" s="1" t="s">
        <v>1690</v>
      </c>
      <c r="K405" s="1" t="s">
        <v>1691</v>
      </c>
      <c r="L405" s="1" t="s">
        <v>1692</v>
      </c>
    </row>
    <row r="406" spans="1:12">
      <c r="A406" s="1" t="s">
        <v>1563</v>
      </c>
      <c r="B406" s="1" t="s">
        <v>1552</v>
      </c>
      <c r="C406" s="1" t="s">
        <v>1686</v>
      </c>
      <c r="D406" s="1" t="s">
        <v>1695</v>
      </c>
      <c r="E406" s="1" t="s">
        <v>1696</v>
      </c>
      <c r="F406" s="1" t="s">
        <v>1696</v>
      </c>
      <c r="H406" s="1" t="s">
        <v>1684</v>
      </c>
      <c r="I406" s="1" t="s">
        <v>1689</v>
      </c>
      <c r="J406" s="1" t="s">
        <v>1690</v>
      </c>
      <c r="K406" s="1" t="s">
        <v>1691</v>
      </c>
      <c r="L406" s="1" t="s">
        <v>1692</v>
      </c>
    </row>
    <row r="407" spans="1:12">
      <c r="A407" s="1" t="s">
        <v>1563</v>
      </c>
      <c r="B407" s="1" t="s">
        <v>1552</v>
      </c>
      <c r="C407" s="1" t="s">
        <v>1686</v>
      </c>
      <c r="D407" s="1" t="s">
        <v>1697</v>
      </c>
      <c r="E407" s="1" t="s">
        <v>1698</v>
      </c>
      <c r="F407" s="1" t="s">
        <v>1698</v>
      </c>
      <c r="H407" s="1" t="s">
        <v>1684</v>
      </c>
      <c r="I407" s="1" t="s">
        <v>1689</v>
      </c>
      <c r="J407" s="1" t="s">
        <v>1690</v>
      </c>
      <c r="K407" s="1" t="s">
        <v>1691</v>
      </c>
      <c r="L407" s="1" t="s">
        <v>1692</v>
      </c>
    </row>
    <row r="408" spans="1:12">
      <c r="A408" s="1" t="s">
        <v>1563</v>
      </c>
      <c r="B408" s="1" t="s">
        <v>1552</v>
      </c>
      <c r="C408" s="1" t="s">
        <v>1686</v>
      </c>
      <c r="D408" s="1" t="s">
        <v>1699</v>
      </c>
      <c r="E408" s="92" t="s">
        <v>1839</v>
      </c>
      <c r="F408" s="92" t="s">
        <v>1840</v>
      </c>
      <c r="H408" s="1" t="s">
        <v>1684</v>
      </c>
      <c r="I408" s="1" t="s">
        <v>1689</v>
      </c>
      <c r="J408" s="1" t="s">
        <v>1690</v>
      </c>
      <c r="K408" s="1" t="s">
        <v>1691</v>
      </c>
      <c r="L408" s="1" t="s">
        <v>1692</v>
      </c>
    </row>
    <row r="409" spans="1:12">
      <c r="A409" s="1" t="s">
        <v>1563</v>
      </c>
      <c r="B409" s="1" t="s">
        <v>1552</v>
      </c>
      <c r="C409" s="1" t="s">
        <v>1686</v>
      </c>
      <c r="D409" s="1" t="s">
        <v>1702</v>
      </c>
      <c r="E409" s="92" t="s">
        <v>1841</v>
      </c>
      <c r="F409" s="92" t="s">
        <v>1841</v>
      </c>
      <c r="H409" s="1" t="s">
        <v>1684</v>
      </c>
      <c r="I409" s="1" t="s">
        <v>1689</v>
      </c>
      <c r="J409" s="1" t="s">
        <v>1690</v>
      </c>
      <c r="K409" s="1" t="s">
        <v>1691</v>
      </c>
      <c r="L409" s="1" t="s">
        <v>1692</v>
      </c>
    </row>
    <row r="410" spans="1:12">
      <c r="A410" s="1" t="s">
        <v>1563</v>
      </c>
      <c r="B410" s="1" t="s">
        <v>1552</v>
      </c>
      <c r="C410" s="1" t="s">
        <v>1686</v>
      </c>
      <c r="D410" s="1" t="s">
        <v>1705</v>
      </c>
      <c r="E410" s="92" t="s">
        <v>1842</v>
      </c>
      <c r="F410" s="92" t="s">
        <v>1843</v>
      </c>
      <c r="H410" s="1" t="s">
        <v>1684</v>
      </c>
      <c r="I410" s="1" t="s">
        <v>1689</v>
      </c>
      <c r="J410" s="1" t="s">
        <v>1690</v>
      </c>
      <c r="K410" s="1" t="s">
        <v>1691</v>
      </c>
      <c r="L410" s="1" t="s">
        <v>1692</v>
      </c>
    </row>
    <row r="411" spans="1:12">
      <c r="A411" s="1" t="s">
        <v>1563</v>
      </c>
      <c r="B411" s="1" t="s">
        <v>1552</v>
      </c>
      <c r="C411" s="1" t="s">
        <v>1394</v>
      </c>
      <c r="D411" s="1" t="s">
        <v>1708</v>
      </c>
      <c r="E411" s="1" t="s">
        <v>1709</v>
      </c>
      <c r="F411" s="1" t="s">
        <v>1709</v>
      </c>
      <c r="H411" s="1" t="s">
        <v>1684</v>
      </c>
      <c r="I411" s="1" t="s">
        <v>973</v>
      </c>
      <c r="J411" s="1" t="s">
        <v>1710</v>
      </c>
      <c r="K411" s="1" t="s">
        <v>1691</v>
      </c>
      <c r="L411" s="1" t="s">
        <v>1692</v>
      </c>
    </row>
    <row r="412" spans="1:12">
      <c r="A412" s="1" t="s">
        <v>1563</v>
      </c>
      <c r="B412" s="1" t="s">
        <v>1552</v>
      </c>
      <c r="C412" s="1" t="s">
        <v>1711</v>
      </c>
      <c r="D412" s="1" t="s">
        <v>218</v>
      </c>
      <c r="E412" s="92" t="s">
        <v>1941</v>
      </c>
      <c r="F412" s="92" t="s">
        <v>1941</v>
      </c>
      <c r="G412" s="92" t="s">
        <v>1713</v>
      </c>
      <c r="H412" s="1" t="s">
        <v>1684</v>
      </c>
      <c r="I412" s="1" t="s">
        <v>1689</v>
      </c>
      <c r="J412" s="1" t="s">
        <v>1714</v>
      </c>
      <c r="K412" s="1" t="s">
        <v>1715</v>
      </c>
      <c r="L412" s="1" t="s">
        <v>1716</v>
      </c>
    </row>
    <row r="413" spans="1:12">
      <c r="A413" s="1" t="s">
        <v>1563</v>
      </c>
      <c r="B413" s="1" t="s">
        <v>1552</v>
      </c>
      <c r="C413" s="1" t="s">
        <v>1711</v>
      </c>
      <c r="D413" s="1" t="s">
        <v>1693</v>
      </c>
      <c r="E413" s="1" t="s">
        <v>1694</v>
      </c>
      <c r="F413" s="1" t="s">
        <v>1694</v>
      </c>
      <c r="H413" s="1" t="s">
        <v>1684</v>
      </c>
      <c r="I413" s="1" t="s">
        <v>1689</v>
      </c>
      <c r="J413" s="1" t="s">
        <v>1714</v>
      </c>
      <c r="K413" s="1" t="s">
        <v>1715</v>
      </c>
      <c r="L413" s="1" t="s">
        <v>1716</v>
      </c>
    </row>
    <row r="414" spans="1:12">
      <c r="A414" s="1" t="s">
        <v>1563</v>
      </c>
      <c r="B414" s="1" t="s">
        <v>1552</v>
      </c>
      <c r="C414" s="1" t="s">
        <v>1711</v>
      </c>
      <c r="D414" s="1" t="s">
        <v>1695</v>
      </c>
      <c r="E414" s="1" t="s">
        <v>1694</v>
      </c>
      <c r="F414" s="1" t="s">
        <v>1694</v>
      </c>
      <c r="H414" s="1" t="s">
        <v>1684</v>
      </c>
      <c r="I414" s="1" t="s">
        <v>1689</v>
      </c>
      <c r="J414" s="1" t="s">
        <v>1714</v>
      </c>
      <c r="K414" s="1" t="s">
        <v>1715</v>
      </c>
      <c r="L414" s="1" t="s">
        <v>1716</v>
      </c>
    </row>
    <row r="415" spans="1:12">
      <c r="A415" s="1" t="s">
        <v>1563</v>
      </c>
      <c r="B415" s="1" t="s">
        <v>1552</v>
      </c>
      <c r="C415" s="1" t="s">
        <v>1711</v>
      </c>
      <c r="D415" s="1" t="s">
        <v>1697</v>
      </c>
      <c r="E415" s="1" t="s">
        <v>1698</v>
      </c>
      <c r="F415" s="1" t="s">
        <v>1698</v>
      </c>
      <c r="H415" s="1" t="s">
        <v>1684</v>
      </c>
      <c r="I415" s="1" t="s">
        <v>1689</v>
      </c>
      <c r="J415" s="1" t="s">
        <v>1714</v>
      </c>
      <c r="K415" s="1" t="s">
        <v>1715</v>
      </c>
      <c r="L415" s="1" t="s">
        <v>1716</v>
      </c>
    </row>
    <row r="416" spans="1:12">
      <c r="A416" s="1" t="s">
        <v>1563</v>
      </c>
      <c r="B416" s="1" t="s">
        <v>1552</v>
      </c>
      <c r="C416" s="1" t="s">
        <v>1711</v>
      </c>
      <c r="D416" s="1" t="s">
        <v>1699</v>
      </c>
      <c r="E416" s="92" t="s">
        <v>1832</v>
      </c>
      <c r="F416" s="92" t="s">
        <v>1833</v>
      </c>
      <c r="H416" s="1" t="s">
        <v>1684</v>
      </c>
      <c r="I416" s="1" t="s">
        <v>1689</v>
      </c>
      <c r="J416" s="1" t="s">
        <v>1714</v>
      </c>
      <c r="K416" s="1" t="s">
        <v>1715</v>
      </c>
      <c r="L416" s="1" t="s">
        <v>1716</v>
      </c>
    </row>
    <row r="417" spans="1:12">
      <c r="A417" s="1" t="s">
        <v>1563</v>
      </c>
      <c r="B417" s="1" t="s">
        <v>1552</v>
      </c>
      <c r="C417" s="1" t="s">
        <v>1711</v>
      </c>
      <c r="D417" s="1" t="s">
        <v>1702</v>
      </c>
      <c r="E417" s="92" t="s">
        <v>1942</v>
      </c>
      <c r="F417" s="92" t="s">
        <v>1943</v>
      </c>
      <c r="H417" s="1" t="s">
        <v>1684</v>
      </c>
      <c r="I417" s="1" t="s">
        <v>1689</v>
      </c>
      <c r="J417" s="1" t="s">
        <v>1714</v>
      </c>
      <c r="K417" s="1" t="s">
        <v>1715</v>
      </c>
      <c r="L417" s="1" t="s">
        <v>1716</v>
      </c>
    </row>
    <row r="418" spans="1:12">
      <c r="A418" s="1" t="s">
        <v>1563</v>
      </c>
      <c r="B418" s="1" t="s">
        <v>1552</v>
      </c>
      <c r="C418" s="1" t="s">
        <v>1711</v>
      </c>
      <c r="D418" s="1" t="s">
        <v>1705</v>
      </c>
      <c r="E418" s="92" t="s">
        <v>1944</v>
      </c>
      <c r="F418" s="92" t="s">
        <v>1836</v>
      </c>
      <c r="H418" s="1" t="s">
        <v>1684</v>
      </c>
      <c r="I418" s="1" t="s">
        <v>1689</v>
      </c>
      <c r="J418" s="1" t="s">
        <v>1714</v>
      </c>
      <c r="K418" s="1" t="s">
        <v>1715</v>
      </c>
      <c r="L418" s="1" t="s">
        <v>1716</v>
      </c>
    </row>
    <row r="419" spans="1:12">
      <c r="A419" s="1" t="s">
        <v>1563</v>
      </c>
      <c r="B419" s="1" t="s">
        <v>1552</v>
      </c>
      <c r="C419" s="1" t="s">
        <v>1723</v>
      </c>
      <c r="D419" s="1" t="s">
        <v>218</v>
      </c>
      <c r="E419" s="92" t="s">
        <v>1945</v>
      </c>
      <c r="F419" s="92" t="s">
        <v>1945</v>
      </c>
      <c r="G419" s="92" t="s">
        <v>1775</v>
      </c>
      <c r="H419" s="1" t="s">
        <v>1684</v>
      </c>
      <c r="I419" s="1" t="s">
        <v>973</v>
      </c>
      <c r="J419" s="1" t="s">
        <v>1726</v>
      </c>
      <c r="K419" s="1" t="s">
        <v>1727</v>
      </c>
      <c r="L419" s="1" t="s">
        <v>1728</v>
      </c>
    </row>
    <row r="420" spans="1:12">
      <c r="A420" s="1" t="s">
        <v>1563</v>
      </c>
      <c r="B420" s="1" t="s">
        <v>1552</v>
      </c>
      <c r="C420" s="1" t="s">
        <v>1723</v>
      </c>
      <c r="D420" s="1" t="s">
        <v>1693</v>
      </c>
      <c r="E420" s="1" t="s">
        <v>1694</v>
      </c>
      <c r="F420" s="1" t="s">
        <v>1694</v>
      </c>
      <c r="H420" s="1" t="s">
        <v>1684</v>
      </c>
      <c r="I420" s="1" t="s">
        <v>973</v>
      </c>
      <c r="J420" s="1" t="s">
        <v>1726</v>
      </c>
      <c r="K420" s="1" t="s">
        <v>1727</v>
      </c>
      <c r="L420" s="1" t="s">
        <v>1728</v>
      </c>
    </row>
    <row r="421" spans="1:12">
      <c r="A421" s="1" t="s">
        <v>1563</v>
      </c>
      <c r="B421" s="1" t="s">
        <v>1552</v>
      </c>
      <c r="C421" s="1" t="s">
        <v>1723</v>
      </c>
      <c r="D421" s="1" t="s">
        <v>1695</v>
      </c>
      <c r="E421" s="1" t="s">
        <v>1694</v>
      </c>
      <c r="F421" s="1" t="s">
        <v>1694</v>
      </c>
      <c r="H421" s="1" t="s">
        <v>1684</v>
      </c>
      <c r="I421" s="1" t="s">
        <v>973</v>
      </c>
      <c r="J421" s="1" t="s">
        <v>1726</v>
      </c>
      <c r="K421" s="1" t="s">
        <v>1727</v>
      </c>
      <c r="L421" s="1" t="s">
        <v>1728</v>
      </c>
    </row>
    <row r="422" spans="1:12">
      <c r="A422" s="1" t="s">
        <v>1563</v>
      </c>
      <c r="B422" s="1" t="s">
        <v>1552</v>
      </c>
      <c r="C422" s="1" t="s">
        <v>1723</v>
      </c>
      <c r="D422" s="1" t="s">
        <v>1697</v>
      </c>
      <c r="E422" s="1" t="s">
        <v>1698</v>
      </c>
      <c r="F422" s="1" t="s">
        <v>1698</v>
      </c>
      <c r="H422" s="1" t="s">
        <v>1684</v>
      </c>
      <c r="I422" s="1" t="s">
        <v>973</v>
      </c>
      <c r="J422" s="1" t="s">
        <v>1726</v>
      </c>
      <c r="K422" s="1" t="s">
        <v>1727</v>
      </c>
      <c r="L422" s="1" t="s">
        <v>1728</v>
      </c>
    </row>
    <row r="423" spans="1:12">
      <c r="A423" s="1" t="s">
        <v>1563</v>
      </c>
      <c r="B423" s="1" t="s">
        <v>1552</v>
      </c>
      <c r="C423" s="1" t="s">
        <v>1729</v>
      </c>
      <c r="D423" s="1" t="s">
        <v>1708</v>
      </c>
      <c r="E423" s="1" t="s">
        <v>1730</v>
      </c>
      <c r="F423" s="1" t="s">
        <v>1730</v>
      </c>
      <c r="H423" s="1" t="s">
        <v>1684</v>
      </c>
      <c r="I423" s="1" t="s">
        <v>1731</v>
      </c>
      <c r="J423" s="1" t="s">
        <v>1732</v>
      </c>
      <c r="K423" s="1" t="s">
        <v>1733</v>
      </c>
      <c r="L423" s="1" t="s">
        <v>1734</v>
      </c>
    </row>
    <row r="424" spans="1:12">
      <c r="A424" s="1" t="s">
        <v>1565</v>
      </c>
      <c r="B424" s="1" t="s">
        <v>1552</v>
      </c>
      <c r="C424" s="1" t="s">
        <v>1680</v>
      </c>
      <c r="D424" s="1" t="s">
        <v>1681</v>
      </c>
      <c r="E424" s="92" t="s">
        <v>1735</v>
      </c>
      <c r="F424" s="92" t="s">
        <v>1736</v>
      </c>
      <c r="H424" s="1" t="s">
        <v>1684</v>
      </c>
    </row>
    <row r="425" spans="1:12">
      <c r="A425" s="1" t="s">
        <v>1565</v>
      </c>
      <c r="B425" s="1" t="s">
        <v>1552</v>
      </c>
      <c r="C425" s="1" t="s">
        <v>1680</v>
      </c>
      <c r="D425" s="1" t="s">
        <v>1685</v>
      </c>
      <c r="E425" s="1" t="s">
        <v>1526</v>
      </c>
      <c r="F425" s="1" t="s">
        <v>1526</v>
      </c>
      <c r="H425" s="1" t="s">
        <v>1684</v>
      </c>
    </row>
    <row r="426" spans="1:12">
      <c r="A426" s="1" t="s">
        <v>1565</v>
      </c>
      <c r="B426" s="1" t="s">
        <v>1552</v>
      </c>
      <c r="C426" s="1" t="s">
        <v>1686</v>
      </c>
      <c r="D426" s="1" t="s">
        <v>218</v>
      </c>
      <c r="E426" s="92" t="s">
        <v>1946</v>
      </c>
      <c r="F426" s="92" t="s">
        <v>1946</v>
      </c>
      <c r="G426" s="92" t="s">
        <v>1725</v>
      </c>
      <c r="H426" s="1" t="s">
        <v>1684</v>
      </c>
      <c r="I426" s="1" t="s">
        <v>1689</v>
      </c>
      <c r="J426" s="1" t="s">
        <v>1690</v>
      </c>
      <c r="K426" s="1" t="s">
        <v>1691</v>
      </c>
      <c r="L426" s="1" t="s">
        <v>1692</v>
      </c>
    </row>
    <row r="427" spans="1:12">
      <c r="A427" s="1" t="s">
        <v>1565</v>
      </c>
      <c r="B427" s="1" t="s">
        <v>1552</v>
      </c>
      <c r="C427" s="1" t="s">
        <v>1686</v>
      </c>
      <c r="D427" s="1" t="s">
        <v>1693</v>
      </c>
      <c r="E427" s="1" t="s">
        <v>1694</v>
      </c>
      <c r="F427" s="1" t="s">
        <v>1694</v>
      </c>
      <c r="H427" s="1" t="s">
        <v>1684</v>
      </c>
      <c r="I427" s="1" t="s">
        <v>1689</v>
      </c>
      <c r="J427" s="1" t="s">
        <v>1690</v>
      </c>
      <c r="K427" s="1" t="s">
        <v>1691</v>
      </c>
      <c r="L427" s="1" t="s">
        <v>1692</v>
      </c>
    </row>
    <row r="428" spans="1:12">
      <c r="A428" s="1" t="s">
        <v>1565</v>
      </c>
      <c r="B428" s="1" t="s">
        <v>1552</v>
      </c>
      <c r="C428" s="1" t="s">
        <v>1686</v>
      </c>
      <c r="D428" s="1" t="s">
        <v>1695</v>
      </c>
      <c r="E428" s="1" t="s">
        <v>1696</v>
      </c>
      <c r="F428" s="1" t="s">
        <v>1696</v>
      </c>
      <c r="H428" s="1" t="s">
        <v>1684</v>
      </c>
      <c r="I428" s="1" t="s">
        <v>1689</v>
      </c>
      <c r="J428" s="1" t="s">
        <v>1690</v>
      </c>
      <c r="K428" s="1" t="s">
        <v>1691</v>
      </c>
      <c r="L428" s="1" t="s">
        <v>1692</v>
      </c>
    </row>
    <row r="429" spans="1:12">
      <c r="A429" s="1" t="s">
        <v>1565</v>
      </c>
      <c r="B429" s="1" t="s">
        <v>1552</v>
      </c>
      <c r="C429" s="1" t="s">
        <v>1686</v>
      </c>
      <c r="D429" s="1" t="s">
        <v>1697</v>
      </c>
      <c r="E429" s="1" t="s">
        <v>1698</v>
      </c>
      <c r="F429" s="1" t="s">
        <v>1698</v>
      </c>
      <c r="H429" s="1" t="s">
        <v>1684</v>
      </c>
      <c r="I429" s="1" t="s">
        <v>1689</v>
      </c>
      <c r="J429" s="1" t="s">
        <v>1690</v>
      </c>
      <c r="K429" s="1" t="s">
        <v>1691</v>
      </c>
      <c r="L429" s="1" t="s">
        <v>1692</v>
      </c>
    </row>
    <row r="430" spans="1:12">
      <c r="A430" s="1" t="s">
        <v>1565</v>
      </c>
      <c r="B430" s="1" t="s">
        <v>1552</v>
      </c>
      <c r="C430" s="1" t="s">
        <v>1686</v>
      </c>
      <c r="D430" s="1" t="s">
        <v>1699</v>
      </c>
      <c r="E430" s="92" t="s">
        <v>1839</v>
      </c>
      <c r="F430" s="92" t="s">
        <v>1840</v>
      </c>
      <c r="H430" s="1" t="s">
        <v>1684</v>
      </c>
      <c r="I430" s="1" t="s">
        <v>1689</v>
      </c>
      <c r="J430" s="1" t="s">
        <v>1690</v>
      </c>
      <c r="K430" s="1" t="s">
        <v>1691</v>
      </c>
      <c r="L430" s="1" t="s">
        <v>1692</v>
      </c>
    </row>
    <row r="431" spans="1:12">
      <c r="A431" s="1" t="s">
        <v>1565</v>
      </c>
      <c r="B431" s="1" t="s">
        <v>1552</v>
      </c>
      <c r="C431" s="1" t="s">
        <v>1686</v>
      </c>
      <c r="D431" s="1" t="s">
        <v>1702</v>
      </c>
      <c r="E431" s="92" t="s">
        <v>1841</v>
      </c>
      <c r="F431" s="92" t="s">
        <v>1841</v>
      </c>
      <c r="H431" s="1" t="s">
        <v>1684</v>
      </c>
      <c r="I431" s="1" t="s">
        <v>1689</v>
      </c>
      <c r="J431" s="1" t="s">
        <v>1690</v>
      </c>
      <c r="K431" s="1" t="s">
        <v>1691</v>
      </c>
      <c r="L431" s="1" t="s">
        <v>1692</v>
      </c>
    </row>
    <row r="432" spans="1:12">
      <c r="A432" s="1" t="s">
        <v>1565</v>
      </c>
      <c r="B432" s="1" t="s">
        <v>1552</v>
      </c>
      <c r="C432" s="1" t="s">
        <v>1686</v>
      </c>
      <c r="D432" s="1" t="s">
        <v>1705</v>
      </c>
      <c r="E432" s="92" t="s">
        <v>1842</v>
      </c>
      <c r="F432" s="92" t="s">
        <v>1843</v>
      </c>
      <c r="H432" s="1" t="s">
        <v>1684</v>
      </c>
      <c r="I432" s="1" t="s">
        <v>1689</v>
      </c>
      <c r="J432" s="1" t="s">
        <v>1690</v>
      </c>
      <c r="K432" s="1" t="s">
        <v>1691</v>
      </c>
      <c r="L432" s="1" t="s">
        <v>1692</v>
      </c>
    </row>
    <row r="433" spans="1:12">
      <c r="A433" s="1" t="s">
        <v>1565</v>
      </c>
      <c r="B433" s="1" t="s">
        <v>1552</v>
      </c>
      <c r="C433" s="1" t="s">
        <v>1394</v>
      </c>
      <c r="D433" s="1" t="s">
        <v>1708</v>
      </c>
      <c r="E433" s="1" t="s">
        <v>1709</v>
      </c>
      <c r="F433" s="1" t="s">
        <v>1709</v>
      </c>
      <c r="H433" s="1" t="s">
        <v>1684</v>
      </c>
      <c r="I433" s="1" t="s">
        <v>973</v>
      </c>
      <c r="J433" s="1" t="s">
        <v>1710</v>
      </c>
      <c r="K433" s="1" t="s">
        <v>1691</v>
      </c>
      <c r="L433" s="1" t="s">
        <v>1692</v>
      </c>
    </row>
    <row r="434" spans="1:12">
      <c r="A434" s="1" t="s">
        <v>1565</v>
      </c>
      <c r="B434" s="1" t="s">
        <v>1552</v>
      </c>
      <c r="C434" s="1" t="s">
        <v>1711</v>
      </c>
      <c r="D434" s="1" t="s">
        <v>218</v>
      </c>
      <c r="E434" s="92" t="s">
        <v>1907</v>
      </c>
      <c r="F434" s="92" t="s">
        <v>1907</v>
      </c>
      <c r="G434" s="92" t="s">
        <v>1791</v>
      </c>
      <c r="H434" s="1" t="s">
        <v>1684</v>
      </c>
      <c r="I434" s="1" t="s">
        <v>1689</v>
      </c>
      <c r="J434" s="1" t="s">
        <v>1714</v>
      </c>
      <c r="K434" s="1" t="s">
        <v>1715</v>
      </c>
      <c r="L434" s="1" t="s">
        <v>1716</v>
      </c>
    </row>
    <row r="435" spans="1:12">
      <c r="A435" s="1" t="s">
        <v>1565</v>
      </c>
      <c r="B435" s="1" t="s">
        <v>1552</v>
      </c>
      <c r="C435" s="1" t="s">
        <v>1711</v>
      </c>
      <c r="D435" s="1" t="s">
        <v>1693</v>
      </c>
      <c r="E435" s="1" t="s">
        <v>1908</v>
      </c>
      <c r="F435" s="1" t="s">
        <v>1908</v>
      </c>
      <c r="H435" s="1" t="s">
        <v>1684</v>
      </c>
      <c r="I435" s="1" t="s">
        <v>1689</v>
      </c>
      <c r="J435" s="1" t="s">
        <v>1714</v>
      </c>
      <c r="K435" s="1" t="s">
        <v>1715</v>
      </c>
      <c r="L435" s="1" t="s">
        <v>1716</v>
      </c>
    </row>
    <row r="436" spans="1:12">
      <c r="A436" s="1" t="s">
        <v>1565</v>
      </c>
      <c r="B436" s="1" t="s">
        <v>1552</v>
      </c>
      <c r="C436" s="1" t="s">
        <v>1711</v>
      </c>
      <c r="D436" s="1" t="s">
        <v>1695</v>
      </c>
      <c r="E436" s="1" t="s">
        <v>1745</v>
      </c>
      <c r="F436" s="1" t="s">
        <v>1745</v>
      </c>
      <c r="H436" s="1" t="s">
        <v>1684</v>
      </c>
      <c r="I436" s="1" t="s">
        <v>1689</v>
      </c>
      <c r="J436" s="1" t="s">
        <v>1714</v>
      </c>
      <c r="K436" s="1" t="s">
        <v>1715</v>
      </c>
      <c r="L436" s="1" t="s">
        <v>1716</v>
      </c>
    </row>
    <row r="437" spans="1:12">
      <c r="A437" s="1" t="s">
        <v>1565</v>
      </c>
      <c r="B437" s="1" t="s">
        <v>1552</v>
      </c>
      <c r="C437" s="1" t="s">
        <v>1711</v>
      </c>
      <c r="D437" s="1" t="s">
        <v>1697</v>
      </c>
      <c r="E437" s="1" t="s">
        <v>1698</v>
      </c>
      <c r="F437" s="1" t="s">
        <v>1698</v>
      </c>
      <c r="H437" s="1" t="s">
        <v>1684</v>
      </c>
      <c r="I437" s="1" t="s">
        <v>1689</v>
      </c>
      <c r="J437" s="1" t="s">
        <v>1714</v>
      </c>
      <c r="K437" s="1" t="s">
        <v>1715</v>
      </c>
      <c r="L437" s="1" t="s">
        <v>1716</v>
      </c>
    </row>
    <row r="438" spans="1:12">
      <c r="A438" s="1" t="s">
        <v>1565</v>
      </c>
      <c r="B438" s="1" t="s">
        <v>1552</v>
      </c>
      <c r="C438" s="1" t="s">
        <v>1711</v>
      </c>
      <c r="D438" s="1" t="s">
        <v>1699</v>
      </c>
      <c r="E438" s="92" t="s">
        <v>1832</v>
      </c>
      <c r="F438" s="92" t="s">
        <v>1833</v>
      </c>
      <c r="H438" s="1" t="s">
        <v>1684</v>
      </c>
      <c r="I438" s="1" t="s">
        <v>1689</v>
      </c>
      <c r="J438" s="1" t="s">
        <v>1714</v>
      </c>
      <c r="K438" s="1" t="s">
        <v>1715</v>
      </c>
      <c r="L438" s="1" t="s">
        <v>1716</v>
      </c>
    </row>
    <row r="439" spans="1:12">
      <c r="A439" s="1" t="s">
        <v>1565</v>
      </c>
      <c r="B439" s="1" t="s">
        <v>1552</v>
      </c>
      <c r="C439" s="1" t="s">
        <v>1711</v>
      </c>
      <c r="D439" s="1" t="s">
        <v>1702</v>
      </c>
      <c r="E439" s="92" t="s">
        <v>1942</v>
      </c>
      <c r="F439" s="92" t="s">
        <v>1943</v>
      </c>
      <c r="H439" s="1" t="s">
        <v>1684</v>
      </c>
      <c r="I439" s="1" t="s">
        <v>1689</v>
      </c>
      <c r="J439" s="1" t="s">
        <v>1714</v>
      </c>
      <c r="K439" s="1" t="s">
        <v>1715</v>
      </c>
      <c r="L439" s="1" t="s">
        <v>1716</v>
      </c>
    </row>
    <row r="440" spans="1:12">
      <c r="A440" s="1" t="s">
        <v>1565</v>
      </c>
      <c r="B440" s="1" t="s">
        <v>1552</v>
      </c>
      <c r="C440" s="1" t="s">
        <v>1711</v>
      </c>
      <c r="D440" s="1" t="s">
        <v>1705</v>
      </c>
      <c r="E440" s="92" t="s">
        <v>1944</v>
      </c>
      <c r="F440" s="92" t="s">
        <v>1836</v>
      </c>
      <c r="H440" s="1" t="s">
        <v>1684</v>
      </c>
      <c r="I440" s="1" t="s">
        <v>1689</v>
      </c>
      <c r="J440" s="1" t="s">
        <v>1714</v>
      </c>
      <c r="K440" s="1" t="s">
        <v>1715</v>
      </c>
      <c r="L440" s="1" t="s">
        <v>1716</v>
      </c>
    </row>
    <row r="441" spans="1:12">
      <c r="A441" s="1" t="s">
        <v>1565</v>
      </c>
      <c r="B441" s="1" t="s">
        <v>1552</v>
      </c>
      <c r="C441" s="1" t="s">
        <v>1723</v>
      </c>
      <c r="D441" s="1" t="s">
        <v>218</v>
      </c>
      <c r="E441" s="92" t="s">
        <v>1945</v>
      </c>
      <c r="F441" s="92" t="s">
        <v>1945</v>
      </c>
      <c r="G441" s="92" t="s">
        <v>1775</v>
      </c>
      <c r="H441" s="1" t="s">
        <v>1684</v>
      </c>
      <c r="I441" s="1" t="s">
        <v>973</v>
      </c>
      <c r="J441" s="1" t="s">
        <v>1726</v>
      </c>
      <c r="K441" s="1" t="s">
        <v>1727</v>
      </c>
      <c r="L441" s="1" t="s">
        <v>1728</v>
      </c>
    </row>
    <row r="442" spans="1:12">
      <c r="A442" s="1" t="s">
        <v>1565</v>
      </c>
      <c r="B442" s="1" t="s">
        <v>1552</v>
      </c>
      <c r="C442" s="1" t="s">
        <v>1723</v>
      </c>
      <c r="D442" s="1" t="s">
        <v>1693</v>
      </c>
      <c r="E442" s="1" t="s">
        <v>1694</v>
      </c>
      <c r="F442" s="1" t="s">
        <v>1694</v>
      </c>
      <c r="H442" s="1" t="s">
        <v>1684</v>
      </c>
      <c r="I442" s="1" t="s">
        <v>973</v>
      </c>
      <c r="J442" s="1" t="s">
        <v>1726</v>
      </c>
      <c r="K442" s="1" t="s">
        <v>1727</v>
      </c>
      <c r="L442" s="1" t="s">
        <v>1728</v>
      </c>
    </row>
    <row r="443" spans="1:12">
      <c r="A443" s="1" t="s">
        <v>1565</v>
      </c>
      <c r="B443" s="1" t="s">
        <v>1552</v>
      </c>
      <c r="C443" s="1" t="s">
        <v>1723</v>
      </c>
      <c r="D443" s="1" t="s">
        <v>1695</v>
      </c>
      <c r="E443" s="1" t="s">
        <v>1694</v>
      </c>
      <c r="F443" s="1" t="s">
        <v>1694</v>
      </c>
      <c r="H443" s="1" t="s">
        <v>1684</v>
      </c>
      <c r="I443" s="1" t="s">
        <v>973</v>
      </c>
      <c r="J443" s="1" t="s">
        <v>1726</v>
      </c>
      <c r="K443" s="1" t="s">
        <v>1727</v>
      </c>
      <c r="L443" s="1" t="s">
        <v>1728</v>
      </c>
    </row>
    <row r="444" spans="1:12">
      <c r="A444" s="1" t="s">
        <v>1565</v>
      </c>
      <c r="B444" s="1" t="s">
        <v>1552</v>
      </c>
      <c r="C444" s="1" t="s">
        <v>1723</v>
      </c>
      <c r="D444" s="1" t="s">
        <v>1697</v>
      </c>
      <c r="E444" s="1" t="s">
        <v>1698</v>
      </c>
      <c r="F444" s="1" t="s">
        <v>1698</v>
      </c>
      <c r="H444" s="1" t="s">
        <v>1684</v>
      </c>
      <c r="I444" s="1" t="s">
        <v>973</v>
      </c>
      <c r="J444" s="1" t="s">
        <v>1726</v>
      </c>
      <c r="K444" s="1" t="s">
        <v>1727</v>
      </c>
      <c r="L444" s="1" t="s">
        <v>1728</v>
      </c>
    </row>
    <row r="445" spans="1:12">
      <c r="A445" s="1" t="s">
        <v>1565</v>
      </c>
      <c r="B445" s="1" t="s">
        <v>1552</v>
      </c>
      <c r="C445" s="1" t="s">
        <v>1729</v>
      </c>
      <c r="D445" s="1" t="s">
        <v>1708</v>
      </c>
      <c r="E445" s="1" t="s">
        <v>1730</v>
      </c>
      <c r="F445" s="1" t="s">
        <v>1730</v>
      </c>
      <c r="H445" s="1" t="s">
        <v>1684</v>
      </c>
      <c r="I445" s="1" t="s">
        <v>1731</v>
      </c>
      <c r="J445" s="1" t="s">
        <v>1732</v>
      </c>
      <c r="K445" s="1" t="s">
        <v>1733</v>
      </c>
      <c r="L445" s="1" t="s">
        <v>1734</v>
      </c>
    </row>
    <row r="446" spans="1:12">
      <c r="A446" s="1" t="s">
        <v>1566</v>
      </c>
      <c r="B446" s="1" t="s">
        <v>1552</v>
      </c>
      <c r="C446" s="1" t="s">
        <v>1680</v>
      </c>
      <c r="D446" s="1" t="s">
        <v>1681</v>
      </c>
      <c r="E446" s="92" t="s">
        <v>1735</v>
      </c>
      <c r="F446" s="92" t="s">
        <v>1736</v>
      </c>
      <c r="H446" s="1" t="s">
        <v>1684</v>
      </c>
    </row>
    <row r="447" spans="1:12">
      <c r="A447" s="1" t="s">
        <v>1566</v>
      </c>
      <c r="B447" s="1" t="s">
        <v>1552</v>
      </c>
      <c r="C447" s="1" t="s">
        <v>1680</v>
      </c>
      <c r="D447" s="1" t="s">
        <v>1685</v>
      </c>
      <c r="E447" s="1" t="s">
        <v>1526</v>
      </c>
      <c r="F447" s="1" t="s">
        <v>1526</v>
      </c>
      <c r="H447" s="1" t="s">
        <v>1684</v>
      </c>
    </row>
    <row r="448" spans="1:12">
      <c r="A448" s="1" t="s">
        <v>1566</v>
      </c>
      <c r="B448" s="1" t="s">
        <v>1552</v>
      </c>
      <c r="C448" s="1" t="s">
        <v>1686</v>
      </c>
      <c r="D448" s="1" t="s">
        <v>218</v>
      </c>
      <c r="E448" s="92" t="s">
        <v>1947</v>
      </c>
      <c r="F448" s="92" t="s">
        <v>1947</v>
      </c>
      <c r="G448" s="92" t="s">
        <v>1738</v>
      </c>
      <c r="H448" s="1" t="s">
        <v>1684</v>
      </c>
      <c r="I448" s="1" t="s">
        <v>1689</v>
      </c>
      <c r="J448" s="1" t="s">
        <v>1690</v>
      </c>
      <c r="K448" s="1" t="s">
        <v>1691</v>
      </c>
      <c r="L448" s="1" t="s">
        <v>1692</v>
      </c>
    </row>
    <row r="449" spans="1:12">
      <c r="A449" s="1" t="s">
        <v>1566</v>
      </c>
      <c r="B449" s="1" t="s">
        <v>1552</v>
      </c>
      <c r="C449" s="1" t="s">
        <v>1686</v>
      </c>
      <c r="D449" s="1" t="s">
        <v>1693</v>
      </c>
      <c r="E449" s="1" t="s">
        <v>1694</v>
      </c>
      <c r="F449" s="1" t="s">
        <v>1694</v>
      </c>
      <c r="H449" s="1" t="s">
        <v>1684</v>
      </c>
      <c r="I449" s="1" t="s">
        <v>1689</v>
      </c>
      <c r="J449" s="1" t="s">
        <v>1690</v>
      </c>
      <c r="K449" s="1" t="s">
        <v>1691</v>
      </c>
      <c r="L449" s="1" t="s">
        <v>1692</v>
      </c>
    </row>
    <row r="450" spans="1:12">
      <c r="A450" s="1" t="s">
        <v>1566</v>
      </c>
      <c r="B450" s="1" t="s">
        <v>1552</v>
      </c>
      <c r="C450" s="1" t="s">
        <v>1686</v>
      </c>
      <c r="D450" s="1" t="s">
        <v>1695</v>
      </c>
      <c r="E450" s="1" t="s">
        <v>1849</v>
      </c>
      <c r="F450" s="1" t="s">
        <v>1849</v>
      </c>
      <c r="H450" s="1" t="s">
        <v>1684</v>
      </c>
      <c r="I450" s="1" t="s">
        <v>1689</v>
      </c>
      <c r="J450" s="1" t="s">
        <v>1690</v>
      </c>
      <c r="K450" s="1" t="s">
        <v>1691</v>
      </c>
      <c r="L450" s="1" t="s">
        <v>1692</v>
      </c>
    </row>
    <row r="451" spans="1:12">
      <c r="A451" s="1" t="s">
        <v>1566</v>
      </c>
      <c r="B451" s="1" t="s">
        <v>1552</v>
      </c>
      <c r="C451" s="1" t="s">
        <v>1686</v>
      </c>
      <c r="D451" s="1" t="s">
        <v>1697</v>
      </c>
      <c r="E451" s="1" t="s">
        <v>1698</v>
      </c>
      <c r="F451" s="1" t="s">
        <v>1698</v>
      </c>
      <c r="H451" s="1" t="s">
        <v>1684</v>
      </c>
      <c r="I451" s="1" t="s">
        <v>1689</v>
      </c>
      <c r="J451" s="1" t="s">
        <v>1690</v>
      </c>
      <c r="K451" s="1" t="s">
        <v>1691</v>
      </c>
      <c r="L451" s="1" t="s">
        <v>1692</v>
      </c>
    </row>
    <row r="452" spans="1:12">
      <c r="A452" s="1" t="s">
        <v>1566</v>
      </c>
      <c r="B452" s="1" t="s">
        <v>1552</v>
      </c>
      <c r="C452" s="1" t="s">
        <v>1686</v>
      </c>
      <c r="D452" s="1" t="s">
        <v>1699</v>
      </c>
      <c r="E452" s="92" t="s">
        <v>1839</v>
      </c>
      <c r="F452" s="92" t="s">
        <v>1840</v>
      </c>
      <c r="H452" s="1" t="s">
        <v>1684</v>
      </c>
      <c r="I452" s="1" t="s">
        <v>1689</v>
      </c>
      <c r="J452" s="1" t="s">
        <v>1690</v>
      </c>
      <c r="K452" s="1" t="s">
        <v>1691</v>
      </c>
      <c r="L452" s="1" t="s">
        <v>1692</v>
      </c>
    </row>
    <row r="453" spans="1:12">
      <c r="A453" s="1" t="s">
        <v>1566</v>
      </c>
      <c r="B453" s="1" t="s">
        <v>1552</v>
      </c>
      <c r="C453" s="1" t="s">
        <v>1686</v>
      </c>
      <c r="D453" s="1" t="s">
        <v>1702</v>
      </c>
      <c r="E453" s="92" t="s">
        <v>1841</v>
      </c>
      <c r="F453" s="92" t="s">
        <v>1841</v>
      </c>
      <c r="H453" s="1" t="s">
        <v>1684</v>
      </c>
      <c r="I453" s="1" t="s">
        <v>1689</v>
      </c>
      <c r="J453" s="1" t="s">
        <v>1690</v>
      </c>
      <c r="K453" s="1" t="s">
        <v>1691</v>
      </c>
      <c r="L453" s="1" t="s">
        <v>1692</v>
      </c>
    </row>
    <row r="454" spans="1:12">
      <c r="A454" s="1" t="s">
        <v>1566</v>
      </c>
      <c r="B454" s="1" t="s">
        <v>1552</v>
      </c>
      <c r="C454" s="1" t="s">
        <v>1686</v>
      </c>
      <c r="D454" s="1" t="s">
        <v>1705</v>
      </c>
      <c r="E454" s="92" t="s">
        <v>1842</v>
      </c>
      <c r="F454" s="92" t="s">
        <v>1843</v>
      </c>
      <c r="H454" s="1" t="s">
        <v>1684</v>
      </c>
      <c r="I454" s="1" t="s">
        <v>1689</v>
      </c>
      <c r="J454" s="1" t="s">
        <v>1690</v>
      </c>
      <c r="K454" s="1" t="s">
        <v>1691</v>
      </c>
      <c r="L454" s="1" t="s">
        <v>1692</v>
      </c>
    </row>
    <row r="455" spans="1:12">
      <c r="A455" s="1" t="s">
        <v>1566</v>
      </c>
      <c r="B455" s="1" t="s">
        <v>1552</v>
      </c>
      <c r="C455" s="1" t="s">
        <v>1394</v>
      </c>
      <c r="D455" s="1" t="s">
        <v>1708</v>
      </c>
      <c r="E455" s="1" t="s">
        <v>1709</v>
      </c>
      <c r="F455" s="1" t="s">
        <v>1709</v>
      </c>
      <c r="H455" s="1" t="s">
        <v>1684</v>
      </c>
      <c r="I455" s="1" t="s">
        <v>973</v>
      </c>
      <c r="J455" s="1" t="s">
        <v>1710</v>
      </c>
      <c r="K455" s="1" t="s">
        <v>1691</v>
      </c>
      <c r="L455" s="1" t="s">
        <v>1692</v>
      </c>
    </row>
    <row r="456" spans="1:12">
      <c r="A456" s="1" t="s">
        <v>1566</v>
      </c>
      <c r="B456" s="1" t="s">
        <v>1552</v>
      </c>
      <c r="C456" s="1" t="s">
        <v>1711</v>
      </c>
      <c r="D456" s="1" t="s">
        <v>218</v>
      </c>
      <c r="E456" s="92" t="s">
        <v>1948</v>
      </c>
      <c r="F456" s="92" t="s">
        <v>1948</v>
      </c>
      <c r="G456" s="92" t="s">
        <v>1775</v>
      </c>
      <c r="H456" s="1" t="s">
        <v>1684</v>
      </c>
      <c r="I456" s="1" t="s">
        <v>1689</v>
      </c>
      <c r="J456" s="1" t="s">
        <v>1714</v>
      </c>
      <c r="K456" s="1" t="s">
        <v>1715</v>
      </c>
      <c r="L456" s="1" t="s">
        <v>1716</v>
      </c>
    </row>
    <row r="457" spans="1:12">
      <c r="A457" s="1" t="s">
        <v>1566</v>
      </c>
      <c r="B457" s="1" t="s">
        <v>1552</v>
      </c>
      <c r="C457" s="1" t="s">
        <v>1711</v>
      </c>
      <c r="D457" s="1" t="s">
        <v>1693</v>
      </c>
      <c r="E457" s="1" t="s">
        <v>1766</v>
      </c>
      <c r="F457" s="1" t="s">
        <v>1766</v>
      </c>
      <c r="H457" s="1" t="s">
        <v>1684</v>
      </c>
      <c r="I457" s="1" t="s">
        <v>1689</v>
      </c>
      <c r="J457" s="1" t="s">
        <v>1714</v>
      </c>
      <c r="K457" s="1" t="s">
        <v>1715</v>
      </c>
      <c r="L457" s="1" t="s">
        <v>1716</v>
      </c>
    </row>
    <row r="458" spans="1:12">
      <c r="A458" s="1" t="s">
        <v>1566</v>
      </c>
      <c r="B458" s="1" t="s">
        <v>1552</v>
      </c>
      <c r="C458" s="1" t="s">
        <v>1711</v>
      </c>
      <c r="D458" s="1" t="s">
        <v>1695</v>
      </c>
      <c r="E458" s="1" t="s">
        <v>1757</v>
      </c>
      <c r="F458" s="1" t="s">
        <v>1757</v>
      </c>
      <c r="H458" s="1" t="s">
        <v>1684</v>
      </c>
      <c r="I458" s="1" t="s">
        <v>1689</v>
      </c>
      <c r="J458" s="1" t="s">
        <v>1714</v>
      </c>
      <c r="K458" s="1" t="s">
        <v>1715</v>
      </c>
      <c r="L458" s="1" t="s">
        <v>1716</v>
      </c>
    </row>
    <row r="459" spans="1:12">
      <c r="A459" s="1" t="s">
        <v>1566</v>
      </c>
      <c r="B459" s="1" t="s">
        <v>1552</v>
      </c>
      <c r="C459" s="1" t="s">
        <v>1711</v>
      </c>
      <c r="D459" s="1" t="s">
        <v>1697</v>
      </c>
      <c r="E459" s="1" t="s">
        <v>1698</v>
      </c>
      <c r="F459" s="1" t="s">
        <v>1698</v>
      </c>
      <c r="H459" s="1" t="s">
        <v>1684</v>
      </c>
      <c r="I459" s="1" t="s">
        <v>1689</v>
      </c>
      <c r="J459" s="1" t="s">
        <v>1714</v>
      </c>
      <c r="K459" s="1" t="s">
        <v>1715</v>
      </c>
      <c r="L459" s="1" t="s">
        <v>1716</v>
      </c>
    </row>
    <row r="460" spans="1:12">
      <c r="A460" s="1" t="s">
        <v>1566</v>
      </c>
      <c r="B460" s="1" t="s">
        <v>1552</v>
      </c>
      <c r="C460" s="1" t="s">
        <v>1711</v>
      </c>
      <c r="D460" s="1" t="s">
        <v>1699</v>
      </c>
      <c r="E460" s="92" t="s">
        <v>1832</v>
      </c>
      <c r="F460" s="92" t="s">
        <v>1833</v>
      </c>
      <c r="H460" s="1" t="s">
        <v>1684</v>
      </c>
      <c r="I460" s="1" t="s">
        <v>1689</v>
      </c>
      <c r="J460" s="1" t="s">
        <v>1714</v>
      </c>
      <c r="K460" s="1" t="s">
        <v>1715</v>
      </c>
      <c r="L460" s="1" t="s">
        <v>1716</v>
      </c>
    </row>
    <row r="461" spans="1:12">
      <c r="A461" s="1" t="s">
        <v>1566</v>
      </c>
      <c r="B461" s="1" t="s">
        <v>1552</v>
      </c>
      <c r="C461" s="1" t="s">
        <v>1711</v>
      </c>
      <c r="D461" s="1" t="s">
        <v>1702</v>
      </c>
      <c r="E461" s="92" t="s">
        <v>1942</v>
      </c>
      <c r="F461" s="92" t="s">
        <v>1943</v>
      </c>
      <c r="H461" s="1" t="s">
        <v>1684</v>
      </c>
      <c r="I461" s="1" t="s">
        <v>1689</v>
      </c>
      <c r="J461" s="1" t="s">
        <v>1714</v>
      </c>
      <c r="K461" s="1" t="s">
        <v>1715</v>
      </c>
      <c r="L461" s="1" t="s">
        <v>1716</v>
      </c>
    </row>
    <row r="462" spans="1:12">
      <c r="A462" s="1" t="s">
        <v>1566</v>
      </c>
      <c r="B462" s="1" t="s">
        <v>1552</v>
      </c>
      <c r="C462" s="1" t="s">
        <v>1711</v>
      </c>
      <c r="D462" s="1" t="s">
        <v>1705</v>
      </c>
      <c r="E462" s="92" t="s">
        <v>1944</v>
      </c>
      <c r="F462" s="92" t="s">
        <v>1836</v>
      </c>
      <c r="H462" s="1" t="s">
        <v>1684</v>
      </c>
      <c r="I462" s="1" t="s">
        <v>1689</v>
      </c>
      <c r="J462" s="1" t="s">
        <v>1714</v>
      </c>
      <c r="K462" s="1" t="s">
        <v>1715</v>
      </c>
      <c r="L462" s="1" t="s">
        <v>1716</v>
      </c>
    </row>
    <row r="463" spans="1:12">
      <c r="A463" s="1" t="s">
        <v>1566</v>
      </c>
      <c r="B463" s="1" t="s">
        <v>1552</v>
      </c>
      <c r="C463" s="1" t="s">
        <v>1723</v>
      </c>
      <c r="D463" s="1" t="s">
        <v>218</v>
      </c>
      <c r="E463" s="92" t="s">
        <v>1945</v>
      </c>
      <c r="F463" s="92" t="s">
        <v>1945</v>
      </c>
      <c r="G463" s="92" t="s">
        <v>1775</v>
      </c>
      <c r="H463" s="1" t="s">
        <v>1684</v>
      </c>
      <c r="I463" s="1" t="s">
        <v>973</v>
      </c>
      <c r="J463" s="1" t="s">
        <v>1726</v>
      </c>
      <c r="K463" s="1" t="s">
        <v>1727</v>
      </c>
      <c r="L463" s="1" t="s">
        <v>1728</v>
      </c>
    </row>
    <row r="464" spans="1:12">
      <c r="A464" s="1" t="s">
        <v>1566</v>
      </c>
      <c r="B464" s="1" t="s">
        <v>1552</v>
      </c>
      <c r="C464" s="1" t="s">
        <v>1723</v>
      </c>
      <c r="D464" s="1" t="s">
        <v>1693</v>
      </c>
      <c r="E464" s="1" t="s">
        <v>1694</v>
      </c>
      <c r="F464" s="1" t="s">
        <v>1694</v>
      </c>
      <c r="H464" s="1" t="s">
        <v>1684</v>
      </c>
      <c r="I464" s="1" t="s">
        <v>973</v>
      </c>
      <c r="J464" s="1" t="s">
        <v>1726</v>
      </c>
      <c r="K464" s="1" t="s">
        <v>1727</v>
      </c>
      <c r="L464" s="1" t="s">
        <v>1728</v>
      </c>
    </row>
    <row r="465" spans="1:12">
      <c r="A465" s="1" t="s">
        <v>1566</v>
      </c>
      <c r="B465" s="1" t="s">
        <v>1552</v>
      </c>
      <c r="C465" s="1" t="s">
        <v>1723</v>
      </c>
      <c r="D465" s="1" t="s">
        <v>1695</v>
      </c>
      <c r="E465" s="1" t="s">
        <v>1694</v>
      </c>
      <c r="F465" s="1" t="s">
        <v>1694</v>
      </c>
      <c r="H465" s="1" t="s">
        <v>1684</v>
      </c>
      <c r="I465" s="1" t="s">
        <v>973</v>
      </c>
      <c r="J465" s="1" t="s">
        <v>1726</v>
      </c>
      <c r="K465" s="1" t="s">
        <v>1727</v>
      </c>
      <c r="L465" s="1" t="s">
        <v>1728</v>
      </c>
    </row>
    <row r="466" spans="1:12">
      <c r="A466" s="1" t="s">
        <v>1566</v>
      </c>
      <c r="B466" s="1" t="s">
        <v>1552</v>
      </c>
      <c r="C466" s="1" t="s">
        <v>1723</v>
      </c>
      <c r="D466" s="1" t="s">
        <v>1697</v>
      </c>
      <c r="E466" s="1" t="s">
        <v>1698</v>
      </c>
      <c r="F466" s="1" t="s">
        <v>1698</v>
      </c>
      <c r="H466" s="1" t="s">
        <v>1684</v>
      </c>
      <c r="I466" s="1" t="s">
        <v>973</v>
      </c>
      <c r="J466" s="1" t="s">
        <v>1726</v>
      </c>
      <c r="K466" s="1" t="s">
        <v>1727</v>
      </c>
      <c r="L466" s="1" t="s">
        <v>1728</v>
      </c>
    </row>
    <row r="467" spans="1:12">
      <c r="A467" s="1" t="s">
        <v>1566</v>
      </c>
      <c r="B467" s="1" t="s">
        <v>1552</v>
      </c>
      <c r="C467" s="1" t="s">
        <v>1729</v>
      </c>
      <c r="D467" s="1" t="s">
        <v>1708</v>
      </c>
      <c r="E467" s="1" t="s">
        <v>1730</v>
      </c>
      <c r="F467" s="1" t="s">
        <v>1730</v>
      </c>
      <c r="H467" s="1" t="s">
        <v>1684</v>
      </c>
      <c r="I467" s="1" t="s">
        <v>1731</v>
      </c>
      <c r="J467" s="1" t="s">
        <v>1732</v>
      </c>
      <c r="K467" s="1" t="s">
        <v>1733</v>
      </c>
      <c r="L467" s="1" t="s">
        <v>1734</v>
      </c>
    </row>
    <row r="468" spans="1:12">
      <c r="A468" s="1" t="s">
        <v>1568</v>
      </c>
      <c r="B468" s="1" t="s">
        <v>1552</v>
      </c>
      <c r="C468" s="1" t="s">
        <v>1680</v>
      </c>
      <c r="D468" s="1" t="s">
        <v>1681</v>
      </c>
      <c r="E468" s="92" t="s">
        <v>1911</v>
      </c>
      <c r="F468" s="92" t="s">
        <v>1912</v>
      </c>
      <c r="H468" s="1" t="s">
        <v>1684</v>
      </c>
    </row>
    <row r="469" spans="1:12">
      <c r="A469" s="1" t="s">
        <v>1568</v>
      </c>
      <c r="B469" s="1" t="s">
        <v>1552</v>
      </c>
      <c r="C469" s="1" t="s">
        <v>1680</v>
      </c>
      <c r="D469" s="1" t="s">
        <v>1685</v>
      </c>
      <c r="E469" s="1" t="s">
        <v>1526</v>
      </c>
      <c r="F469" s="1" t="s">
        <v>1526</v>
      </c>
      <c r="H469" s="1" t="s">
        <v>1684</v>
      </c>
    </row>
    <row r="470" spans="1:12">
      <c r="A470" s="1" t="s">
        <v>1568</v>
      </c>
      <c r="B470" s="1" t="s">
        <v>1552</v>
      </c>
      <c r="C470" s="1" t="s">
        <v>1686</v>
      </c>
      <c r="D470" s="1" t="s">
        <v>218</v>
      </c>
      <c r="E470" s="92" t="s">
        <v>1949</v>
      </c>
      <c r="F470" s="92" t="s">
        <v>1949</v>
      </c>
      <c r="G470" s="92" t="s">
        <v>1688</v>
      </c>
      <c r="H470" s="1" t="s">
        <v>1684</v>
      </c>
      <c r="I470" s="1" t="s">
        <v>1689</v>
      </c>
      <c r="J470" s="1" t="s">
        <v>1690</v>
      </c>
      <c r="K470" s="1" t="s">
        <v>1691</v>
      </c>
      <c r="L470" s="1" t="s">
        <v>1692</v>
      </c>
    </row>
    <row r="471" spans="1:12">
      <c r="A471" s="1" t="s">
        <v>1568</v>
      </c>
      <c r="B471" s="1" t="s">
        <v>1552</v>
      </c>
      <c r="C471" s="1" t="s">
        <v>1686</v>
      </c>
      <c r="D471" s="1" t="s">
        <v>1693</v>
      </c>
      <c r="E471" s="1" t="s">
        <v>1694</v>
      </c>
      <c r="F471" s="1" t="s">
        <v>1694</v>
      </c>
      <c r="H471" s="1" t="s">
        <v>1684</v>
      </c>
      <c r="I471" s="1" t="s">
        <v>1689</v>
      </c>
      <c r="J471" s="1" t="s">
        <v>1690</v>
      </c>
      <c r="K471" s="1" t="s">
        <v>1691</v>
      </c>
      <c r="L471" s="1" t="s">
        <v>1692</v>
      </c>
    </row>
    <row r="472" spans="1:12">
      <c r="A472" s="1" t="s">
        <v>1568</v>
      </c>
      <c r="B472" s="1" t="s">
        <v>1552</v>
      </c>
      <c r="C472" s="1" t="s">
        <v>1686</v>
      </c>
      <c r="D472" s="1" t="s">
        <v>1695</v>
      </c>
      <c r="E472" s="1" t="s">
        <v>1696</v>
      </c>
      <c r="F472" s="1" t="s">
        <v>1696</v>
      </c>
      <c r="H472" s="1" t="s">
        <v>1684</v>
      </c>
      <c r="I472" s="1" t="s">
        <v>1689</v>
      </c>
      <c r="J472" s="1" t="s">
        <v>1690</v>
      </c>
      <c r="K472" s="1" t="s">
        <v>1691</v>
      </c>
      <c r="L472" s="1" t="s">
        <v>1692</v>
      </c>
    </row>
    <row r="473" spans="1:12">
      <c r="A473" s="1" t="s">
        <v>1568</v>
      </c>
      <c r="B473" s="1" t="s">
        <v>1552</v>
      </c>
      <c r="C473" s="1" t="s">
        <v>1686</v>
      </c>
      <c r="D473" s="1" t="s">
        <v>1697</v>
      </c>
      <c r="E473" s="1" t="s">
        <v>1698</v>
      </c>
      <c r="F473" s="1" t="s">
        <v>1698</v>
      </c>
      <c r="H473" s="1" t="s">
        <v>1684</v>
      </c>
      <c r="I473" s="1" t="s">
        <v>1689</v>
      </c>
      <c r="J473" s="1" t="s">
        <v>1690</v>
      </c>
      <c r="K473" s="1" t="s">
        <v>1691</v>
      </c>
      <c r="L473" s="1" t="s">
        <v>1692</v>
      </c>
    </row>
    <row r="474" spans="1:12">
      <c r="A474" s="1" t="s">
        <v>1568</v>
      </c>
      <c r="B474" s="1" t="s">
        <v>1552</v>
      </c>
      <c r="C474" s="1" t="s">
        <v>1686</v>
      </c>
      <c r="D474" s="1" t="s">
        <v>1699</v>
      </c>
      <c r="E474" s="92" t="s">
        <v>1950</v>
      </c>
      <c r="F474" s="92" t="s">
        <v>1951</v>
      </c>
      <c r="H474" s="1" t="s">
        <v>1684</v>
      </c>
      <c r="I474" s="1" t="s">
        <v>1689</v>
      </c>
      <c r="J474" s="1" t="s">
        <v>1690</v>
      </c>
      <c r="K474" s="1" t="s">
        <v>1691</v>
      </c>
      <c r="L474" s="1" t="s">
        <v>1692</v>
      </c>
    </row>
    <row r="475" spans="1:12">
      <c r="A475" s="1" t="s">
        <v>1568</v>
      </c>
      <c r="B475" s="1" t="s">
        <v>1552</v>
      </c>
      <c r="C475" s="1" t="s">
        <v>1686</v>
      </c>
      <c r="D475" s="1" t="s">
        <v>1702</v>
      </c>
      <c r="E475" s="92" t="s">
        <v>1952</v>
      </c>
      <c r="F475" s="92" t="s">
        <v>1953</v>
      </c>
      <c r="H475" s="1" t="s">
        <v>1684</v>
      </c>
      <c r="I475" s="1" t="s">
        <v>1689</v>
      </c>
      <c r="J475" s="1" t="s">
        <v>1690</v>
      </c>
      <c r="K475" s="1" t="s">
        <v>1691</v>
      </c>
      <c r="L475" s="1" t="s">
        <v>1692</v>
      </c>
    </row>
    <row r="476" spans="1:12">
      <c r="A476" s="1" t="s">
        <v>1568</v>
      </c>
      <c r="B476" s="1" t="s">
        <v>1552</v>
      </c>
      <c r="C476" s="1" t="s">
        <v>1686</v>
      </c>
      <c r="D476" s="1" t="s">
        <v>1705</v>
      </c>
      <c r="E476" s="92" t="s">
        <v>1954</v>
      </c>
      <c r="F476" s="92" t="s">
        <v>1740</v>
      </c>
      <c r="H476" s="1" t="s">
        <v>1684</v>
      </c>
      <c r="I476" s="1" t="s">
        <v>1689</v>
      </c>
      <c r="J476" s="1" t="s">
        <v>1690</v>
      </c>
      <c r="K476" s="1" t="s">
        <v>1691</v>
      </c>
      <c r="L476" s="1" t="s">
        <v>1692</v>
      </c>
    </row>
    <row r="477" spans="1:12">
      <c r="A477" s="1" t="s">
        <v>1568</v>
      </c>
      <c r="B477" s="1" t="s">
        <v>1552</v>
      </c>
      <c r="C477" s="1" t="s">
        <v>1394</v>
      </c>
      <c r="D477" s="1" t="s">
        <v>1708</v>
      </c>
      <c r="E477" s="1" t="s">
        <v>1709</v>
      </c>
      <c r="F477" s="1" t="s">
        <v>1709</v>
      </c>
      <c r="H477" s="1" t="s">
        <v>1684</v>
      </c>
      <c r="I477" s="1" t="s">
        <v>973</v>
      </c>
      <c r="J477" s="1" t="s">
        <v>1710</v>
      </c>
      <c r="K477" s="1" t="s">
        <v>1691</v>
      </c>
      <c r="L477" s="1" t="s">
        <v>1692</v>
      </c>
    </row>
    <row r="478" spans="1:12">
      <c r="A478" s="1" t="s">
        <v>1568</v>
      </c>
      <c r="B478" s="1" t="s">
        <v>1552</v>
      </c>
      <c r="C478" s="1" t="s">
        <v>1711</v>
      </c>
      <c r="D478" s="1" t="s">
        <v>218</v>
      </c>
      <c r="E478" s="92" t="s">
        <v>1891</v>
      </c>
      <c r="F478" s="92" t="s">
        <v>1891</v>
      </c>
      <c r="G478" s="92" t="s">
        <v>1765</v>
      </c>
      <c r="H478" s="1" t="s">
        <v>1684</v>
      </c>
      <c r="I478" s="1" t="s">
        <v>1689</v>
      </c>
      <c r="J478" s="1" t="s">
        <v>1714</v>
      </c>
      <c r="K478" s="1" t="s">
        <v>1715</v>
      </c>
      <c r="L478" s="1" t="s">
        <v>1716</v>
      </c>
    </row>
    <row r="479" spans="1:12">
      <c r="A479" s="1" t="s">
        <v>1568</v>
      </c>
      <c r="B479" s="1" t="s">
        <v>1552</v>
      </c>
      <c r="C479" s="1" t="s">
        <v>1711</v>
      </c>
      <c r="D479" s="1" t="s">
        <v>1693</v>
      </c>
      <c r="E479" s="1" t="s">
        <v>1694</v>
      </c>
      <c r="F479" s="1" t="s">
        <v>1694</v>
      </c>
      <c r="H479" s="1" t="s">
        <v>1684</v>
      </c>
      <c r="I479" s="1" t="s">
        <v>1689</v>
      </c>
      <c r="J479" s="1" t="s">
        <v>1714</v>
      </c>
      <c r="K479" s="1" t="s">
        <v>1715</v>
      </c>
      <c r="L479" s="1" t="s">
        <v>1716</v>
      </c>
    </row>
    <row r="480" spans="1:12">
      <c r="A480" s="1" t="s">
        <v>1568</v>
      </c>
      <c r="B480" s="1" t="s">
        <v>1552</v>
      </c>
      <c r="C480" s="1" t="s">
        <v>1711</v>
      </c>
      <c r="D480" s="1" t="s">
        <v>1695</v>
      </c>
      <c r="E480" s="1" t="s">
        <v>1694</v>
      </c>
      <c r="F480" s="1" t="s">
        <v>1694</v>
      </c>
      <c r="H480" s="1" t="s">
        <v>1684</v>
      </c>
      <c r="I480" s="1" t="s">
        <v>1689</v>
      </c>
      <c r="J480" s="1" t="s">
        <v>1714</v>
      </c>
      <c r="K480" s="1" t="s">
        <v>1715</v>
      </c>
      <c r="L480" s="1" t="s">
        <v>1716</v>
      </c>
    </row>
    <row r="481" spans="1:12">
      <c r="A481" s="1" t="s">
        <v>1568</v>
      </c>
      <c r="B481" s="1" t="s">
        <v>1552</v>
      </c>
      <c r="C481" s="1" t="s">
        <v>1711</v>
      </c>
      <c r="D481" s="1" t="s">
        <v>1697</v>
      </c>
      <c r="E481" s="1" t="s">
        <v>1698</v>
      </c>
      <c r="F481" s="1" t="s">
        <v>1698</v>
      </c>
      <c r="H481" s="1" t="s">
        <v>1684</v>
      </c>
      <c r="I481" s="1" t="s">
        <v>1689</v>
      </c>
      <c r="J481" s="1" t="s">
        <v>1714</v>
      </c>
      <c r="K481" s="1" t="s">
        <v>1715</v>
      </c>
      <c r="L481" s="1" t="s">
        <v>1716</v>
      </c>
    </row>
    <row r="482" spans="1:12">
      <c r="A482" s="1" t="s">
        <v>1568</v>
      </c>
      <c r="B482" s="1" t="s">
        <v>1552</v>
      </c>
      <c r="C482" s="1" t="s">
        <v>1711</v>
      </c>
      <c r="D482" s="1" t="s">
        <v>1699</v>
      </c>
      <c r="E482" s="92" t="s">
        <v>1832</v>
      </c>
      <c r="F482" s="92" t="s">
        <v>1833</v>
      </c>
      <c r="H482" s="1" t="s">
        <v>1684</v>
      </c>
      <c r="I482" s="1" t="s">
        <v>1689</v>
      </c>
      <c r="J482" s="1" t="s">
        <v>1714</v>
      </c>
      <c r="K482" s="1" t="s">
        <v>1715</v>
      </c>
      <c r="L482" s="1" t="s">
        <v>1716</v>
      </c>
    </row>
    <row r="483" spans="1:12">
      <c r="A483" s="1" t="s">
        <v>1568</v>
      </c>
      <c r="B483" s="1" t="s">
        <v>1552</v>
      </c>
      <c r="C483" s="1" t="s">
        <v>1711</v>
      </c>
      <c r="D483" s="1" t="s">
        <v>1702</v>
      </c>
      <c r="E483" s="92" t="s">
        <v>1955</v>
      </c>
      <c r="F483" s="92" t="s">
        <v>1956</v>
      </c>
      <c r="H483" s="1" t="s">
        <v>1684</v>
      </c>
      <c r="I483" s="1" t="s">
        <v>1689</v>
      </c>
      <c r="J483" s="1" t="s">
        <v>1714</v>
      </c>
      <c r="K483" s="1" t="s">
        <v>1715</v>
      </c>
      <c r="L483" s="1" t="s">
        <v>1716</v>
      </c>
    </row>
    <row r="484" spans="1:12">
      <c r="A484" s="1" t="s">
        <v>1568</v>
      </c>
      <c r="B484" s="1" t="s">
        <v>1552</v>
      </c>
      <c r="C484" s="1" t="s">
        <v>1711</v>
      </c>
      <c r="D484" s="1" t="s">
        <v>1705</v>
      </c>
      <c r="E484" s="92" t="s">
        <v>1957</v>
      </c>
      <c r="F484" s="92" t="s">
        <v>1722</v>
      </c>
      <c r="H484" s="1" t="s">
        <v>1684</v>
      </c>
      <c r="I484" s="1" t="s">
        <v>1689</v>
      </c>
      <c r="J484" s="1" t="s">
        <v>1714</v>
      </c>
      <c r="K484" s="1" t="s">
        <v>1715</v>
      </c>
      <c r="L484" s="1" t="s">
        <v>1716</v>
      </c>
    </row>
    <row r="485" spans="1:12">
      <c r="A485" s="1" t="s">
        <v>1568</v>
      </c>
      <c r="B485" s="1" t="s">
        <v>1552</v>
      </c>
      <c r="C485" s="1" t="s">
        <v>1723</v>
      </c>
      <c r="D485" s="1" t="s">
        <v>218</v>
      </c>
      <c r="E485" s="92" t="s">
        <v>1958</v>
      </c>
      <c r="F485" s="92" t="s">
        <v>1958</v>
      </c>
      <c r="G485" s="92" t="s">
        <v>1738</v>
      </c>
      <c r="H485" s="1" t="s">
        <v>1684</v>
      </c>
      <c r="I485" s="1" t="s">
        <v>973</v>
      </c>
      <c r="J485" s="1" t="s">
        <v>1726</v>
      </c>
      <c r="K485" s="1" t="s">
        <v>1727</v>
      </c>
      <c r="L485" s="1" t="s">
        <v>1728</v>
      </c>
    </row>
    <row r="486" spans="1:12">
      <c r="A486" s="1" t="s">
        <v>1568</v>
      </c>
      <c r="B486" s="1" t="s">
        <v>1552</v>
      </c>
      <c r="C486" s="1" t="s">
        <v>1723</v>
      </c>
      <c r="D486" s="1" t="s">
        <v>1693</v>
      </c>
      <c r="E486" s="1" t="s">
        <v>1694</v>
      </c>
      <c r="F486" s="1" t="s">
        <v>1694</v>
      </c>
      <c r="H486" s="1" t="s">
        <v>1684</v>
      </c>
      <c r="I486" s="1" t="s">
        <v>973</v>
      </c>
      <c r="J486" s="1" t="s">
        <v>1726</v>
      </c>
      <c r="K486" s="1" t="s">
        <v>1727</v>
      </c>
      <c r="L486" s="1" t="s">
        <v>1728</v>
      </c>
    </row>
    <row r="487" spans="1:12">
      <c r="A487" s="1" t="s">
        <v>1568</v>
      </c>
      <c r="B487" s="1" t="s">
        <v>1552</v>
      </c>
      <c r="C487" s="1" t="s">
        <v>1723</v>
      </c>
      <c r="D487" s="1" t="s">
        <v>1695</v>
      </c>
      <c r="E487" s="1" t="s">
        <v>1694</v>
      </c>
      <c r="F487" s="1" t="s">
        <v>1694</v>
      </c>
      <c r="H487" s="1" t="s">
        <v>1684</v>
      </c>
      <c r="I487" s="1" t="s">
        <v>973</v>
      </c>
      <c r="J487" s="1" t="s">
        <v>1726</v>
      </c>
      <c r="K487" s="1" t="s">
        <v>1727</v>
      </c>
      <c r="L487" s="1" t="s">
        <v>1728</v>
      </c>
    </row>
    <row r="488" spans="1:12">
      <c r="A488" s="1" t="s">
        <v>1568</v>
      </c>
      <c r="B488" s="1" t="s">
        <v>1552</v>
      </c>
      <c r="C488" s="1" t="s">
        <v>1723</v>
      </c>
      <c r="D488" s="1" t="s">
        <v>1697</v>
      </c>
      <c r="E488" s="1" t="s">
        <v>1698</v>
      </c>
      <c r="F488" s="1" t="s">
        <v>1698</v>
      </c>
      <c r="H488" s="1" t="s">
        <v>1684</v>
      </c>
      <c r="I488" s="1" t="s">
        <v>973</v>
      </c>
      <c r="J488" s="1" t="s">
        <v>1726</v>
      </c>
      <c r="K488" s="1" t="s">
        <v>1727</v>
      </c>
      <c r="L488" s="1" t="s">
        <v>1728</v>
      </c>
    </row>
    <row r="489" spans="1:12">
      <c r="A489" s="1" t="s">
        <v>1568</v>
      </c>
      <c r="B489" s="1" t="s">
        <v>1552</v>
      </c>
      <c r="C489" s="1" t="s">
        <v>1729</v>
      </c>
      <c r="D489" s="1" t="s">
        <v>1708</v>
      </c>
      <c r="E489" s="1" t="s">
        <v>1730</v>
      </c>
      <c r="F489" s="1" t="s">
        <v>1730</v>
      </c>
      <c r="H489" s="1" t="s">
        <v>1684</v>
      </c>
      <c r="I489" s="1" t="s">
        <v>1731</v>
      </c>
      <c r="J489" s="1" t="s">
        <v>1732</v>
      </c>
      <c r="K489" s="1" t="s">
        <v>1733</v>
      </c>
      <c r="L489" s="1" t="s">
        <v>1734</v>
      </c>
    </row>
    <row r="490" spans="1:12">
      <c r="A490" s="1" t="s">
        <v>1569</v>
      </c>
      <c r="B490" s="1" t="s">
        <v>1552</v>
      </c>
      <c r="C490" s="1" t="s">
        <v>1680</v>
      </c>
      <c r="D490" s="1" t="s">
        <v>1681</v>
      </c>
      <c r="E490" s="92" t="s">
        <v>1911</v>
      </c>
      <c r="F490" s="92" t="s">
        <v>1912</v>
      </c>
      <c r="H490" s="1" t="s">
        <v>1684</v>
      </c>
    </row>
    <row r="491" spans="1:12">
      <c r="A491" s="1" t="s">
        <v>1569</v>
      </c>
      <c r="B491" s="1" t="s">
        <v>1552</v>
      </c>
      <c r="C491" s="1" t="s">
        <v>1680</v>
      </c>
      <c r="D491" s="1" t="s">
        <v>1685</v>
      </c>
      <c r="E491" s="1" t="s">
        <v>1526</v>
      </c>
      <c r="F491" s="1" t="s">
        <v>1526</v>
      </c>
      <c r="H491" s="1" t="s">
        <v>1684</v>
      </c>
    </row>
    <row r="492" spans="1:12">
      <c r="A492" s="1" t="s">
        <v>1569</v>
      </c>
      <c r="B492" s="1" t="s">
        <v>1552</v>
      </c>
      <c r="C492" s="1" t="s">
        <v>1686</v>
      </c>
      <c r="D492" s="1" t="s">
        <v>218</v>
      </c>
      <c r="E492" s="92" t="s">
        <v>1959</v>
      </c>
      <c r="F492" s="92" t="s">
        <v>1959</v>
      </c>
      <c r="G492" s="92" t="s">
        <v>1791</v>
      </c>
      <c r="H492" s="1" t="s">
        <v>1684</v>
      </c>
      <c r="I492" s="1" t="s">
        <v>1689</v>
      </c>
      <c r="J492" s="1" t="s">
        <v>1690</v>
      </c>
      <c r="K492" s="1" t="s">
        <v>1691</v>
      </c>
      <c r="L492" s="1" t="s">
        <v>1692</v>
      </c>
    </row>
    <row r="493" spans="1:12">
      <c r="A493" s="1" t="s">
        <v>1569</v>
      </c>
      <c r="B493" s="1" t="s">
        <v>1552</v>
      </c>
      <c r="C493" s="1" t="s">
        <v>1686</v>
      </c>
      <c r="D493" s="1" t="s">
        <v>1693</v>
      </c>
      <c r="E493" s="1" t="s">
        <v>1694</v>
      </c>
      <c r="F493" s="1" t="s">
        <v>1694</v>
      </c>
      <c r="H493" s="1" t="s">
        <v>1684</v>
      </c>
      <c r="I493" s="1" t="s">
        <v>1689</v>
      </c>
      <c r="J493" s="1" t="s">
        <v>1690</v>
      </c>
      <c r="K493" s="1" t="s">
        <v>1691</v>
      </c>
      <c r="L493" s="1" t="s">
        <v>1692</v>
      </c>
    </row>
    <row r="494" spans="1:12">
      <c r="A494" s="1" t="s">
        <v>1569</v>
      </c>
      <c r="B494" s="1" t="s">
        <v>1552</v>
      </c>
      <c r="C494" s="1" t="s">
        <v>1686</v>
      </c>
      <c r="D494" s="1" t="s">
        <v>1695</v>
      </c>
      <c r="E494" s="1" t="s">
        <v>1696</v>
      </c>
      <c r="F494" s="1" t="s">
        <v>1696</v>
      </c>
      <c r="H494" s="1" t="s">
        <v>1684</v>
      </c>
      <c r="I494" s="1" t="s">
        <v>1689</v>
      </c>
      <c r="J494" s="1" t="s">
        <v>1690</v>
      </c>
      <c r="K494" s="1" t="s">
        <v>1691</v>
      </c>
      <c r="L494" s="1" t="s">
        <v>1692</v>
      </c>
    </row>
    <row r="495" spans="1:12">
      <c r="A495" s="1" t="s">
        <v>1569</v>
      </c>
      <c r="B495" s="1" t="s">
        <v>1552</v>
      </c>
      <c r="C495" s="1" t="s">
        <v>1686</v>
      </c>
      <c r="D495" s="1" t="s">
        <v>1697</v>
      </c>
      <c r="E495" s="1" t="s">
        <v>1698</v>
      </c>
      <c r="F495" s="1" t="s">
        <v>1698</v>
      </c>
      <c r="H495" s="1" t="s">
        <v>1684</v>
      </c>
      <c r="I495" s="1" t="s">
        <v>1689</v>
      </c>
      <c r="J495" s="1" t="s">
        <v>1690</v>
      </c>
      <c r="K495" s="1" t="s">
        <v>1691</v>
      </c>
      <c r="L495" s="1" t="s">
        <v>1692</v>
      </c>
    </row>
    <row r="496" spans="1:12">
      <c r="A496" s="1" t="s">
        <v>1569</v>
      </c>
      <c r="B496" s="1" t="s">
        <v>1552</v>
      </c>
      <c r="C496" s="1" t="s">
        <v>1686</v>
      </c>
      <c r="D496" s="1" t="s">
        <v>1699</v>
      </c>
      <c r="E496" s="92" t="s">
        <v>1950</v>
      </c>
      <c r="F496" s="92" t="s">
        <v>1951</v>
      </c>
      <c r="H496" s="1" t="s">
        <v>1684</v>
      </c>
      <c r="I496" s="1" t="s">
        <v>1689</v>
      </c>
      <c r="J496" s="1" t="s">
        <v>1690</v>
      </c>
      <c r="K496" s="1" t="s">
        <v>1691</v>
      </c>
      <c r="L496" s="1" t="s">
        <v>1692</v>
      </c>
    </row>
    <row r="497" spans="1:12">
      <c r="A497" s="1" t="s">
        <v>1569</v>
      </c>
      <c r="B497" s="1" t="s">
        <v>1552</v>
      </c>
      <c r="C497" s="1" t="s">
        <v>1686</v>
      </c>
      <c r="D497" s="1" t="s">
        <v>1702</v>
      </c>
      <c r="E497" s="92" t="s">
        <v>1952</v>
      </c>
      <c r="F497" s="92" t="s">
        <v>1953</v>
      </c>
      <c r="H497" s="1" t="s">
        <v>1684</v>
      </c>
      <c r="I497" s="1" t="s">
        <v>1689</v>
      </c>
      <c r="J497" s="1" t="s">
        <v>1690</v>
      </c>
      <c r="K497" s="1" t="s">
        <v>1691</v>
      </c>
      <c r="L497" s="1" t="s">
        <v>1692</v>
      </c>
    </row>
    <row r="498" spans="1:12">
      <c r="A498" s="1" t="s">
        <v>1569</v>
      </c>
      <c r="B498" s="1" t="s">
        <v>1552</v>
      </c>
      <c r="C498" s="1" t="s">
        <v>1686</v>
      </c>
      <c r="D498" s="1" t="s">
        <v>1705</v>
      </c>
      <c r="E498" s="92" t="s">
        <v>1954</v>
      </c>
      <c r="F498" s="92" t="s">
        <v>1740</v>
      </c>
      <c r="H498" s="1" t="s">
        <v>1684</v>
      </c>
      <c r="I498" s="1" t="s">
        <v>1689</v>
      </c>
      <c r="J498" s="1" t="s">
        <v>1690</v>
      </c>
      <c r="K498" s="1" t="s">
        <v>1691</v>
      </c>
      <c r="L498" s="1" t="s">
        <v>1692</v>
      </c>
    </row>
    <row r="499" spans="1:12">
      <c r="A499" s="1" t="s">
        <v>1569</v>
      </c>
      <c r="B499" s="1" t="s">
        <v>1552</v>
      </c>
      <c r="C499" s="1" t="s">
        <v>1394</v>
      </c>
      <c r="D499" s="1" t="s">
        <v>1708</v>
      </c>
      <c r="E499" s="1" t="s">
        <v>1709</v>
      </c>
      <c r="F499" s="1" t="s">
        <v>1709</v>
      </c>
      <c r="H499" s="1" t="s">
        <v>1684</v>
      </c>
      <c r="I499" s="1" t="s">
        <v>973</v>
      </c>
      <c r="J499" s="1" t="s">
        <v>1710</v>
      </c>
      <c r="K499" s="1" t="s">
        <v>1691</v>
      </c>
      <c r="L499" s="1" t="s">
        <v>1692</v>
      </c>
    </row>
    <row r="500" spans="1:12">
      <c r="A500" s="1" t="s">
        <v>1569</v>
      </c>
      <c r="B500" s="1" t="s">
        <v>1552</v>
      </c>
      <c r="C500" s="1" t="s">
        <v>1711</v>
      </c>
      <c r="D500" s="1" t="s">
        <v>218</v>
      </c>
      <c r="E500" s="92" t="s">
        <v>1774</v>
      </c>
      <c r="F500" s="92" t="s">
        <v>1774</v>
      </c>
      <c r="G500" s="92" t="s">
        <v>1755</v>
      </c>
      <c r="H500" s="1" t="s">
        <v>1684</v>
      </c>
      <c r="I500" s="1" t="s">
        <v>1689</v>
      </c>
      <c r="J500" s="1" t="s">
        <v>1714</v>
      </c>
      <c r="K500" s="1" t="s">
        <v>1715</v>
      </c>
      <c r="L500" s="1" t="s">
        <v>1716</v>
      </c>
    </row>
    <row r="501" spans="1:12">
      <c r="A501" s="1" t="s">
        <v>1569</v>
      </c>
      <c r="B501" s="1" t="s">
        <v>1552</v>
      </c>
      <c r="C501" s="1" t="s">
        <v>1711</v>
      </c>
      <c r="D501" s="1" t="s">
        <v>1693</v>
      </c>
      <c r="E501" s="1" t="s">
        <v>1746</v>
      </c>
      <c r="F501" s="1" t="s">
        <v>1746</v>
      </c>
      <c r="H501" s="1" t="s">
        <v>1684</v>
      </c>
      <c r="I501" s="1" t="s">
        <v>1689</v>
      </c>
      <c r="J501" s="1" t="s">
        <v>1714</v>
      </c>
      <c r="K501" s="1" t="s">
        <v>1715</v>
      </c>
      <c r="L501" s="1" t="s">
        <v>1716</v>
      </c>
    </row>
    <row r="502" spans="1:12">
      <c r="A502" s="1" t="s">
        <v>1569</v>
      </c>
      <c r="B502" s="1" t="s">
        <v>1552</v>
      </c>
      <c r="C502" s="1" t="s">
        <v>1711</v>
      </c>
      <c r="D502" s="1" t="s">
        <v>1695</v>
      </c>
      <c r="E502" s="1" t="s">
        <v>1746</v>
      </c>
      <c r="F502" s="1" t="s">
        <v>1746</v>
      </c>
      <c r="H502" s="1" t="s">
        <v>1684</v>
      </c>
      <c r="I502" s="1" t="s">
        <v>1689</v>
      </c>
      <c r="J502" s="1" t="s">
        <v>1714</v>
      </c>
      <c r="K502" s="1" t="s">
        <v>1715</v>
      </c>
      <c r="L502" s="1" t="s">
        <v>1716</v>
      </c>
    </row>
    <row r="503" spans="1:12">
      <c r="A503" s="1" t="s">
        <v>1569</v>
      </c>
      <c r="B503" s="1" t="s">
        <v>1552</v>
      </c>
      <c r="C503" s="1" t="s">
        <v>1711</v>
      </c>
      <c r="D503" s="1" t="s">
        <v>1697</v>
      </c>
      <c r="E503" s="1" t="s">
        <v>1698</v>
      </c>
      <c r="F503" s="1" t="s">
        <v>1698</v>
      </c>
      <c r="H503" s="1" t="s">
        <v>1684</v>
      </c>
      <c r="I503" s="1" t="s">
        <v>1689</v>
      </c>
      <c r="J503" s="1" t="s">
        <v>1714</v>
      </c>
      <c r="K503" s="1" t="s">
        <v>1715</v>
      </c>
      <c r="L503" s="1" t="s">
        <v>1716</v>
      </c>
    </row>
    <row r="504" spans="1:12">
      <c r="A504" s="1" t="s">
        <v>1569</v>
      </c>
      <c r="B504" s="1" t="s">
        <v>1552</v>
      </c>
      <c r="C504" s="1" t="s">
        <v>1711</v>
      </c>
      <c r="D504" s="1" t="s">
        <v>1699</v>
      </c>
      <c r="E504" s="92" t="s">
        <v>1832</v>
      </c>
      <c r="F504" s="92" t="s">
        <v>1833</v>
      </c>
      <c r="H504" s="1" t="s">
        <v>1684</v>
      </c>
      <c r="I504" s="1" t="s">
        <v>1689</v>
      </c>
      <c r="J504" s="1" t="s">
        <v>1714</v>
      </c>
      <c r="K504" s="1" t="s">
        <v>1715</v>
      </c>
      <c r="L504" s="1" t="s">
        <v>1716</v>
      </c>
    </row>
    <row r="505" spans="1:12">
      <c r="A505" s="1" t="s">
        <v>1569</v>
      </c>
      <c r="B505" s="1" t="s">
        <v>1552</v>
      </c>
      <c r="C505" s="1" t="s">
        <v>1711</v>
      </c>
      <c r="D505" s="1" t="s">
        <v>1702</v>
      </c>
      <c r="E505" s="92" t="s">
        <v>1955</v>
      </c>
      <c r="F505" s="92" t="s">
        <v>1956</v>
      </c>
      <c r="H505" s="1" t="s">
        <v>1684</v>
      </c>
      <c r="I505" s="1" t="s">
        <v>1689</v>
      </c>
      <c r="J505" s="1" t="s">
        <v>1714</v>
      </c>
      <c r="K505" s="1" t="s">
        <v>1715</v>
      </c>
      <c r="L505" s="1" t="s">
        <v>1716</v>
      </c>
    </row>
    <row r="506" spans="1:12">
      <c r="A506" s="1" t="s">
        <v>1569</v>
      </c>
      <c r="B506" s="1" t="s">
        <v>1552</v>
      </c>
      <c r="C506" s="1" t="s">
        <v>1711</v>
      </c>
      <c r="D506" s="1" t="s">
        <v>1705</v>
      </c>
      <c r="E506" s="92" t="s">
        <v>1957</v>
      </c>
      <c r="F506" s="92" t="s">
        <v>1722</v>
      </c>
      <c r="H506" s="1" t="s">
        <v>1684</v>
      </c>
      <c r="I506" s="1" t="s">
        <v>1689</v>
      </c>
      <c r="J506" s="1" t="s">
        <v>1714</v>
      </c>
      <c r="K506" s="1" t="s">
        <v>1715</v>
      </c>
      <c r="L506" s="1" t="s">
        <v>1716</v>
      </c>
    </row>
    <row r="507" spans="1:12">
      <c r="A507" s="1" t="s">
        <v>1569</v>
      </c>
      <c r="B507" s="1" t="s">
        <v>1552</v>
      </c>
      <c r="C507" s="1" t="s">
        <v>1723</v>
      </c>
      <c r="D507" s="1" t="s">
        <v>218</v>
      </c>
      <c r="E507" s="92" t="s">
        <v>1958</v>
      </c>
      <c r="F507" s="92" t="s">
        <v>1958</v>
      </c>
      <c r="G507" s="92" t="s">
        <v>1738</v>
      </c>
      <c r="H507" s="1" t="s">
        <v>1684</v>
      </c>
      <c r="I507" s="1" t="s">
        <v>973</v>
      </c>
      <c r="J507" s="1" t="s">
        <v>1726</v>
      </c>
      <c r="K507" s="1" t="s">
        <v>1727</v>
      </c>
      <c r="L507" s="1" t="s">
        <v>1728</v>
      </c>
    </row>
    <row r="508" spans="1:12">
      <c r="A508" s="1" t="s">
        <v>1569</v>
      </c>
      <c r="B508" s="1" t="s">
        <v>1552</v>
      </c>
      <c r="C508" s="1" t="s">
        <v>1723</v>
      </c>
      <c r="D508" s="1" t="s">
        <v>1693</v>
      </c>
      <c r="E508" s="1" t="s">
        <v>1694</v>
      </c>
      <c r="F508" s="1" t="s">
        <v>1694</v>
      </c>
      <c r="H508" s="1" t="s">
        <v>1684</v>
      </c>
      <c r="I508" s="1" t="s">
        <v>973</v>
      </c>
      <c r="J508" s="1" t="s">
        <v>1726</v>
      </c>
      <c r="K508" s="1" t="s">
        <v>1727</v>
      </c>
      <c r="L508" s="1" t="s">
        <v>1728</v>
      </c>
    </row>
    <row r="509" spans="1:12">
      <c r="A509" s="1" t="s">
        <v>1569</v>
      </c>
      <c r="B509" s="1" t="s">
        <v>1552</v>
      </c>
      <c r="C509" s="1" t="s">
        <v>1723</v>
      </c>
      <c r="D509" s="1" t="s">
        <v>1695</v>
      </c>
      <c r="E509" s="1" t="s">
        <v>1694</v>
      </c>
      <c r="F509" s="1" t="s">
        <v>1694</v>
      </c>
      <c r="H509" s="1" t="s">
        <v>1684</v>
      </c>
      <c r="I509" s="1" t="s">
        <v>973</v>
      </c>
      <c r="J509" s="1" t="s">
        <v>1726</v>
      </c>
      <c r="K509" s="1" t="s">
        <v>1727</v>
      </c>
      <c r="L509" s="1" t="s">
        <v>1728</v>
      </c>
    </row>
    <row r="510" spans="1:12">
      <c r="A510" s="1" t="s">
        <v>1569</v>
      </c>
      <c r="B510" s="1" t="s">
        <v>1552</v>
      </c>
      <c r="C510" s="1" t="s">
        <v>1723</v>
      </c>
      <c r="D510" s="1" t="s">
        <v>1697</v>
      </c>
      <c r="E510" s="1" t="s">
        <v>1698</v>
      </c>
      <c r="F510" s="1" t="s">
        <v>1698</v>
      </c>
      <c r="H510" s="1" t="s">
        <v>1684</v>
      </c>
      <c r="I510" s="1" t="s">
        <v>973</v>
      </c>
      <c r="J510" s="1" t="s">
        <v>1726</v>
      </c>
      <c r="K510" s="1" t="s">
        <v>1727</v>
      </c>
      <c r="L510" s="1" t="s">
        <v>1728</v>
      </c>
    </row>
    <row r="511" spans="1:12">
      <c r="A511" s="1" t="s">
        <v>1569</v>
      </c>
      <c r="B511" s="1" t="s">
        <v>1552</v>
      </c>
      <c r="C511" s="1" t="s">
        <v>1729</v>
      </c>
      <c r="D511" s="1" t="s">
        <v>1708</v>
      </c>
      <c r="E511" s="1" t="s">
        <v>1730</v>
      </c>
      <c r="F511" s="1" t="s">
        <v>1730</v>
      </c>
      <c r="H511" s="1" t="s">
        <v>1684</v>
      </c>
      <c r="I511" s="1" t="s">
        <v>1731</v>
      </c>
      <c r="J511" s="1" t="s">
        <v>1732</v>
      </c>
      <c r="K511" s="1" t="s">
        <v>1733</v>
      </c>
      <c r="L511" s="1" t="s">
        <v>1734</v>
      </c>
    </row>
    <row r="512" spans="1:12">
      <c r="A512" s="1" t="s">
        <v>1570</v>
      </c>
      <c r="B512" s="1" t="s">
        <v>1552</v>
      </c>
      <c r="C512" s="1" t="s">
        <v>1680</v>
      </c>
      <c r="D512" s="1" t="s">
        <v>1681</v>
      </c>
      <c r="E512" s="92" t="s">
        <v>1927</v>
      </c>
      <c r="F512" s="92" t="s">
        <v>1928</v>
      </c>
      <c r="H512" s="1" t="s">
        <v>1684</v>
      </c>
    </row>
    <row r="513" spans="1:12">
      <c r="A513" s="1" t="s">
        <v>1570</v>
      </c>
      <c r="B513" s="1" t="s">
        <v>1552</v>
      </c>
      <c r="C513" s="1" t="s">
        <v>1680</v>
      </c>
      <c r="D513" s="1" t="s">
        <v>1685</v>
      </c>
      <c r="E513" s="1" t="s">
        <v>1526</v>
      </c>
      <c r="F513" s="1" t="s">
        <v>1526</v>
      </c>
      <c r="H513" s="1" t="s">
        <v>1684</v>
      </c>
    </row>
    <row r="514" spans="1:12">
      <c r="A514" s="1" t="s">
        <v>1570</v>
      </c>
      <c r="B514" s="1" t="s">
        <v>1552</v>
      </c>
      <c r="C514" s="1" t="s">
        <v>1686</v>
      </c>
      <c r="D514" s="1" t="s">
        <v>218</v>
      </c>
      <c r="E514" s="92" t="s">
        <v>1960</v>
      </c>
      <c r="F514" s="92" t="s">
        <v>1960</v>
      </c>
      <c r="G514" s="92" t="s">
        <v>1831</v>
      </c>
      <c r="H514" s="1" t="s">
        <v>1684</v>
      </c>
      <c r="I514" s="1" t="s">
        <v>1689</v>
      </c>
      <c r="J514" s="1" t="s">
        <v>1690</v>
      </c>
      <c r="K514" s="1" t="s">
        <v>1691</v>
      </c>
      <c r="L514" s="1" t="s">
        <v>1692</v>
      </c>
    </row>
    <row r="515" spans="1:12">
      <c r="A515" s="1" t="s">
        <v>1570</v>
      </c>
      <c r="B515" s="1" t="s">
        <v>1552</v>
      </c>
      <c r="C515" s="1" t="s">
        <v>1686</v>
      </c>
      <c r="D515" s="1" t="s">
        <v>1693</v>
      </c>
      <c r="E515" s="1" t="s">
        <v>1756</v>
      </c>
      <c r="F515" s="1" t="s">
        <v>1756</v>
      </c>
      <c r="H515" s="1" t="s">
        <v>1684</v>
      </c>
      <c r="I515" s="1" t="s">
        <v>1689</v>
      </c>
      <c r="J515" s="1" t="s">
        <v>1690</v>
      </c>
      <c r="K515" s="1" t="s">
        <v>1691</v>
      </c>
      <c r="L515" s="1" t="s">
        <v>1692</v>
      </c>
    </row>
    <row r="516" spans="1:12">
      <c r="A516" s="1" t="s">
        <v>1570</v>
      </c>
      <c r="B516" s="1" t="s">
        <v>1552</v>
      </c>
      <c r="C516" s="1" t="s">
        <v>1686</v>
      </c>
      <c r="D516" s="1" t="s">
        <v>1695</v>
      </c>
      <c r="E516" s="1" t="s">
        <v>1757</v>
      </c>
      <c r="F516" s="1" t="s">
        <v>1757</v>
      </c>
      <c r="H516" s="1" t="s">
        <v>1684</v>
      </c>
      <c r="I516" s="1" t="s">
        <v>1689</v>
      </c>
      <c r="J516" s="1" t="s">
        <v>1690</v>
      </c>
      <c r="K516" s="1" t="s">
        <v>1691</v>
      </c>
      <c r="L516" s="1" t="s">
        <v>1692</v>
      </c>
    </row>
    <row r="517" spans="1:12">
      <c r="A517" s="1" t="s">
        <v>1570</v>
      </c>
      <c r="B517" s="1" t="s">
        <v>1552</v>
      </c>
      <c r="C517" s="1" t="s">
        <v>1686</v>
      </c>
      <c r="D517" s="1" t="s">
        <v>1697</v>
      </c>
      <c r="E517" s="1" t="s">
        <v>1698</v>
      </c>
      <c r="F517" s="1" t="s">
        <v>1698</v>
      </c>
      <c r="H517" s="1" t="s">
        <v>1684</v>
      </c>
      <c r="I517" s="1" t="s">
        <v>1689</v>
      </c>
      <c r="J517" s="1" t="s">
        <v>1690</v>
      </c>
      <c r="K517" s="1" t="s">
        <v>1691</v>
      </c>
      <c r="L517" s="1" t="s">
        <v>1692</v>
      </c>
    </row>
    <row r="518" spans="1:12">
      <c r="A518" s="1" t="s">
        <v>1570</v>
      </c>
      <c r="B518" s="1" t="s">
        <v>1552</v>
      </c>
      <c r="C518" s="1" t="s">
        <v>1686</v>
      </c>
      <c r="D518" s="1" t="s">
        <v>1699</v>
      </c>
      <c r="E518" s="92" t="s">
        <v>1961</v>
      </c>
      <c r="F518" s="92" t="s">
        <v>1962</v>
      </c>
      <c r="H518" s="1" t="s">
        <v>1684</v>
      </c>
      <c r="I518" s="1" t="s">
        <v>1689</v>
      </c>
      <c r="J518" s="1" t="s">
        <v>1690</v>
      </c>
      <c r="K518" s="1" t="s">
        <v>1691</v>
      </c>
      <c r="L518" s="1" t="s">
        <v>1692</v>
      </c>
    </row>
    <row r="519" spans="1:12">
      <c r="A519" s="1" t="s">
        <v>1570</v>
      </c>
      <c r="B519" s="1" t="s">
        <v>1552</v>
      </c>
      <c r="C519" s="1" t="s">
        <v>1686</v>
      </c>
      <c r="D519" s="1" t="s">
        <v>1702</v>
      </c>
      <c r="E519" s="92" t="s">
        <v>1963</v>
      </c>
      <c r="F519" s="92" t="s">
        <v>1964</v>
      </c>
      <c r="H519" s="1" t="s">
        <v>1684</v>
      </c>
      <c r="I519" s="1" t="s">
        <v>1689</v>
      </c>
      <c r="J519" s="1" t="s">
        <v>1690</v>
      </c>
      <c r="K519" s="1" t="s">
        <v>1691</v>
      </c>
      <c r="L519" s="1" t="s">
        <v>1692</v>
      </c>
    </row>
    <row r="520" spans="1:12">
      <c r="A520" s="1" t="s">
        <v>1570</v>
      </c>
      <c r="B520" s="1" t="s">
        <v>1552</v>
      </c>
      <c r="C520" s="1" t="s">
        <v>1686</v>
      </c>
      <c r="D520" s="1" t="s">
        <v>1705</v>
      </c>
      <c r="E520" s="92" t="s">
        <v>1965</v>
      </c>
      <c r="F520" s="92" t="s">
        <v>1966</v>
      </c>
      <c r="H520" s="1" t="s">
        <v>1684</v>
      </c>
      <c r="I520" s="1" t="s">
        <v>1689</v>
      </c>
      <c r="J520" s="1" t="s">
        <v>1690</v>
      </c>
      <c r="K520" s="1" t="s">
        <v>1691</v>
      </c>
      <c r="L520" s="1" t="s">
        <v>1692</v>
      </c>
    </row>
    <row r="521" spans="1:12">
      <c r="A521" s="1" t="s">
        <v>1570</v>
      </c>
      <c r="B521" s="1" t="s">
        <v>1552</v>
      </c>
      <c r="C521" s="1" t="s">
        <v>1394</v>
      </c>
      <c r="D521" s="1" t="s">
        <v>1708</v>
      </c>
      <c r="E521" s="1" t="s">
        <v>1709</v>
      </c>
      <c r="F521" s="1" t="s">
        <v>1709</v>
      </c>
      <c r="H521" s="1" t="s">
        <v>1684</v>
      </c>
      <c r="I521" s="1" t="s">
        <v>973</v>
      </c>
      <c r="J521" s="1" t="s">
        <v>1710</v>
      </c>
      <c r="K521" s="1" t="s">
        <v>1691</v>
      </c>
      <c r="L521" s="1" t="s">
        <v>1692</v>
      </c>
    </row>
    <row r="522" spans="1:12">
      <c r="A522" s="1" t="s">
        <v>1570</v>
      </c>
      <c r="B522" s="1" t="s">
        <v>1552</v>
      </c>
      <c r="C522" s="1" t="s">
        <v>1711</v>
      </c>
      <c r="D522" s="1" t="s">
        <v>218</v>
      </c>
      <c r="E522" s="92" t="s">
        <v>1967</v>
      </c>
      <c r="F522" s="92" t="s">
        <v>1967</v>
      </c>
      <c r="G522" s="92" t="s">
        <v>1822</v>
      </c>
      <c r="H522" s="1" t="s">
        <v>1684</v>
      </c>
      <c r="I522" s="1" t="s">
        <v>1689</v>
      </c>
      <c r="J522" s="1" t="s">
        <v>1714</v>
      </c>
      <c r="K522" s="1" t="s">
        <v>1715</v>
      </c>
      <c r="L522" s="1" t="s">
        <v>1716</v>
      </c>
    </row>
    <row r="523" spans="1:12">
      <c r="A523" s="1" t="s">
        <v>1570</v>
      </c>
      <c r="B523" s="1" t="s">
        <v>1552</v>
      </c>
      <c r="C523" s="1" t="s">
        <v>1711</v>
      </c>
      <c r="D523" s="1" t="s">
        <v>1693</v>
      </c>
      <c r="E523" s="1" t="s">
        <v>1766</v>
      </c>
      <c r="F523" s="1" t="s">
        <v>1766</v>
      </c>
      <c r="H523" s="1" t="s">
        <v>1684</v>
      </c>
      <c r="I523" s="1" t="s">
        <v>1689</v>
      </c>
      <c r="J523" s="1" t="s">
        <v>1714</v>
      </c>
      <c r="K523" s="1" t="s">
        <v>1715</v>
      </c>
      <c r="L523" s="1" t="s">
        <v>1716</v>
      </c>
    </row>
    <row r="524" spans="1:12">
      <c r="A524" s="1" t="s">
        <v>1570</v>
      </c>
      <c r="B524" s="1" t="s">
        <v>1552</v>
      </c>
      <c r="C524" s="1" t="s">
        <v>1711</v>
      </c>
      <c r="D524" s="1" t="s">
        <v>1695</v>
      </c>
      <c r="E524" s="1" t="s">
        <v>1757</v>
      </c>
      <c r="F524" s="1" t="s">
        <v>1757</v>
      </c>
      <c r="H524" s="1" t="s">
        <v>1684</v>
      </c>
      <c r="I524" s="1" t="s">
        <v>1689</v>
      </c>
      <c r="J524" s="1" t="s">
        <v>1714</v>
      </c>
      <c r="K524" s="1" t="s">
        <v>1715</v>
      </c>
      <c r="L524" s="1" t="s">
        <v>1716</v>
      </c>
    </row>
    <row r="525" spans="1:12">
      <c r="A525" s="1" t="s">
        <v>1570</v>
      </c>
      <c r="B525" s="1" t="s">
        <v>1552</v>
      </c>
      <c r="C525" s="1" t="s">
        <v>1711</v>
      </c>
      <c r="D525" s="1" t="s">
        <v>1697</v>
      </c>
      <c r="E525" s="1" t="s">
        <v>1698</v>
      </c>
      <c r="F525" s="1" t="s">
        <v>1698</v>
      </c>
      <c r="H525" s="1" t="s">
        <v>1684</v>
      </c>
      <c r="I525" s="1" t="s">
        <v>1689</v>
      </c>
      <c r="J525" s="1" t="s">
        <v>1714</v>
      </c>
      <c r="K525" s="1" t="s">
        <v>1715</v>
      </c>
      <c r="L525" s="1" t="s">
        <v>1716</v>
      </c>
    </row>
    <row r="526" spans="1:12">
      <c r="A526" s="1" t="s">
        <v>1570</v>
      </c>
      <c r="B526" s="1" t="s">
        <v>1552</v>
      </c>
      <c r="C526" s="1" t="s">
        <v>1711</v>
      </c>
      <c r="D526" s="1" t="s">
        <v>1699</v>
      </c>
      <c r="E526" s="92" t="s">
        <v>1832</v>
      </c>
      <c r="F526" s="92" t="s">
        <v>1833</v>
      </c>
      <c r="H526" s="1" t="s">
        <v>1684</v>
      </c>
      <c r="I526" s="1" t="s">
        <v>1689</v>
      </c>
      <c r="J526" s="1" t="s">
        <v>1714</v>
      </c>
      <c r="K526" s="1" t="s">
        <v>1715</v>
      </c>
      <c r="L526" s="1" t="s">
        <v>1716</v>
      </c>
    </row>
    <row r="527" spans="1:12">
      <c r="A527" s="1" t="s">
        <v>1570</v>
      </c>
      <c r="B527" s="1" t="s">
        <v>1552</v>
      </c>
      <c r="C527" s="1" t="s">
        <v>1711</v>
      </c>
      <c r="D527" s="1" t="s">
        <v>1702</v>
      </c>
      <c r="E527" s="92" t="s">
        <v>1968</v>
      </c>
      <c r="F527" s="92" t="s">
        <v>1969</v>
      </c>
      <c r="H527" s="1" t="s">
        <v>1684</v>
      </c>
      <c r="I527" s="1" t="s">
        <v>1689</v>
      </c>
      <c r="J527" s="1" t="s">
        <v>1714</v>
      </c>
      <c r="K527" s="1" t="s">
        <v>1715</v>
      </c>
      <c r="L527" s="1" t="s">
        <v>1716</v>
      </c>
    </row>
    <row r="528" spans="1:12">
      <c r="A528" s="1" t="s">
        <v>1570</v>
      </c>
      <c r="B528" s="1" t="s">
        <v>1552</v>
      </c>
      <c r="C528" s="1" t="s">
        <v>1711</v>
      </c>
      <c r="D528" s="1" t="s">
        <v>1705</v>
      </c>
      <c r="E528" s="92" t="s">
        <v>1970</v>
      </c>
      <c r="F528" s="92" t="s">
        <v>1836</v>
      </c>
      <c r="H528" s="1" t="s">
        <v>1684</v>
      </c>
      <c r="I528" s="1" t="s">
        <v>1689</v>
      </c>
      <c r="J528" s="1" t="s">
        <v>1714</v>
      </c>
      <c r="K528" s="1" t="s">
        <v>1715</v>
      </c>
      <c r="L528" s="1" t="s">
        <v>1716</v>
      </c>
    </row>
    <row r="529" spans="1:12">
      <c r="A529" s="1" t="s">
        <v>1570</v>
      </c>
      <c r="B529" s="1" t="s">
        <v>1552</v>
      </c>
      <c r="C529" s="1" t="s">
        <v>1723</v>
      </c>
      <c r="D529" s="1" t="s">
        <v>218</v>
      </c>
      <c r="E529" s="92" t="s">
        <v>1971</v>
      </c>
      <c r="F529" s="92" t="s">
        <v>1971</v>
      </c>
      <c r="G529" s="92" t="s">
        <v>1713</v>
      </c>
      <c r="H529" s="1" t="s">
        <v>1684</v>
      </c>
      <c r="I529" s="1" t="s">
        <v>973</v>
      </c>
      <c r="J529" s="1" t="s">
        <v>1726</v>
      </c>
      <c r="K529" s="1" t="s">
        <v>1727</v>
      </c>
      <c r="L529" s="1" t="s">
        <v>1728</v>
      </c>
    </row>
    <row r="530" spans="1:12">
      <c r="A530" s="1" t="s">
        <v>1570</v>
      </c>
      <c r="B530" s="1" t="s">
        <v>1552</v>
      </c>
      <c r="C530" s="1" t="s">
        <v>1723</v>
      </c>
      <c r="D530" s="1" t="s">
        <v>1693</v>
      </c>
      <c r="E530" s="1" t="s">
        <v>1694</v>
      </c>
      <c r="F530" s="1" t="s">
        <v>1694</v>
      </c>
      <c r="H530" s="1" t="s">
        <v>1684</v>
      </c>
      <c r="I530" s="1" t="s">
        <v>973</v>
      </c>
      <c r="J530" s="1" t="s">
        <v>1726</v>
      </c>
      <c r="K530" s="1" t="s">
        <v>1727</v>
      </c>
      <c r="L530" s="1" t="s">
        <v>1728</v>
      </c>
    </row>
    <row r="531" spans="1:12">
      <c r="A531" s="1" t="s">
        <v>1570</v>
      </c>
      <c r="B531" s="1" t="s">
        <v>1552</v>
      </c>
      <c r="C531" s="1" t="s">
        <v>1723</v>
      </c>
      <c r="D531" s="1" t="s">
        <v>1695</v>
      </c>
      <c r="E531" s="1" t="s">
        <v>1694</v>
      </c>
      <c r="F531" s="1" t="s">
        <v>1694</v>
      </c>
      <c r="H531" s="1" t="s">
        <v>1684</v>
      </c>
      <c r="I531" s="1" t="s">
        <v>973</v>
      </c>
      <c r="J531" s="1" t="s">
        <v>1726</v>
      </c>
      <c r="K531" s="1" t="s">
        <v>1727</v>
      </c>
      <c r="L531" s="1" t="s">
        <v>1728</v>
      </c>
    </row>
    <row r="532" spans="1:12">
      <c r="A532" s="1" t="s">
        <v>1570</v>
      </c>
      <c r="B532" s="1" t="s">
        <v>1552</v>
      </c>
      <c r="C532" s="1" t="s">
        <v>1723</v>
      </c>
      <c r="D532" s="1" t="s">
        <v>1697</v>
      </c>
      <c r="E532" s="1" t="s">
        <v>1698</v>
      </c>
      <c r="F532" s="1" t="s">
        <v>1698</v>
      </c>
      <c r="H532" s="1" t="s">
        <v>1684</v>
      </c>
      <c r="I532" s="1" t="s">
        <v>973</v>
      </c>
      <c r="J532" s="1" t="s">
        <v>1726</v>
      </c>
      <c r="K532" s="1" t="s">
        <v>1727</v>
      </c>
      <c r="L532" s="1" t="s">
        <v>1728</v>
      </c>
    </row>
    <row r="533" spans="1:12">
      <c r="A533" s="1" t="s">
        <v>1570</v>
      </c>
      <c r="B533" s="1" t="s">
        <v>1552</v>
      </c>
      <c r="C533" s="1" t="s">
        <v>1729</v>
      </c>
      <c r="D533" s="1" t="s">
        <v>1708</v>
      </c>
      <c r="E533" s="1" t="s">
        <v>1730</v>
      </c>
      <c r="F533" s="1" t="s">
        <v>1709</v>
      </c>
      <c r="H533" s="1" t="s">
        <v>1684</v>
      </c>
      <c r="I533" s="1" t="s">
        <v>1731</v>
      </c>
      <c r="J533" s="1" t="s">
        <v>1732</v>
      </c>
      <c r="K533" s="1" t="s">
        <v>1733</v>
      </c>
      <c r="L533" s="1" t="s">
        <v>1734</v>
      </c>
    </row>
    <row r="534" spans="1:12">
      <c r="A534" s="1" t="s">
        <v>1571</v>
      </c>
      <c r="B534" s="1" t="s">
        <v>1572</v>
      </c>
      <c r="C534" s="1" t="s">
        <v>1680</v>
      </c>
      <c r="D534" s="1" t="s">
        <v>1681</v>
      </c>
      <c r="E534" s="92" t="s">
        <v>1972</v>
      </c>
      <c r="F534" s="92" t="s">
        <v>1973</v>
      </c>
      <c r="H534" s="1" t="s">
        <v>1684</v>
      </c>
    </row>
    <row r="535" spans="1:12">
      <c r="A535" s="1" t="s">
        <v>1571</v>
      </c>
      <c r="B535" s="1" t="s">
        <v>1572</v>
      </c>
      <c r="C535" s="1" t="s">
        <v>1680</v>
      </c>
      <c r="D535" s="1" t="s">
        <v>1685</v>
      </c>
      <c r="E535" s="1" t="s">
        <v>1526</v>
      </c>
      <c r="F535" s="1" t="s">
        <v>1526</v>
      </c>
      <c r="H535" s="1" t="s">
        <v>1684</v>
      </c>
    </row>
    <row r="536" spans="1:12">
      <c r="A536" s="1" t="s">
        <v>1571</v>
      </c>
      <c r="B536" s="1" t="s">
        <v>1572</v>
      </c>
      <c r="C536" s="1" t="s">
        <v>1686</v>
      </c>
      <c r="D536" s="1" t="s">
        <v>1708</v>
      </c>
      <c r="E536" s="1" t="s">
        <v>1709</v>
      </c>
      <c r="F536" s="1" t="s">
        <v>1709</v>
      </c>
      <c r="H536" s="1" t="s">
        <v>1684</v>
      </c>
      <c r="I536" s="1" t="s">
        <v>1689</v>
      </c>
      <c r="J536" s="1" t="s">
        <v>1690</v>
      </c>
      <c r="K536" s="1" t="s">
        <v>1691</v>
      </c>
      <c r="L536" s="1" t="s">
        <v>1692</v>
      </c>
    </row>
    <row r="537" spans="1:12">
      <c r="A537" s="1" t="s">
        <v>1571</v>
      </c>
      <c r="B537" s="1" t="s">
        <v>1572</v>
      </c>
      <c r="C537" s="1" t="s">
        <v>1394</v>
      </c>
      <c r="D537" s="1" t="s">
        <v>218</v>
      </c>
      <c r="E537" s="92" t="s">
        <v>1974</v>
      </c>
      <c r="F537" s="92" t="s">
        <v>1974</v>
      </c>
      <c r="G537" s="92" t="s">
        <v>1755</v>
      </c>
      <c r="H537" s="1" t="s">
        <v>1684</v>
      </c>
      <c r="I537" s="1" t="s">
        <v>973</v>
      </c>
      <c r="J537" s="1" t="s">
        <v>1710</v>
      </c>
      <c r="K537" s="1" t="s">
        <v>1691</v>
      </c>
      <c r="L537" s="1" t="s">
        <v>1692</v>
      </c>
    </row>
    <row r="538" spans="1:12">
      <c r="A538" s="1" t="s">
        <v>1571</v>
      </c>
      <c r="B538" s="1" t="s">
        <v>1572</v>
      </c>
      <c r="C538" s="1" t="s">
        <v>1394</v>
      </c>
      <c r="D538" s="1" t="s">
        <v>1693</v>
      </c>
      <c r="E538" s="1" t="s">
        <v>1694</v>
      </c>
      <c r="F538" s="1" t="s">
        <v>1694</v>
      </c>
      <c r="H538" s="1" t="s">
        <v>1684</v>
      </c>
      <c r="I538" s="1" t="s">
        <v>973</v>
      </c>
      <c r="J538" s="1" t="s">
        <v>1710</v>
      </c>
      <c r="K538" s="1" t="s">
        <v>1691</v>
      </c>
      <c r="L538" s="1" t="s">
        <v>1692</v>
      </c>
    </row>
    <row r="539" spans="1:12">
      <c r="A539" s="1" t="s">
        <v>1571</v>
      </c>
      <c r="B539" s="1" t="s">
        <v>1572</v>
      </c>
      <c r="C539" s="1" t="s">
        <v>1394</v>
      </c>
      <c r="D539" s="1" t="s">
        <v>1695</v>
      </c>
      <c r="E539" s="1" t="s">
        <v>1694</v>
      </c>
      <c r="F539" s="1" t="s">
        <v>1694</v>
      </c>
      <c r="H539" s="1" t="s">
        <v>1684</v>
      </c>
      <c r="I539" s="1" t="s">
        <v>973</v>
      </c>
      <c r="J539" s="1" t="s">
        <v>1710</v>
      </c>
      <c r="K539" s="1" t="s">
        <v>1691</v>
      </c>
      <c r="L539" s="1" t="s">
        <v>1692</v>
      </c>
    </row>
    <row r="540" spans="1:12">
      <c r="A540" s="1" t="s">
        <v>1571</v>
      </c>
      <c r="B540" s="1" t="s">
        <v>1572</v>
      </c>
      <c r="C540" s="1" t="s">
        <v>1394</v>
      </c>
      <c r="D540" s="1" t="s">
        <v>1697</v>
      </c>
      <c r="E540" s="1" t="s">
        <v>1698</v>
      </c>
      <c r="F540" s="1" t="s">
        <v>1698</v>
      </c>
      <c r="H540" s="1" t="s">
        <v>1684</v>
      </c>
      <c r="I540" s="1" t="s">
        <v>973</v>
      </c>
      <c r="J540" s="1" t="s">
        <v>1710</v>
      </c>
      <c r="K540" s="1" t="s">
        <v>1691</v>
      </c>
      <c r="L540" s="1" t="s">
        <v>1692</v>
      </c>
    </row>
    <row r="541" spans="1:12">
      <c r="A541" s="1" t="s">
        <v>1571</v>
      </c>
      <c r="B541" s="1" t="s">
        <v>1572</v>
      </c>
      <c r="C541" s="1" t="s">
        <v>1394</v>
      </c>
      <c r="D541" s="1" t="s">
        <v>1699</v>
      </c>
      <c r="E541" s="92" t="s">
        <v>1975</v>
      </c>
      <c r="F541" s="92" t="s">
        <v>1976</v>
      </c>
      <c r="H541" s="1" t="s">
        <v>1684</v>
      </c>
      <c r="I541" s="1" t="s">
        <v>973</v>
      </c>
      <c r="J541" s="1" t="s">
        <v>1710</v>
      </c>
      <c r="K541" s="1" t="s">
        <v>1691</v>
      </c>
      <c r="L541" s="1" t="s">
        <v>1692</v>
      </c>
    </row>
    <row r="542" spans="1:12">
      <c r="A542" s="1" t="s">
        <v>1571</v>
      </c>
      <c r="B542" s="1" t="s">
        <v>1572</v>
      </c>
      <c r="C542" s="1" t="s">
        <v>1394</v>
      </c>
      <c r="D542" s="1" t="s">
        <v>1702</v>
      </c>
      <c r="E542" s="92" t="s">
        <v>1977</v>
      </c>
      <c r="F542" s="92" t="s">
        <v>1978</v>
      </c>
      <c r="H542" s="1" t="s">
        <v>1684</v>
      </c>
      <c r="I542" s="1" t="s">
        <v>973</v>
      </c>
      <c r="J542" s="1" t="s">
        <v>1710</v>
      </c>
      <c r="K542" s="1" t="s">
        <v>1691</v>
      </c>
      <c r="L542" s="1" t="s">
        <v>1692</v>
      </c>
    </row>
    <row r="543" spans="1:12">
      <c r="A543" s="1" t="s">
        <v>1571</v>
      </c>
      <c r="B543" s="1" t="s">
        <v>1572</v>
      </c>
      <c r="C543" s="1" t="s">
        <v>1394</v>
      </c>
      <c r="D543" s="1" t="s">
        <v>1705</v>
      </c>
      <c r="E543" s="92" t="s">
        <v>1979</v>
      </c>
      <c r="F543" s="92" t="s">
        <v>1980</v>
      </c>
      <c r="H543" s="1" t="s">
        <v>1684</v>
      </c>
      <c r="I543" s="1" t="s">
        <v>973</v>
      </c>
      <c r="J543" s="1" t="s">
        <v>1710</v>
      </c>
      <c r="K543" s="1" t="s">
        <v>1691</v>
      </c>
      <c r="L543" s="1" t="s">
        <v>1692</v>
      </c>
    </row>
    <row r="544" spans="1:12">
      <c r="A544" s="1" t="s">
        <v>1571</v>
      </c>
      <c r="B544" s="1" t="s">
        <v>1572</v>
      </c>
      <c r="C544" s="1" t="s">
        <v>1711</v>
      </c>
      <c r="D544" s="1" t="s">
        <v>1708</v>
      </c>
      <c r="E544" s="1" t="s">
        <v>1709</v>
      </c>
      <c r="F544" s="1" t="s">
        <v>1709</v>
      </c>
      <c r="H544" s="1" t="s">
        <v>1684</v>
      </c>
      <c r="I544" s="1" t="s">
        <v>1689</v>
      </c>
      <c r="J544" s="1" t="s">
        <v>1714</v>
      </c>
      <c r="K544" s="1" t="s">
        <v>1715</v>
      </c>
      <c r="L544" s="1" t="s">
        <v>1716</v>
      </c>
    </row>
    <row r="545" spans="1:12">
      <c r="A545" s="1" t="s">
        <v>1571</v>
      </c>
      <c r="B545" s="1" t="s">
        <v>1572</v>
      </c>
      <c r="C545" s="1" t="s">
        <v>1723</v>
      </c>
      <c r="D545" s="1" t="s">
        <v>218</v>
      </c>
      <c r="E545" s="92" t="s">
        <v>1981</v>
      </c>
      <c r="F545" s="92" t="s">
        <v>1981</v>
      </c>
      <c r="G545" s="92" t="s">
        <v>1725</v>
      </c>
      <c r="H545" s="1" t="s">
        <v>1684</v>
      </c>
      <c r="I545" s="1" t="s">
        <v>973</v>
      </c>
      <c r="J545" s="1" t="s">
        <v>1726</v>
      </c>
      <c r="K545" s="1" t="s">
        <v>1727</v>
      </c>
      <c r="L545" s="1" t="s">
        <v>1728</v>
      </c>
    </row>
    <row r="546" spans="1:12">
      <c r="A546" s="1" t="s">
        <v>1571</v>
      </c>
      <c r="B546" s="1" t="s">
        <v>1572</v>
      </c>
      <c r="C546" s="1" t="s">
        <v>1723</v>
      </c>
      <c r="D546" s="1" t="s">
        <v>1693</v>
      </c>
      <c r="E546" s="1" t="s">
        <v>1694</v>
      </c>
      <c r="F546" s="1" t="s">
        <v>1694</v>
      </c>
      <c r="H546" s="1" t="s">
        <v>1684</v>
      </c>
      <c r="I546" s="1" t="s">
        <v>973</v>
      </c>
      <c r="J546" s="1" t="s">
        <v>1726</v>
      </c>
      <c r="K546" s="1" t="s">
        <v>1727</v>
      </c>
      <c r="L546" s="1" t="s">
        <v>1728</v>
      </c>
    </row>
    <row r="547" spans="1:12">
      <c r="A547" s="1" t="s">
        <v>1571</v>
      </c>
      <c r="B547" s="1" t="s">
        <v>1572</v>
      </c>
      <c r="C547" s="1" t="s">
        <v>1723</v>
      </c>
      <c r="D547" s="1" t="s">
        <v>1695</v>
      </c>
      <c r="E547" s="1" t="s">
        <v>1982</v>
      </c>
      <c r="F547" s="1" t="s">
        <v>1982</v>
      </c>
      <c r="H547" s="1" t="s">
        <v>1684</v>
      </c>
      <c r="I547" s="1" t="s">
        <v>973</v>
      </c>
      <c r="J547" s="1" t="s">
        <v>1726</v>
      </c>
      <c r="K547" s="1" t="s">
        <v>1727</v>
      </c>
      <c r="L547" s="1" t="s">
        <v>1728</v>
      </c>
    </row>
    <row r="548" spans="1:12">
      <c r="A548" s="1" t="s">
        <v>1571</v>
      </c>
      <c r="B548" s="1" t="s">
        <v>1572</v>
      </c>
      <c r="C548" s="1" t="s">
        <v>1723</v>
      </c>
      <c r="D548" s="1" t="s">
        <v>1697</v>
      </c>
      <c r="E548" s="1" t="s">
        <v>1698</v>
      </c>
      <c r="F548" s="1" t="s">
        <v>1698</v>
      </c>
      <c r="H548" s="1" t="s">
        <v>1684</v>
      </c>
      <c r="I548" s="1" t="s">
        <v>973</v>
      </c>
      <c r="J548" s="1" t="s">
        <v>1726</v>
      </c>
      <c r="K548" s="1" t="s">
        <v>1727</v>
      </c>
      <c r="L548" s="1" t="s">
        <v>1728</v>
      </c>
    </row>
    <row r="549" spans="1:12">
      <c r="A549" s="1" t="s">
        <v>1571</v>
      </c>
      <c r="B549" s="1" t="s">
        <v>1572</v>
      </c>
      <c r="C549" s="1" t="s">
        <v>1729</v>
      </c>
      <c r="D549" s="1" t="s">
        <v>1708</v>
      </c>
      <c r="E549" s="1" t="s">
        <v>1730</v>
      </c>
      <c r="F549" s="1" t="s">
        <v>1709</v>
      </c>
      <c r="H549" s="1" t="s">
        <v>1684</v>
      </c>
      <c r="I549" s="1" t="s">
        <v>1731</v>
      </c>
      <c r="J549" s="1" t="s">
        <v>1732</v>
      </c>
      <c r="K549" s="1" t="s">
        <v>1733</v>
      </c>
      <c r="L549" s="1" t="s">
        <v>1734</v>
      </c>
    </row>
    <row r="550" spans="1:12">
      <c r="A550" s="1" t="s">
        <v>1573</v>
      </c>
      <c r="B550" s="1" t="s">
        <v>1572</v>
      </c>
      <c r="C550" s="1" t="s">
        <v>1680</v>
      </c>
      <c r="D550" s="1" t="s">
        <v>1681</v>
      </c>
      <c r="E550" s="92" t="s">
        <v>1983</v>
      </c>
      <c r="F550" s="92" t="s">
        <v>1984</v>
      </c>
      <c r="H550" s="1" t="s">
        <v>1684</v>
      </c>
    </row>
    <row r="551" spans="1:12">
      <c r="A551" s="1" t="s">
        <v>1573</v>
      </c>
      <c r="B551" s="1" t="s">
        <v>1572</v>
      </c>
      <c r="C551" s="1" t="s">
        <v>1680</v>
      </c>
      <c r="D551" s="1" t="s">
        <v>1685</v>
      </c>
      <c r="E551" s="1" t="s">
        <v>1526</v>
      </c>
      <c r="F551" s="1" t="s">
        <v>1526</v>
      </c>
      <c r="H551" s="1" t="s">
        <v>1684</v>
      </c>
    </row>
    <row r="552" spans="1:12">
      <c r="A552" s="1" t="s">
        <v>1573</v>
      </c>
      <c r="B552" s="1" t="s">
        <v>1572</v>
      </c>
      <c r="C552" s="1" t="s">
        <v>1686</v>
      </c>
      <c r="D552" s="1" t="s">
        <v>1708</v>
      </c>
      <c r="E552" s="1" t="s">
        <v>1709</v>
      </c>
      <c r="F552" s="1" t="s">
        <v>1709</v>
      </c>
      <c r="H552" s="1" t="s">
        <v>1684</v>
      </c>
      <c r="I552" s="1" t="s">
        <v>1689</v>
      </c>
      <c r="J552" s="1" t="s">
        <v>1690</v>
      </c>
      <c r="K552" s="1" t="s">
        <v>1691</v>
      </c>
      <c r="L552" s="1" t="s">
        <v>1692</v>
      </c>
    </row>
    <row r="553" spans="1:12">
      <c r="A553" s="1" t="s">
        <v>1573</v>
      </c>
      <c r="B553" s="1" t="s">
        <v>1572</v>
      </c>
      <c r="C553" s="1" t="s">
        <v>1394</v>
      </c>
      <c r="D553" s="1" t="s">
        <v>218</v>
      </c>
      <c r="E553" s="92" t="s">
        <v>1985</v>
      </c>
      <c r="F553" s="92" t="s">
        <v>1985</v>
      </c>
      <c r="G553" s="92" t="s">
        <v>1775</v>
      </c>
      <c r="H553" s="1" t="s">
        <v>1684</v>
      </c>
      <c r="I553" s="1" t="s">
        <v>973</v>
      </c>
      <c r="J553" s="1" t="s">
        <v>1710</v>
      </c>
      <c r="K553" s="1" t="s">
        <v>1691</v>
      </c>
      <c r="L553" s="1" t="s">
        <v>1692</v>
      </c>
    </row>
    <row r="554" spans="1:12">
      <c r="A554" s="1" t="s">
        <v>1573</v>
      </c>
      <c r="B554" s="1" t="s">
        <v>1572</v>
      </c>
      <c r="C554" s="1" t="s">
        <v>1394</v>
      </c>
      <c r="D554" s="1" t="s">
        <v>1693</v>
      </c>
      <c r="E554" s="1" t="s">
        <v>1746</v>
      </c>
      <c r="F554" s="1" t="s">
        <v>1746</v>
      </c>
      <c r="H554" s="1" t="s">
        <v>1684</v>
      </c>
      <c r="I554" s="1" t="s">
        <v>973</v>
      </c>
      <c r="J554" s="1" t="s">
        <v>1710</v>
      </c>
      <c r="K554" s="1" t="s">
        <v>1691</v>
      </c>
      <c r="L554" s="1" t="s">
        <v>1692</v>
      </c>
    </row>
    <row r="555" spans="1:12">
      <c r="A555" s="1" t="s">
        <v>1573</v>
      </c>
      <c r="B555" s="1" t="s">
        <v>1572</v>
      </c>
      <c r="C555" s="1" t="s">
        <v>1394</v>
      </c>
      <c r="D555" s="1" t="s">
        <v>1695</v>
      </c>
      <c r="E555" s="1" t="s">
        <v>1746</v>
      </c>
      <c r="F555" s="1" t="s">
        <v>1746</v>
      </c>
      <c r="H555" s="1" t="s">
        <v>1684</v>
      </c>
      <c r="I555" s="1" t="s">
        <v>973</v>
      </c>
      <c r="J555" s="1" t="s">
        <v>1710</v>
      </c>
      <c r="K555" s="1" t="s">
        <v>1691</v>
      </c>
      <c r="L555" s="1" t="s">
        <v>1692</v>
      </c>
    </row>
    <row r="556" spans="1:12">
      <c r="A556" s="1" t="s">
        <v>1573</v>
      </c>
      <c r="B556" s="1" t="s">
        <v>1572</v>
      </c>
      <c r="C556" s="1" t="s">
        <v>1394</v>
      </c>
      <c r="D556" s="1" t="s">
        <v>1697</v>
      </c>
      <c r="E556" s="1" t="s">
        <v>1698</v>
      </c>
      <c r="F556" s="1" t="s">
        <v>1698</v>
      </c>
      <c r="H556" s="1" t="s">
        <v>1684</v>
      </c>
      <c r="I556" s="1" t="s">
        <v>973</v>
      </c>
      <c r="J556" s="1" t="s">
        <v>1710</v>
      </c>
      <c r="K556" s="1" t="s">
        <v>1691</v>
      </c>
      <c r="L556" s="1" t="s">
        <v>1692</v>
      </c>
    </row>
    <row r="557" spans="1:12">
      <c r="A557" s="1" t="s">
        <v>1573</v>
      </c>
      <c r="B557" s="1" t="s">
        <v>1572</v>
      </c>
      <c r="C557" s="1" t="s">
        <v>1394</v>
      </c>
      <c r="D557" s="1" t="s">
        <v>1699</v>
      </c>
      <c r="E557" s="92" t="s">
        <v>1986</v>
      </c>
      <c r="F557" s="92" t="s">
        <v>1987</v>
      </c>
      <c r="H557" s="1" t="s">
        <v>1684</v>
      </c>
      <c r="I557" s="1" t="s">
        <v>973</v>
      </c>
      <c r="J557" s="1" t="s">
        <v>1710</v>
      </c>
      <c r="K557" s="1" t="s">
        <v>1691</v>
      </c>
      <c r="L557" s="1" t="s">
        <v>1692</v>
      </c>
    </row>
    <row r="558" spans="1:12">
      <c r="A558" s="1" t="s">
        <v>1573</v>
      </c>
      <c r="B558" s="1" t="s">
        <v>1572</v>
      </c>
      <c r="C558" s="1" t="s">
        <v>1394</v>
      </c>
      <c r="D558" s="1" t="s">
        <v>1702</v>
      </c>
      <c r="E558" s="92" t="s">
        <v>1988</v>
      </c>
      <c r="F558" s="92" t="s">
        <v>1989</v>
      </c>
      <c r="H558" s="1" t="s">
        <v>1684</v>
      </c>
      <c r="I558" s="1" t="s">
        <v>973</v>
      </c>
      <c r="J558" s="1" t="s">
        <v>1710</v>
      </c>
      <c r="K558" s="1" t="s">
        <v>1691</v>
      </c>
      <c r="L558" s="1" t="s">
        <v>1692</v>
      </c>
    </row>
    <row r="559" spans="1:12">
      <c r="A559" s="1" t="s">
        <v>1573</v>
      </c>
      <c r="B559" s="1" t="s">
        <v>1572</v>
      </c>
      <c r="C559" s="1" t="s">
        <v>1394</v>
      </c>
      <c r="D559" s="1" t="s">
        <v>1705</v>
      </c>
      <c r="E559" s="92" t="s">
        <v>1990</v>
      </c>
      <c r="F559" s="92" t="s">
        <v>1991</v>
      </c>
      <c r="H559" s="1" t="s">
        <v>1684</v>
      </c>
      <c r="I559" s="1" t="s">
        <v>973</v>
      </c>
      <c r="J559" s="1" t="s">
        <v>1710</v>
      </c>
      <c r="K559" s="1" t="s">
        <v>1691</v>
      </c>
      <c r="L559" s="1" t="s">
        <v>1692</v>
      </c>
    </row>
    <row r="560" spans="1:12">
      <c r="A560" s="1" t="s">
        <v>1573</v>
      </c>
      <c r="B560" s="1" t="s">
        <v>1572</v>
      </c>
      <c r="C560" s="1" t="s">
        <v>1711</v>
      </c>
      <c r="D560" s="1" t="s">
        <v>1708</v>
      </c>
      <c r="E560" s="1" t="s">
        <v>1709</v>
      </c>
      <c r="F560" s="1" t="s">
        <v>1709</v>
      </c>
      <c r="H560" s="1" t="s">
        <v>1684</v>
      </c>
      <c r="I560" s="1" t="s">
        <v>1689</v>
      </c>
      <c r="J560" s="1" t="s">
        <v>1714</v>
      </c>
      <c r="K560" s="1" t="s">
        <v>1715</v>
      </c>
      <c r="L560" s="1" t="s">
        <v>1716</v>
      </c>
    </row>
    <row r="561" spans="1:12">
      <c r="A561" s="1" t="s">
        <v>1573</v>
      </c>
      <c r="B561" s="1" t="s">
        <v>1572</v>
      </c>
      <c r="C561" s="1" t="s">
        <v>1723</v>
      </c>
      <c r="D561" s="1" t="s">
        <v>218</v>
      </c>
      <c r="E561" s="92" t="s">
        <v>1992</v>
      </c>
      <c r="F561" s="92" t="s">
        <v>1992</v>
      </c>
      <c r="G561" s="92" t="s">
        <v>1831</v>
      </c>
      <c r="H561" s="1" t="s">
        <v>1684</v>
      </c>
      <c r="I561" s="1" t="s">
        <v>973</v>
      </c>
      <c r="J561" s="1" t="s">
        <v>1726</v>
      </c>
      <c r="K561" s="1" t="s">
        <v>1727</v>
      </c>
      <c r="L561" s="1" t="s">
        <v>1728</v>
      </c>
    </row>
    <row r="562" spans="1:12">
      <c r="A562" s="1" t="s">
        <v>1573</v>
      </c>
      <c r="B562" s="1" t="s">
        <v>1572</v>
      </c>
      <c r="C562" s="1" t="s">
        <v>1723</v>
      </c>
      <c r="D562" s="1" t="s">
        <v>1693</v>
      </c>
      <c r="E562" s="1" t="s">
        <v>1993</v>
      </c>
      <c r="F562" s="1" t="s">
        <v>1993</v>
      </c>
      <c r="H562" s="1" t="s">
        <v>1684</v>
      </c>
      <c r="I562" s="1" t="s">
        <v>973</v>
      </c>
      <c r="J562" s="1" t="s">
        <v>1726</v>
      </c>
      <c r="K562" s="1" t="s">
        <v>1727</v>
      </c>
      <c r="L562" s="1" t="s">
        <v>1728</v>
      </c>
    </row>
    <row r="563" spans="1:12">
      <c r="A563" s="1" t="s">
        <v>1573</v>
      </c>
      <c r="B563" s="1" t="s">
        <v>1572</v>
      </c>
      <c r="C563" s="1" t="s">
        <v>1723</v>
      </c>
      <c r="D563" s="1" t="s">
        <v>1695</v>
      </c>
      <c r="E563" s="1" t="s">
        <v>1993</v>
      </c>
      <c r="F563" s="1" t="s">
        <v>1993</v>
      </c>
      <c r="H563" s="1" t="s">
        <v>1684</v>
      </c>
      <c r="I563" s="1" t="s">
        <v>973</v>
      </c>
      <c r="J563" s="1" t="s">
        <v>1726</v>
      </c>
      <c r="K563" s="1" t="s">
        <v>1727</v>
      </c>
      <c r="L563" s="1" t="s">
        <v>1728</v>
      </c>
    </row>
    <row r="564" spans="1:12">
      <c r="A564" s="1" t="s">
        <v>1573</v>
      </c>
      <c r="B564" s="1" t="s">
        <v>1572</v>
      </c>
      <c r="C564" s="1" t="s">
        <v>1723</v>
      </c>
      <c r="D564" s="1" t="s">
        <v>1697</v>
      </c>
      <c r="E564" s="1" t="s">
        <v>1698</v>
      </c>
      <c r="F564" s="1" t="s">
        <v>1698</v>
      </c>
      <c r="H564" s="1" t="s">
        <v>1684</v>
      </c>
      <c r="I564" s="1" t="s">
        <v>973</v>
      </c>
      <c r="J564" s="1" t="s">
        <v>1726</v>
      </c>
      <c r="K564" s="1" t="s">
        <v>1727</v>
      </c>
      <c r="L564" s="1" t="s">
        <v>1728</v>
      </c>
    </row>
    <row r="565" spans="1:12">
      <c r="A565" s="1" t="s">
        <v>1573</v>
      </c>
      <c r="B565" s="1" t="s">
        <v>1572</v>
      </c>
      <c r="C565" s="1" t="s">
        <v>1729</v>
      </c>
      <c r="D565" s="1" t="s">
        <v>1708</v>
      </c>
      <c r="E565" s="1" t="s">
        <v>1730</v>
      </c>
      <c r="F565" s="1" t="s">
        <v>1709</v>
      </c>
      <c r="H565" s="1" t="s">
        <v>1684</v>
      </c>
      <c r="I565" s="1" t="s">
        <v>1731</v>
      </c>
      <c r="J565" s="1" t="s">
        <v>1732</v>
      </c>
      <c r="K565" s="1" t="s">
        <v>1733</v>
      </c>
      <c r="L565" s="1" t="s">
        <v>1734</v>
      </c>
    </row>
    <row r="566" spans="1:12">
      <c r="A566" s="1" t="s">
        <v>1574</v>
      </c>
      <c r="B566" s="1" t="s">
        <v>1572</v>
      </c>
      <c r="C566" s="1" t="s">
        <v>1680</v>
      </c>
      <c r="D566" s="1" t="s">
        <v>1681</v>
      </c>
      <c r="E566" s="92" t="s">
        <v>1983</v>
      </c>
      <c r="F566" s="92" t="s">
        <v>1984</v>
      </c>
      <c r="H566" s="1" t="s">
        <v>1684</v>
      </c>
    </row>
    <row r="567" spans="1:12">
      <c r="A567" s="1" t="s">
        <v>1574</v>
      </c>
      <c r="B567" s="1" t="s">
        <v>1572</v>
      </c>
      <c r="C567" s="1" t="s">
        <v>1680</v>
      </c>
      <c r="D567" s="1" t="s">
        <v>1685</v>
      </c>
      <c r="E567" s="1" t="s">
        <v>1526</v>
      </c>
      <c r="F567" s="1" t="s">
        <v>1526</v>
      </c>
      <c r="H567" s="1" t="s">
        <v>1684</v>
      </c>
    </row>
    <row r="568" spans="1:12">
      <c r="A568" s="1" t="s">
        <v>1574</v>
      </c>
      <c r="B568" s="1" t="s">
        <v>1572</v>
      </c>
      <c r="C568" s="1" t="s">
        <v>1686</v>
      </c>
      <c r="D568" s="1" t="s">
        <v>1708</v>
      </c>
      <c r="E568" s="1" t="s">
        <v>1709</v>
      </c>
      <c r="F568" s="1" t="s">
        <v>1709</v>
      </c>
      <c r="H568" s="1" t="s">
        <v>1684</v>
      </c>
      <c r="I568" s="1" t="s">
        <v>1689</v>
      </c>
      <c r="J568" s="1" t="s">
        <v>1690</v>
      </c>
      <c r="K568" s="1" t="s">
        <v>1691</v>
      </c>
      <c r="L568" s="1" t="s">
        <v>1692</v>
      </c>
    </row>
    <row r="569" spans="1:12">
      <c r="A569" s="1" t="s">
        <v>1574</v>
      </c>
      <c r="B569" s="1" t="s">
        <v>1572</v>
      </c>
      <c r="C569" s="1" t="s">
        <v>1394</v>
      </c>
      <c r="D569" s="1" t="s">
        <v>218</v>
      </c>
      <c r="E569" s="92" t="s">
        <v>1994</v>
      </c>
      <c r="F569" s="92" t="s">
        <v>1994</v>
      </c>
      <c r="G569" s="92" t="s">
        <v>1822</v>
      </c>
      <c r="H569" s="1" t="s">
        <v>1684</v>
      </c>
      <c r="I569" s="1" t="s">
        <v>973</v>
      </c>
      <c r="J569" s="1" t="s">
        <v>1710</v>
      </c>
      <c r="K569" s="1" t="s">
        <v>1691</v>
      </c>
      <c r="L569" s="1" t="s">
        <v>1692</v>
      </c>
    </row>
    <row r="570" spans="1:12">
      <c r="A570" s="1" t="s">
        <v>1574</v>
      </c>
      <c r="B570" s="1" t="s">
        <v>1572</v>
      </c>
      <c r="C570" s="1" t="s">
        <v>1394</v>
      </c>
      <c r="D570" s="1" t="s">
        <v>1693</v>
      </c>
      <c r="E570" s="1" t="s">
        <v>1694</v>
      </c>
      <c r="F570" s="1" t="s">
        <v>1694</v>
      </c>
      <c r="H570" s="1" t="s">
        <v>1684</v>
      </c>
      <c r="I570" s="1" t="s">
        <v>973</v>
      </c>
      <c r="J570" s="1" t="s">
        <v>1710</v>
      </c>
      <c r="K570" s="1" t="s">
        <v>1691</v>
      </c>
      <c r="L570" s="1" t="s">
        <v>1692</v>
      </c>
    </row>
    <row r="571" spans="1:12">
      <c r="A571" s="1" t="s">
        <v>1574</v>
      </c>
      <c r="B571" s="1" t="s">
        <v>1572</v>
      </c>
      <c r="C571" s="1" t="s">
        <v>1394</v>
      </c>
      <c r="D571" s="1" t="s">
        <v>1695</v>
      </c>
      <c r="E571" s="1" t="s">
        <v>1849</v>
      </c>
      <c r="F571" s="1" t="s">
        <v>1849</v>
      </c>
      <c r="H571" s="1" t="s">
        <v>1684</v>
      </c>
      <c r="I571" s="1" t="s">
        <v>973</v>
      </c>
      <c r="J571" s="1" t="s">
        <v>1710</v>
      </c>
      <c r="K571" s="1" t="s">
        <v>1691</v>
      </c>
      <c r="L571" s="1" t="s">
        <v>1692</v>
      </c>
    </row>
    <row r="572" spans="1:12">
      <c r="A572" s="1" t="s">
        <v>1574</v>
      </c>
      <c r="B572" s="1" t="s">
        <v>1572</v>
      </c>
      <c r="C572" s="1" t="s">
        <v>1394</v>
      </c>
      <c r="D572" s="1" t="s">
        <v>1697</v>
      </c>
      <c r="E572" s="1" t="s">
        <v>1698</v>
      </c>
      <c r="F572" s="1" t="s">
        <v>1698</v>
      </c>
      <c r="H572" s="1" t="s">
        <v>1684</v>
      </c>
      <c r="I572" s="1" t="s">
        <v>973</v>
      </c>
      <c r="J572" s="1" t="s">
        <v>1710</v>
      </c>
      <c r="K572" s="1" t="s">
        <v>1691</v>
      </c>
      <c r="L572" s="1" t="s">
        <v>1692</v>
      </c>
    </row>
    <row r="573" spans="1:12">
      <c r="A573" s="1" t="s">
        <v>1574</v>
      </c>
      <c r="B573" s="1" t="s">
        <v>1572</v>
      </c>
      <c r="C573" s="1" t="s">
        <v>1394</v>
      </c>
      <c r="D573" s="1" t="s">
        <v>1699</v>
      </c>
      <c r="E573" s="92" t="s">
        <v>1986</v>
      </c>
      <c r="F573" s="92" t="s">
        <v>1987</v>
      </c>
      <c r="H573" s="1" t="s">
        <v>1684</v>
      </c>
      <c r="I573" s="1" t="s">
        <v>973</v>
      </c>
      <c r="J573" s="1" t="s">
        <v>1710</v>
      </c>
      <c r="K573" s="1" t="s">
        <v>1691</v>
      </c>
      <c r="L573" s="1" t="s">
        <v>1692</v>
      </c>
    </row>
    <row r="574" spans="1:12">
      <c r="A574" s="1" t="s">
        <v>1574</v>
      </c>
      <c r="B574" s="1" t="s">
        <v>1572</v>
      </c>
      <c r="C574" s="1" t="s">
        <v>1394</v>
      </c>
      <c r="D574" s="1" t="s">
        <v>1702</v>
      </c>
      <c r="E574" s="92" t="s">
        <v>1988</v>
      </c>
      <c r="F574" s="92" t="s">
        <v>1989</v>
      </c>
      <c r="H574" s="1" t="s">
        <v>1684</v>
      </c>
      <c r="I574" s="1" t="s">
        <v>973</v>
      </c>
      <c r="J574" s="1" t="s">
        <v>1710</v>
      </c>
      <c r="K574" s="1" t="s">
        <v>1691</v>
      </c>
      <c r="L574" s="1" t="s">
        <v>1692</v>
      </c>
    </row>
    <row r="575" spans="1:12">
      <c r="A575" s="1" t="s">
        <v>1574</v>
      </c>
      <c r="B575" s="1" t="s">
        <v>1572</v>
      </c>
      <c r="C575" s="1" t="s">
        <v>1394</v>
      </c>
      <c r="D575" s="1" t="s">
        <v>1705</v>
      </c>
      <c r="E575" s="92" t="s">
        <v>1990</v>
      </c>
      <c r="F575" s="92" t="s">
        <v>1991</v>
      </c>
      <c r="H575" s="1" t="s">
        <v>1684</v>
      </c>
      <c r="I575" s="1" t="s">
        <v>973</v>
      </c>
      <c r="J575" s="1" t="s">
        <v>1710</v>
      </c>
      <c r="K575" s="1" t="s">
        <v>1691</v>
      </c>
      <c r="L575" s="1" t="s">
        <v>1692</v>
      </c>
    </row>
    <row r="576" spans="1:12">
      <c r="A576" s="1" t="s">
        <v>1574</v>
      </c>
      <c r="B576" s="1" t="s">
        <v>1572</v>
      </c>
      <c r="C576" s="1" t="s">
        <v>1711</v>
      </c>
      <c r="D576" s="1" t="s">
        <v>1708</v>
      </c>
      <c r="E576" s="1" t="s">
        <v>1709</v>
      </c>
      <c r="F576" s="1" t="s">
        <v>1709</v>
      </c>
      <c r="H576" s="1" t="s">
        <v>1684</v>
      </c>
      <c r="I576" s="1" t="s">
        <v>1689</v>
      </c>
      <c r="J576" s="1" t="s">
        <v>1714</v>
      </c>
      <c r="K576" s="1" t="s">
        <v>1715</v>
      </c>
      <c r="L576" s="1" t="s">
        <v>1716</v>
      </c>
    </row>
    <row r="577" spans="1:12">
      <c r="A577" s="1" t="s">
        <v>1574</v>
      </c>
      <c r="B577" s="1" t="s">
        <v>1572</v>
      </c>
      <c r="C577" s="1" t="s">
        <v>1723</v>
      </c>
      <c r="D577" s="1" t="s">
        <v>218</v>
      </c>
      <c r="E577" s="92" t="s">
        <v>1992</v>
      </c>
      <c r="F577" s="92" t="s">
        <v>1992</v>
      </c>
      <c r="G577" s="92" t="s">
        <v>1831</v>
      </c>
      <c r="H577" s="1" t="s">
        <v>1684</v>
      </c>
      <c r="I577" s="1" t="s">
        <v>973</v>
      </c>
      <c r="J577" s="1" t="s">
        <v>1726</v>
      </c>
      <c r="K577" s="1" t="s">
        <v>1727</v>
      </c>
      <c r="L577" s="1" t="s">
        <v>1728</v>
      </c>
    </row>
    <row r="578" spans="1:12">
      <c r="A578" s="1" t="s">
        <v>1574</v>
      </c>
      <c r="B578" s="1" t="s">
        <v>1572</v>
      </c>
      <c r="C578" s="1" t="s">
        <v>1723</v>
      </c>
      <c r="D578" s="1" t="s">
        <v>1693</v>
      </c>
      <c r="E578" s="1" t="s">
        <v>1993</v>
      </c>
      <c r="F578" s="1" t="s">
        <v>1993</v>
      </c>
      <c r="H578" s="1" t="s">
        <v>1684</v>
      </c>
      <c r="I578" s="1" t="s">
        <v>973</v>
      </c>
      <c r="J578" s="1" t="s">
        <v>1726</v>
      </c>
      <c r="K578" s="1" t="s">
        <v>1727</v>
      </c>
      <c r="L578" s="1" t="s">
        <v>1728</v>
      </c>
    </row>
    <row r="579" spans="1:12">
      <c r="A579" s="1" t="s">
        <v>1574</v>
      </c>
      <c r="B579" s="1" t="s">
        <v>1572</v>
      </c>
      <c r="C579" s="1" t="s">
        <v>1723</v>
      </c>
      <c r="D579" s="1" t="s">
        <v>1695</v>
      </c>
      <c r="E579" s="1" t="s">
        <v>1993</v>
      </c>
      <c r="F579" s="1" t="s">
        <v>1993</v>
      </c>
      <c r="H579" s="1" t="s">
        <v>1684</v>
      </c>
      <c r="I579" s="1" t="s">
        <v>973</v>
      </c>
      <c r="J579" s="1" t="s">
        <v>1726</v>
      </c>
      <c r="K579" s="1" t="s">
        <v>1727</v>
      </c>
      <c r="L579" s="1" t="s">
        <v>1728</v>
      </c>
    </row>
    <row r="580" spans="1:12">
      <c r="A580" s="1" t="s">
        <v>1574</v>
      </c>
      <c r="B580" s="1" t="s">
        <v>1572</v>
      </c>
      <c r="C580" s="1" t="s">
        <v>1723</v>
      </c>
      <c r="D580" s="1" t="s">
        <v>1697</v>
      </c>
      <c r="E580" s="1" t="s">
        <v>1698</v>
      </c>
      <c r="F580" s="1" t="s">
        <v>1698</v>
      </c>
      <c r="H580" s="1" t="s">
        <v>1684</v>
      </c>
      <c r="I580" s="1" t="s">
        <v>973</v>
      </c>
      <c r="J580" s="1" t="s">
        <v>1726</v>
      </c>
      <c r="K580" s="1" t="s">
        <v>1727</v>
      </c>
      <c r="L580" s="1" t="s">
        <v>1728</v>
      </c>
    </row>
    <row r="581" spans="1:12">
      <c r="A581" s="1" t="s">
        <v>1574</v>
      </c>
      <c r="B581" s="1" t="s">
        <v>1572</v>
      </c>
      <c r="C581" s="1" t="s">
        <v>1729</v>
      </c>
      <c r="D581" s="1" t="s">
        <v>1708</v>
      </c>
      <c r="E581" s="1" t="s">
        <v>1730</v>
      </c>
      <c r="F581" s="1" t="s">
        <v>1709</v>
      </c>
      <c r="H581" s="1" t="s">
        <v>1684</v>
      </c>
      <c r="I581" s="1" t="s">
        <v>1731</v>
      </c>
      <c r="J581" s="1" t="s">
        <v>1732</v>
      </c>
      <c r="K581" s="1" t="s">
        <v>1733</v>
      </c>
      <c r="L581" s="1" t="s">
        <v>1734</v>
      </c>
    </row>
    <row r="582" spans="1:12">
      <c r="A582" s="1" t="s">
        <v>1576</v>
      </c>
      <c r="B582" s="1" t="s">
        <v>1572</v>
      </c>
      <c r="C582" s="1" t="s">
        <v>1680</v>
      </c>
      <c r="D582" s="1" t="s">
        <v>1681</v>
      </c>
      <c r="E582" s="92" t="s">
        <v>1995</v>
      </c>
      <c r="F582" s="92" t="s">
        <v>1996</v>
      </c>
      <c r="H582" s="1" t="s">
        <v>1684</v>
      </c>
    </row>
    <row r="583" spans="1:12">
      <c r="A583" s="1" t="s">
        <v>1576</v>
      </c>
      <c r="B583" s="1" t="s">
        <v>1572</v>
      </c>
      <c r="C583" s="1" t="s">
        <v>1680</v>
      </c>
      <c r="D583" s="1" t="s">
        <v>1685</v>
      </c>
      <c r="E583" s="1" t="s">
        <v>1526</v>
      </c>
      <c r="F583" s="1" t="s">
        <v>1526</v>
      </c>
      <c r="H583" s="1" t="s">
        <v>1684</v>
      </c>
    </row>
    <row r="584" spans="1:12">
      <c r="A584" s="1" t="s">
        <v>1576</v>
      </c>
      <c r="B584" s="1" t="s">
        <v>1572</v>
      </c>
      <c r="C584" s="1" t="s">
        <v>1686</v>
      </c>
      <c r="D584" s="1" t="s">
        <v>1708</v>
      </c>
      <c r="E584" s="1" t="s">
        <v>1709</v>
      </c>
      <c r="F584" s="1" t="s">
        <v>1709</v>
      </c>
      <c r="H584" s="1" t="s">
        <v>1684</v>
      </c>
      <c r="I584" s="1" t="s">
        <v>1689</v>
      </c>
      <c r="J584" s="1" t="s">
        <v>1690</v>
      </c>
      <c r="K584" s="1" t="s">
        <v>1691</v>
      </c>
      <c r="L584" s="1" t="s">
        <v>1692</v>
      </c>
    </row>
    <row r="585" spans="1:12">
      <c r="A585" s="1" t="s">
        <v>1576</v>
      </c>
      <c r="B585" s="1" t="s">
        <v>1572</v>
      </c>
      <c r="C585" s="1" t="s">
        <v>1394</v>
      </c>
      <c r="D585" s="1" t="s">
        <v>218</v>
      </c>
      <c r="E585" s="92" t="s">
        <v>1997</v>
      </c>
      <c r="F585" s="92" t="s">
        <v>1997</v>
      </c>
      <c r="G585" s="92" t="s">
        <v>1713</v>
      </c>
      <c r="H585" s="1" t="s">
        <v>1684</v>
      </c>
      <c r="I585" s="1" t="s">
        <v>973</v>
      </c>
      <c r="J585" s="1" t="s">
        <v>1710</v>
      </c>
      <c r="K585" s="1" t="s">
        <v>1691</v>
      </c>
      <c r="L585" s="1" t="s">
        <v>1692</v>
      </c>
    </row>
    <row r="586" spans="1:12">
      <c r="A586" s="1" t="s">
        <v>1576</v>
      </c>
      <c r="B586" s="1" t="s">
        <v>1572</v>
      </c>
      <c r="C586" s="1" t="s">
        <v>1394</v>
      </c>
      <c r="D586" s="1" t="s">
        <v>1693</v>
      </c>
      <c r="E586" s="1" t="s">
        <v>1746</v>
      </c>
      <c r="F586" s="1" t="s">
        <v>1746</v>
      </c>
      <c r="H586" s="1" t="s">
        <v>1684</v>
      </c>
      <c r="I586" s="1" t="s">
        <v>973</v>
      </c>
      <c r="J586" s="1" t="s">
        <v>1710</v>
      </c>
      <c r="K586" s="1" t="s">
        <v>1691</v>
      </c>
      <c r="L586" s="1" t="s">
        <v>1692</v>
      </c>
    </row>
    <row r="587" spans="1:12">
      <c r="A587" s="1" t="s">
        <v>1576</v>
      </c>
      <c r="B587" s="1" t="s">
        <v>1572</v>
      </c>
      <c r="C587" s="1" t="s">
        <v>1394</v>
      </c>
      <c r="D587" s="1" t="s">
        <v>1695</v>
      </c>
      <c r="E587" s="1" t="s">
        <v>1746</v>
      </c>
      <c r="F587" s="1" t="s">
        <v>1746</v>
      </c>
      <c r="H587" s="1" t="s">
        <v>1684</v>
      </c>
      <c r="I587" s="1" t="s">
        <v>973</v>
      </c>
      <c r="J587" s="1" t="s">
        <v>1710</v>
      </c>
      <c r="K587" s="1" t="s">
        <v>1691</v>
      </c>
      <c r="L587" s="1" t="s">
        <v>1692</v>
      </c>
    </row>
    <row r="588" spans="1:12">
      <c r="A588" s="1" t="s">
        <v>1576</v>
      </c>
      <c r="B588" s="1" t="s">
        <v>1572</v>
      </c>
      <c r="C588" s="1" t="s">
        <v>1394</v>
      </c>
      <c r="D588" s="1" t="s">
        <v>1697</v>
      </c>
      <c r="E588" s="1" t="s">
        <v>1698</v>
      </c>
      <c r="F588" s="1" t="s">
        <v>1698</v>
      </c>
      <c r="H588" s="1" t="s">
        <v>1684</v>
      </c>
      <c r="I588" s="1" t="s">
        <v>973</v>
      </c>
      <c r="J588" s="1" t="s">
        <v>1710</v>
      </c>
      <c r="K588" s="1" t="s">
        <v>1691</v>
      </c>
      <c r="L588" s="1" t="s">
        <v>1692</v>
      </c>
    </row>
    <row r="589" spans="1:12">
      <c r="A589" s="1" t="s">
        <v>1576</v>
      </c>
      <c r="B589" s="1" t="s">
        <v>1572</v>
      </c>
      <c r="C589" s="1" t="s">
        <v>1394</v>
      </c>
      <c r="D589" s="1" t="s">
        <v>1699</v>
      </c>
      <c r="E589" s="92" t="s">
        <v>1998</v>
      </c>
      <c r="F589" s="92" t="s">
        <v>1999</v>
      </c>
      <c r="H589" s="1" t="s">
        <v>1684</v>
      </c>
      <c r="I589" s="1" t="s">
        <v>973</v>
      </c>
      <c r="J589" s="1" t="s">
        <v>1710</v>
      </c>
      <c r="K589" s="1" t="s">
        <v>1691</v>
      </c>
      <c r="L589" s="1" t="s">
        <v>1692</v>
      </c>
    </row>
    <row r="590" spans="1:12">
      <c r="A590" s="1" t="s">
        <v>1576</v>
      </c>
      <c r="B590" s="1" t="s">
        <v>1572</v>
      </c>
      <c r="C590" s="1" t="s">
        <v>1394</v>
      </c>
      <c r="D590" s="1" t="s">
        <v>1702</v>
      </c>
      <c r="E590" s="92" t="s">
        <v>2000</v>
      </c>
      <c r="F590" s="92" t="s">
        <v>2001</v>
      </c>
      <c r="H590" s="1" t="s">
        <v>1684</v>
      </c>
      <c r="I590" s="1" t="s">
        <v>973</v>
      </c>
      <c r="J590" s="1" t="s">
        <v>1710</v>
      </c>
      <c r="K590" s="1" t="s">
        <v>1691</v>
      </c>
      <c r="L590" s="1" t="s">
        <v>1692</v>
      </c>
    </row>
    <row r="591" spans="1:12">
      <c r="A591" s="1" t="s">
        <v>1576</v>
      </c>
      <c r="B591" s="1" t="s">
        <v>1572</v>
      </c>
      <c r="C591" s="1" t="s">
        <v>1394</v>
      </c>
      <c r="D591" s="1" t="s">
        <v>1705</v>
      </c>
      <c r="E591" s="92" t="s">
        <v>2002</v>
      </c>
      <c r="F591" s="92" t="s">
        <v>1867</v>
      </c>
      <c r="H591" s="1" t="s">
        <v>1684</v>
      </c>
      <c r="I591" s="1" t="s">
        <v>973</v>
      </c>
      <c r="J591" s="1" t="s">
        <v>1710</v>
      </c>
      <c r="K591" s="1" t="s">
        <v>1691</v>
      </c>
      <c r="L591" s="1" t="s">
        <v>1692</v>
      </c>
    </row>
    <row r="592" spans="1:12">
      <c r="A592" s="1" t="s">
        <v>1576</v>
      </c>
      <c r="B592" s="1" t="s">
        <v>1572</v>
      </c>
      <c r="C592" s="1" t="s">
        <v>1711</v>
      </c>
      <c r="D592" s="1" t="s">
        <v>1708</v>
      </c>
      <c r="E592" s="1" t="s">
        <v>1709</v>
      </c>
      <c r="F592" s="1" t="s">
        <v>1709</v>
      </c>
      <c r="H592" s="1" t="s">
        <v>1684</v>
      </c>
      <c r="I592" s="1" t="s">
        <v>1689</v>
      </c>
      <c r="J592" s="1" t="s">
        <v>1714</v>
      </c>
      <c r="K592" s="1" t="s">
        <v>1715</v>
      </c>
      <c r="L592" s="1" t="s">
        <v>1716</v>
      </c>
    </row>
    <row r="593" spans="1:12">
      <c r="A593" s="1" t="s">
        <v>1576</v>
      </c>
      <c r="B593" s="1" t="s">
        <v>1572</v>
      </c>
      <c r="C593" s="1" t="s">
        <v>1723</v>
      </c>
      <c r="D593" s="1" t="s">
        <v>218</v>
      </c>
      <c r="E593" s="92" t="s">
        <v>2003</v>
      </c>
      <c r="F593" s="92" t="s">
        <v>2003</v>
      </c>
      <c r="G593" s="92" t="s">
        <v>1831</v>
      </c>
      <c r="H593" s="1" t="s">
        <v>1684</v>
      </c>
      <c r="I593" s="1" t="s">
        <v>973</v>
      </c>
      <c r="J593" s="1" t="s">
        <v>1726</v>
      </c>
      <c r="K593" s="1" t="s">
        <v>1727</v>
      </c>
      <c r="L593" s="1" t="s">
        <v>1728</v>
      </c>
    </row>
    <row r="594" spans="1:12">
      <c r="A594" s="1" t="s">
        <v>1576</v>
      </c>
      <c r="B594" s="1" t="s">
        <v>1572</v>
      </c>
      <c r="C594" s="1" t="s">
        <v>1723</v>
      </c>
      <c r="D594" s="1" t="s">
        <v>1693</v>
      </c>
      <c r="E594" s="1" t="s">
        <v>1694</v>
      </c>
      <c r="F594" s="1" t="s">
        <v>1694</v>
      </c>
      <c r="H594" s="1" t="s">
        <v>1684</v>
      </c>
      <c r="I594" s="1" t="s">
        <v>973</v>
      </c>
      <c r="J594" s="1" t="s">
        <v>1726</v>
      </c>
      <c r="K594" s="1" t="s">
        <v>1727</v>
      </c>
      <c r="L594" s="1" t="s">
        <v>1728</v>
      </c>
    </row>
    <row r="595" spans="1:12">
      <c r="A595" s="1" t="s">
        <v>1576</v>
      </c>
      <c r="B595" s="1" t="s">
        <v>1572</v>
      </c>
      <c r="C595" s="1" t="s">
        <v>1723</v>
      </c>
      <c r="D595" s="1" t="s">
        <v>1695</v>
      </c>
      <c r="E595" s="1" t="s">
        <v>2004</v>
      </c>
      <c r="F595" s="1" t="s">
        <v>2004</v>
      </c>
      <c r="H595" s="1" t="s">
        <v>1684</v>
      </c>
      <c r="I595" s="1" t="s">
        <v>973</v>
      </c>
      <c r="J595" s="1" t="s">
        <v>1726</v>
      </c>
      <c r="K595" s="1" t="s">
        <v>1727</v>
      </c>
      <c r="L595" s="1" t="s">
        <v>1728</v>
      </c>
    </row>
    <row r="596" spans="1:12">
      <c r="A596" s="1" t="s">
        <v>1576</v>
      </c>
      <c r="B596" s="1" t="s">
        <v>1572</v>
      </c>
      <c r="C596" s="1" t="s">
        <v>1723</v>
      </c>
      <c r="D596" s="1" t="s">
        <v>1697</v>
      </c>
      <c r="E596" s="1" t="s">
        <v>1698</v>
      </c>
      <c r="F596" s="1" t="s">
        <v>1698</v>
      </c>
      <c r="H596" s="1" t="s">
        <v>1684</v>
      </c>
      <c r="I596" s="1" t="s">
        <v>973</v>
      </c>
      <c r="J596" s="1" t="s">
        <v>1726</v>
      </c>
      <c r="K596" s="1" t="s">
        <v>1727</v>
      </c>
      <c r="L596" s="1" t="s">
        <v>1728</v>
      </c>
    </row>
    <row r="597" spans="1:12">
      <c r="A597" s="1" t="s">
        <v>1576</v>
      </c>
      <c r="B597" s="1" t="s">
        <v>1572</v>
      </c>
      <c r="C597" s="1" t="s">
        <v>1729</v>
      </c>
      <c r="D597" s="1" t="s">
        <v>1708</v>
      </c>
      <c r="E597" s="1" t="s">
        <v>1730</v>
      </c>
      <c r="F597" s="1" t="s">
        <v>1709</v>
      </c>
      <c r="H597" s="1" t="s">
        <v>1684</v>
      </c>
      <c r="I597" s="1" t="s">
        <v>1731</v>
      </c>
      <c r="J597" s="1" t="s">
        <v>1732</v>
      </c>
      <c r="K597" s="1" t="s">
        <v>1733</v>
      </c>
      <c r="L597" s="1" t="s">
        <v>1734</v>
      </c>
    </row>
    <row r="598" spans="1:12">
      <c r="A598" s="1" t="s">
        <v>1577</v>
      </c>
      <c r="B598" s="1" t="s">
        <v>1572</v>
      </c>
      <c r="C598" s="1" t="s">
        <v>1680</v>
      </c>
      <c r="D598" s="1" t="s">
        <v>1681</v>
      </c>
      <c r="E598" s="92" t="s">
        <v>2005</v>
      </c>
      <c r="F598" s="92" t="s">
        <v>2006</v>
      </c>
      <c r="H598" s="1" t="s">
        <v>1684</v>
      </c>
    </row>
    <row r="599" spans="1:12">
      <c r="A599" s="1" t="s">
        <v>1577</v>
      </c>
      <c r="B599" s="1" t="s">
        <v>1572</v>
      </c>
      <c r="C599" s="1" t="s">
        <v>1680</v>
      </c>
      <c r="D599" s="1" t="s">
        <v>1685</v>
      </c>
      <c r="E599" s="1" t="s">
        <v>1526</v>
      </c>
      <c r="F599" s="1" t="s">
        <v>1526</v>
      </c>
      <c r="H599" s="1" t="s">
        <v>1684</v>
      </c>
    </row>
    <row r="600" spans="1:12">
      <c r="A600" s="1" t="s">
        <v>1577</v>
      </c>
      <c r="B600" s="1" t="s">
        <v>1572</v>
      </c>
      <c r="C600" s="1" t="s">
        <v>1686</v>
      </c>
      <c r="D600" s="1" t="s">
        <v>1708</v>
      </c>
      <c r="E600" s="1" t="s">
        <v>1709</v>
      </c>
      <c r="F600" s="1" t="s">
        <v>1709</v>
      </c>
      <c r="H600" s="1" t="s">
        <v>1684</v>
      </c>
      <c r="I600" s="1" t="s">
        <v>1689</v>
      </c>
      <c r="J600" s="1" t="s">
        <v>1690</v>
      </c>
      <c r="K600" s="1" t="s">
        <v>1691</v>
      </c>
      <c r="L600" s="1" t="s">
        <v>1692</v>
      </c>
    </row>
    <row r="601" spans="1:12">
      <c r="A601" s="1" t="s">
        <v>1577</v>
      </c>
      <c r="B601" s="1" t="s">
        <v>1572</v>
      </c>
      <c r="C601" s="1" t="s">
        <v>1394</v>
      </c>
      <c r="D601" s="1" t="s">
        <v>218</v>
      </c>
      <c r="E601" s="92" t="s">
        <v>1875</v>
      </c>
      <c r="F601" s="92" t="s">
        <v>1875</v>
      </c>
      <c r="G601" s="92" t="s">
        <v>1713</v>
      </c>
      <c r="H601" s="1" t="s">
        <v>1684</v>
      </c>
      <c r="I601" s="1" t="s">
        <v>973</v>
      </c>
      <c r="J601" s="1" t="s">
        <v>1710</v>
      </c>
      <c r="K601" s="1" t="s">
        <v>1691</v>
      </c>
      <c r="L601" s="1" t="s">
        <v>1692</v>
      </c>
    </row>
    <row r="602" spans="1:12">
      <c r="A602" s="1" t="s">
        <v>1577</v>
      </c>
      <c r="B602" s="1" t="s">
        <v>1572</v>
      </c>
      <c r="C602" s="1" t="s">
        <v>1394</v>
      </c>
      <c r="D602" s="1" t="s">
        <v>1693</v>
      </c>
      <c r="E602" s="1" t="s">
        <v>1694</v>
      </c>
      <c r="F602" s="1" t="s">
        <v>1694</v>
      </c>
      <c r="H602" s="1" t="s">
        <v>1684</v>
      </c>
      <c r="I602" s="1" t="s">
        <v>973</v>
      </c>
      <c r="J602" s="1" t="s">
        <v>1710</v>
      </c>
      <c r="K602" s="1" t="s">
        <v>1691</v>
      </c>
      <c r="L602" s="1" t="s">
        <v>1692</v>
      </c>
    </row>
    <row r="603" spans="1:12">
      <c r="A603" s="1" t="s">
        <v>1577</v>
      </c>
      <c r="B603" s="1" t="s">
        <v>1572</v>
      </c>
      <c r="C603" s="1" t="s">
        <v>1394</v>
      </c>
      <c r="D603" s="1" t="s">
        <v>1695</v>
      </c>
      <c r="E603" s="1" t="s">
        <v>1694</v>
      </c>
      <c r="F603" s="1" t="s">
        <v>1694</v>
      </c>
      <c r="H603" s="1" t="s">
        <v>1684</v>
      </c>
      <c r="I603" s="1" t="s">
        <v>973</v>
      </c>
      <c r="J603" s="1" t="s">
        <v>1710</v>
      </c>
      <c r="K603" s="1" t="s">
        <v>1691</v>
      </c>
      <c r="L603" s="1" t="s">
        <v>1692</v>
      </c>
    </row>
    <row r="604" spans="1:12">
      <c r="A604" s="1" t="s">
        <v>1577</v>
      </c>
      <c r="B604" s="1" t="s">
        <v>1572</v>
      </c>
      <c r="C604" s="1" t="s">
        <v>1394</v>
      </c>
      <c r="D604" s="1" t="s">
        <v>1697</v>
      </c>
      <c r="E604" s="1" t="s">
        <v>1698</v>
      </c>
      <c r="F604" s="1" t="s">
        <v>1698</v>
      </c>
      <c r="H604" s="1" t="s">
        <v>1684</v>
      </c>
      <c r="I604" s="1" t="s">
        <v>973</v>
      </c>
      <c r="J604" s="1" t="s">
        <v>1710</v>
      </c>
      <c r="K604" s="1" t="s">
        <v>1691</v>
      </c>
      <c r="L604" s="1" t="s">
        <v>1692</v>
      </c>
    </row>
    <row r="605" spans="1:12">
      <c r="A605" s="1" t="s">
        <v>1577</v>
      </c>
      <c r="B605" s="1" t="s">
        <v>1572</v>
      </c>
      <c r="C605" s="1" t="s">
        <v>1394</v>
      </c>
      <c r="D605" s="1" t="s">
        <v>1699</v>
      </c>
      <c r="E605" s="92" t="s">
        <v>2007</v>
      </c>
      <c r="F605" s="92" t="s">
        <v>2008</v>
      </c>
      <c r="H605" s="1" t="s">
        <v>1684</v>
      </c>
      <c r="I605" s="1" t="s">
        <v>973</v>
      </c>
      <c r="J605" s="1" t="s">
        <v>1710</v>
      </c>
      <c r="K605" s="1" t="s">
        <v>1691</v>
      </c>
      <c r="L605" s="1" t="s">
        <v>1692</v>
      </c>
    </row>
    <row r="606" spans="1:12">
      <c r="A606" s="1" t="s">
        <v>1577</v>
      </c>
      <c r="B606" s="1" t="s">
        <v>1572</v>
      </c>
      <c r="C606" s="1" t="s">
        <v>1394</v>
      </c>
      <c r="D606" s="1" t="s">
        <v>1702</v>
      </c>
      <c r="E606" s="92" t="s">
        <v>2009</v>
      </c>
      <c r="F606" s="92" t="s">
        <v>2010</v>
      </c>
      <c r="H606" s="1" t="s">
        <v>1684</v>
      </c>
      <c r="I606" s="1" t="s">
        <v>973</v>
      </c>
      <c r="J606" s="1" t="s">
        <v>1710</v>
      </c>
      <c r="K606" s="1" t="s">
        <v>1691</v>
      </c>
      <c r="L606" s="1" t="s">
        <v>1692</v>
      </c>
    </row>
    <row r="607" spans="1:12">
      <c r="A607" s="1" t="s">
        <v>1577</v>
      </c>
      <c r="B607" s="1" t="s">
        <v>1572</v>
      </c>
      <c r="C607" s="1" t="s">
        <v>1394</v>
      </c>
      <c r="D607" s="1" t="s">
        <v>1705</v>
      </c>
      <c r="E607" s="92" t="s">
        <v>2011</v>
      </c>
      <c r="F607" s="92" t="s">
        <v>1883</v>
      </c>
      <c r="H607" s="1" t="s">
        <v>1684</v>
      </c>
      <c r="I607" s="1" t="s">
        <v>973</v>
      </c>
      <c r="J607" s="1" t="s">
        <v>1710</v>
      </c>
      <c r="K607" s="1" t="s">
        <v>1691</v>
      </c>
      <c r="L607" s="1" t="s">
        <v>1692</v>
      </c>
    </row>
    <row r="608" spans="1:12">
      <c r="A608" s="1" t="s">
        <v>1577</v>
      </c>
      <c r="B608" s="1" t="s">
        <v>1572</v>
      </c>
      <c r="C608" s="1" t="s">
        <v>1711</v>
      </c>
      <c r="D608" s="1" t="s">
        <v>1708</v>
      </c>
      <c r="E608" s="1" t="s">
        <v>1709</v>
      </c>
      <c r="F608" s="1" t="s">
        <v>1709</v>
      </c>
      <c r="H608" s="1" t="s">
        <v>1684</v>
      </c>
      <c r="I608" s="1" t="s">
        <v>1689</v>
      </c>
      <c r="J608" s="1" t="s">
        <v>1714</v>
      </c>
      <c r="K608" s="1" t="s">
        <v>1715</v>
      </c>
      <c r="L608" s="1" t="s">
        <v>1716</v>
      </c>
    </row>
    <row r="609" spans="1:12">
      <c r="A609" s="1" t="s">
        <v>1577</v>
      </c>
      <c r="B609" s="1" t="s">
        <v>1572</v>
      </c>
      <c r="C609" s="1" t="s">
        <v>1723</v>
      </c>
      <c r="D609" s="1" t="s">
        <v>218</v>
      </c>
      <c r="E609" s="92" t="s">
        <v>2012</v>
      </c>
      <c r="F609" s="92" t="s">
        <v>2012</v>
      </c>
      <c r="G609" s="92" t="s">
        <v>1725</v>
      </c>
      <c r="H609" s="1" t="s">
        <v>1684</v>
      </c>
      <c r="I609" s="1" t="s">
        <v>973</v>
      </c>
      <c r="J609" s="1" t="s">
        <v>1726</v>
      </c>
      <c r="K609" s="1" t="s">
        <v>1727</v>
      </c>
      <c r="L609" s="1" t="s">
        <v>1728</v>
      </c>
    </row>
    <row r="610" spans="1:12">
      <c r="A610" s="1" t="s">
        <v>1577</v>
      </c>
      <c r="B610" s="1" t="s">
        <v>1572</v>
      </c>
      <c r="C610" s="1" t="s">
        <v>1723</v>
      </c>
      <c r="D610" s="1" t="s">
        <v>1693</v>
      </c>
      <c r="E610" s="1" t="s">
        <v>1993</v>
      </c>
      <c r="F610" s="1" t="s">
        <v>1993</v>
      </c>
      <c r="H610" s="1" t="s">
        <v>1684</v>
      </c>
      <c r="I610" s="1" t="s">
        <v>973</v>
      </c>
      <c r="J610" s="1" t="s">
        <v>1726</v>
      </c>
      <c r="K610" s="1" t="s">
        <v>1727</v>
      </c>
      <c r="L610" s="1" t="s">
        <v>1728</v>
      </c>
    </row>
    <row r="611" spans="1:12">
      <c r="A611" s="1" t="s">
        <v>1577</v>
      </c>
      <c r="B611" s="1" t="s">
        <v>1572</v>
      </c>
      <c r="C611" s="1" t="s">
        <v>1723</v>
      </c>
      <c r="D611" s="1" t="s">
        <v>1695</v>
      </c>
      <c r="E611" s="1" t="s">
        <v>1993</v>
      </c>
      <c r="F611" s="1" t="s">
        <v>1993</v>
      </c>
      <c r="H611" s="1" t="s">
        <v>1684</v>
      </c>
      <c r="I611" s="1" t="s">
        <v>973</v>
      </c>
      <c r="J611" s="1" t="s">
        <v>1726</v>
      </c>
      <c r="K611" s="1" t="s">
        <v>1727</v>
      </c>
      <c r="L611" s="1" t="s">
        <v>1728</v>
      </c>
    </row>
    <row r="612" spans="1:12">
      <c r="A612" s="1" t="s">
        <v>1577</v>
      </c>
      <c r="B612" s="1" t="s">
        <v>1572</v>
      </c>
      <c r="C612" s="1" t="s">
        <v>1723</v>
      </c>
      <c r="D612" s="1" t="s">
        <v>1697</v>
      </c>
      <c r="E612" s="1" t="s">
        <v>1698</v>
      </c>
      <c r="F612" s="1" t="s">
        <v>1698</v>
      </c>
      <c r="H612" s="1" t="s">
        <v>1684</v>
      </c>
      <c r="I612" s="1" t="s">
        <v>973</v>
      </c>
      <c r="J612" s="1" t="s">
        <v>1726</v>
      </c>
      <c r="K612" s="1" t="s">
        <v>1727</v>
      </c>
      <c r="L612" s="1" t="s">
        <v>1728</v>
      </c>
    </row>
    <row r="613" spans="1:12">
      <c r="A613" s="1" t="s">
        <v>1577</v>
      </c>
      <c r="B613" s="1" t="s">
        <v>1572</v>
      </c>
      <c r="C613" s="1" t="s">
        <v>1729</v>
      </c>
      <c r="D613" s="1" t="s">
        <v>1708</v>
      </c>
      <c r="E613" s="1" t="s">
        <v>1730</v>
      </c>
      <c r="F613" s="1" t="s">
        <v>1709</v>
      </c>
      <c r="H613" s="1" t="s">
        <v>1684</v>
      </c>
      <c r="I613" s="1" t="s">
        <v>1731</v>
      </c>
      <c r="J613" s="1" t="s">
        <v>1732</v>
      </c>
      <c r="K613" s="1" t="s">
        <v>1733</v>
      </c>
      <c r="L613" s="1" t="s">
        <v>1734</v>
      </c>
    </row>
    <row r="614" spans="1:12">
      <c r="A614" s="1" t="s">
        <v>1578</v>
      </c>
      <c r="B614" s="1" t="s">
        <v>1572</v>
      </c>
      <c r="C614" s="1" t="s">
        <v>1680</v>
      </c>
      <c r="D614" s="1" t="s">
        <v>1681</v>
      </c>
      <c r="E614" s="92" t="s">
        <v>2005</v>
      </c>
      <c r="F614" s="92" t="s">
        <v>2006</v>
      </c>
      <c r="H614" s="1" t="s">
        <v>1684</v>
      </c>
    </row>
    <row r="615" spans="1:12">
      <c r="A615" s="1" t="s">
        <v>1578</v>
      </c>
      <c r="B615" s="1" t="s">
        <v>1572</v>
      </c>
      <c r="C615" s="1" t="s">
        <v>1680</v>
      </c>
      <c r="D615" s="1" t="s">
        <v>1685</v>
      </c>
      <c r="E615" s="1" t="s">
        <v>1526</v>
      </c>
      <c r="F615" s="1" t="s">
        <v>1526</v>
      </c>
      <c r="H615" s="1" t="s">
        <v>1684</v>
      </c>
    </row>
    <row r="616" spans="1:12">
      <c r="A616" s="1" t="s">
        <v>1578</v>
      </c>
      <c r="B616" s="1" t="s">
        <v>1572</v>
      </c>
      <c r="C616" s="1" t="s">
        <v>1686</v>
      </c>
      <c r="D616" s="1" t="s">
        <v>1708</v>
      </c>
      <c r="E616" s="1" t="s">
        <v>1709</v>
      </c>
      <c r="F616" s="1" t="s">
        <v>1709</v>
      </c>
      <c r="H616" s="1" t="s">
        <v>1684</v>
      </c>
      <c r="I616" s="1" t="s">
        <v>1689</v>
      </c>
      <c r="J616" s="1" t="s">
        <v>1690</v>
      </c>
      <c r="K616" s="1" t="s">
        <v>1691</v>
      </c>
      <c r="L616" s="1" t="s">
        <v>1692</v>
      </c>
    </row>
    <row r="617" spans="1:12">
      <c r="A617" s="1" t="s">
        <v>1578</v>
      </c>
      <c r="B617" s="1" t="s">
        <v>1572</v>
      </c>
      <c r="C617" s="1" t="s">
        <v>1394</v>
      </c>
      <c r="D617" s="1" t="s">
        <v>218</v>
      </c>
      <c r="E617" s="92" t="s">
        <v>1967</v>
      </c>
      <c r="F617" s="92" t="s">
        <v>1967</v>
      </c>
      <c r="G617" s="92" t="s">
        <v>1875</v>
      </c>
      <c r="H617" s="1" t="s">
        <v>1684</v>
      </c>
      <c r="I617" s="1" t="s">
        <v>973</v>
      </c>
      <c r="J617" s="1" t="s">
        <v>1710</v>
      </c>
      <c r="K617" s="1" t="s">
        <v>1691</v>
      </c>
      <c r="L617" s="1" t="s">
        <v>1692</v>
      </c>
    </row>
    <row r="618" spans="1:12">
      <c r="A618" s="1" t="s">
        <v>1578</v>
      </c>
      <c r="B618" s="1" t="s">
        <v>1572</v>
      </c>
      <c r="C618" s="1" t="s">
        <v>1394</v>
      </c>
      <c r="D618" s="1" t="s">
        <v>1693</v>
      </c>
      <c r="E618" s="1" t="s">
        <v>2013</v>
      </c>
      <c r="F618" s="1" t="s">
        <v>2013</v>
      </c>
      <c r="H618" s="1" t="s">
        <v>1684</v>
      </c>
      <c r="I618" s="1" t="s">
        <v>973</v>
      </c>
      <c r="J618" s="1" t="s">
        <v>1710</v>
      </c>
      <c r="K618" s="1" t="s">
        <v>1691</v>
      </c>
      <c r="L618" s="1" t="s">
        <v>1692</v>
      </c>
    </row>
    <row r="619" spans="1:12">
      <c r="A619" s="1" t="s">
        <v>1578</v>
      </c>
      <c r="B619" s="1" t="s">
        <v>1572</v>
      </c>
      <c r="C619" s="1" t="s">
        <v>1394</v>
      </c>
      <c r="D619" s="1" t="s">
        <v>1695</v>
      </c>
      <c r="E619" s="1" t="s">
        <v>1757</v>
      </c>
      <c r="F619" s="1" t="s">
        <v>1757</v>
      </c>
      <c r="H619" s="1" t="s">
        <v>1684</v>
      </c>
      <c r="I619" s="1" t="s">
        <v>973</v>
      </c>
      <c r="J619" s="1" t="s">
        <v>1710</v>
      </c>
      <c r="K619" s="1" t="s">
        <v>1691</v>
      </c>
      <c r="L619" s="1" t="s">
        <v>1692</v>
      </c>
    </row>
    <row r="620" spans="1:12">
      <c r="A620" s="1" t="s">
        <v>1578</v>
      </c>
      <c r="B620" s="1" t="s">
        <v>1572</v>
      </c>
      <c r="C620" s="1" t="s">
        <v>1394</v>
      </c>
      <c r="D620" s="1" t="s">
        <v>1697</v>
      </c>
      <c r="E620" s="1" t="s">
        <v>1698</v>
      </c>
      <c r="F620" s="1" t="s">
        <v>1698</v>
      </c>
      <c r="H620" s="1" t="s">
        <v>1684</v>
      </c>
      <c r="I620" s="1" t="s">
        <v>973</v>
      </c>
      <c r="J620" s="1" t="s">
        <v>1710</v>
      </c>
      <c r="K620" s="1" t="s">
        <v>1691</v>
      </c>
      <c r="L620" s="1" t="s">
        <v>1692</v>
      </c>
    </row>
    <row r="621" spans="1:12">
      <c r="A621" s="1" t="s">
        <v>1578</v>
      </c>
      <c r="B621" s="1" t="s">
        <v>1572</v>
      </c>
      <c r="C621" s="1" t="s">
        <v>1394</v>
      </c>
      <c r="D621" s="1" t="s">
        <v>1699</v>
      </c>
      <c r="E621" s="92" t="s">
        <v>2007</v>
      </c>
      <c r="F621" s="92" t="s">
        <v>2008</v>
      </c>
      <c r="H621" s="1" t="s">
        <v>1684</v>
      </c>
      <c r="I621" s="1" t="s">
        <v>973</v>
      </c>
      <c r="J621" s="1" t="s">
        <v>1710</v>
      </c>
      <c r="K621" s="1" t="s">
        <v>1691</v>
      </c>
      <c r="L621" s="1" t="s">
        <v>1692</v>
      </c>
    </row>
    <row r="622" spans="1:12">
      <c r="A622" s="1" t="s">
        <v>1578</v>
      </c>
      <c r="B622" s="1" t="s">
        <v>1572</v>
      </c>
      <c r="C622" s="1" t="s">
        <v>1394</v>
      </c>
      <c r="D622" s="1" t="s">
        <v>1702</v>
      </c>
      <c r="E622" s="92" t="s">
        <v>2009</v>
      </c>
      <c r="F622" s="92" t="s">
        <v>2010</v>
      </c>
      <c r="H622" s="1" t="s">
        <v>1684</v>
      </c>
      <c r="I622" s="1" t="s">
        <v>973</v>
      </c>
      <c r="J622" s="1" t="s">
        <v>1710</v>
      </c>
      <c r="K622" s="1" t="s">
        <v>1691</v>
      </c>
      <c r="L622" s="1" t="s">
        <v>1692</v>
      </c>
    </row>
    <row r="623" spans="1:12">
      <c r="A623" s="1" t="s">
        <v>1578</v>
      </c>
      <c r="B623" s="1" t="s">
        <v>1572</v>
      </c>
      <c r="C623" s="1" t="s">
        <v>1394</v>
      </c>
      <c r="D623" s="1" t="s">
        <v>1705</v>
      </c>
      <c r="E623" s="92" t="s">
        <v>2011</v>
      </c>
      <c r="F623" s="92" t="s">
        <v>1883</v>
      </c>
      <c r="H623" s="1" t="s">
        <v>1684</v>
      </c>
      <c r="I623" s="1" t="s">
        <v>973</v>
      </c>
      <c r="J623" s="1" t="s">
        <v>1710</v>
      </c>
      <c r="K623" s="1" t="s">
        <v>1691</v>
      </c>
      <c r="L623" s="1" t="s">
        <v>1692</v>
      </c>
    </row>
    <row r="624" spans="1:12">
      <c r="A624" s="1" t="s">
        <v>1578</v>
      </c>
      <c r="B624" s="1" t="s">
        <v>1572</v>
      </c>
      <c r="C624" s="1" t="s">
        <v>1711</v>
      </c>
      <c r="D624" s="1" t="s">
        <v>1708</v>
      </c>
      <c r="E624" s="1" t="s">
        <v>1709</v>
      </c>
      <c r="F624" s="1" t="s">
        <v>1709</v>
      </c>
      <c r="H624" s="1" t="s">
        <v>1684</v>
      </c>
      <c r="I624" s="1" t="s">
        <v>1689</v>
      </c>
      <c r="J624" s="1" t="s">
        <v>1714</v>
      </c>
      <c r="K624" s="1" t="s">
        <v>1715</v>
      </c>
      <c r="L624" s="1" t="s">
        <v>1716</v>
      </c>
    </row>
    <row r="625" spans="1:12">
      <c r="A625" s="1" t="s">
        <v>1578</v>
      </c>
      <c r="B625" s="1" t="s">
        <v>1572</v>
      </c>
      <c r="C625" s="1" t="s">
        <v>1723</v>
      </c>
      <c r="D625" s="1" t="s">
        <v>218</v>
      </c>
      <c r="E625" s="92" t="s">
        <v>2012</v>
      </c>
      <c r="F625" s="92" t="s">
        <v>2012</v>
      </c>
      <c r="G625" s="92" t="s">
        <v>1725</v>
      </c>
      <c r="H625" s="1" t="s">
        <v>1684</v>
      </c>
      <c r="I625" s="1" t="s">
        <v>973</v>
      </c>
      <c r="J625" s="1" t="s">
        <v>1726</v>
      </c>
      <c r="K625" s="1" t="s">
        <v>1727</v>
      </c>
      <c r="L625" s="1" t="s">
        <v>1728</v>
      </c>
    </row>
    <row r="626" spans="1:12">
      <c r="A626" s="1" t="s">
        <v>1578</v>
      </c>
      <c r="B626" s="1" t="s">
        <v>1572</v>
      </c>
      <c r="C626" s="1" t="s">
        <v>1723</v>
      </c>
      <c r="D626" s="1" t="s">
        <v>1693</v>
      </c>
      <c r="E626" s="1" t="s">
        <v>1993</v>
      </c>
      <c r="F626" s="1" t="s">
        <v>1993</v>
      </c>
      <c r="H626" s="1" t="s">
        <v>1684</v>
      </c>
      <c r="I626" s="1" t="s">
        <v>973</v>
      </c>
      <c r="J626" s="1" t="s">
        <v>1726</v>
      </c>
      <c r="K626" s="1" t="s">
        <v>1727</v>
      </c>
      <c r="L626" s="1" t="s">
        <v>1728</v>
      </c>
    </row>
    <row r="627" spans="1:12">
      <c r="A627" s="1" t="s">
        <v>1578</v>
      </c>
      <c r="B627" s="1" t="s">
        <v>1572</v>
      </c>
      <c r="C627" s="1" t="s">
        <v>1723</v>
      </c>
      <c r="D627" s="1" t="s">
        <v>1695</v>
      </c>
      <c r="E627" s="1" t="s">
        <v>1993</v>
      </c>
      <c r="F627" s="1" t="s">
        <v>1993</v>
      </c>
      <c r="H627" s="1" t="s">
        <v>1684</v>
      </c>
      <c r="I627" s="1" t="s">
        <v>973</v>
      </c>
      <c r="J627" s="1" t="s">
        <v>1726</v>
      </c>
      <c r="K627" s="1" t="s">
        <v>1727</v>
      </c>
      <c r="L627" s="1" t="s">
        <v>1728</v>
      </c>
    </row>
    <row r="628" spans="1:12">
      <c r="A628" s="1" t="s">
        <v>1578</v>
      </c>
      <c r="B628" s="1" t="s">
        <v>1572</v>
      </c>
      <c r="C628" s="1" t="s">
        <v>1723</v>
      </c>
      <c r="D628" s="1" t="s">
        <v>1697</v>
      </c>
      <c r="E628" s="1" t="s">
        <v>1698</v>
      </c>
      <c r="F628" s="1" t="s">
        <v>1698</v>
      </c>
      <c r="H628" s="1" t="s">
        <v>1684</v>
      </c>
      <c r="I628" s="1" t="s">
        <v>973</v>
      </c>
      <c r="J628" s="1" t="s">
        <v>1726</v>
      </c>
      <c r="K628" s="1" t="s">
        <v>1727</v>
      </c>
      <c r="L628" s="1" t="s">
        <v>1728</v>
      </c>
    </row>
    <row r="629" spans="1:12">
      <c r="A629" s="1" t="s">
        <v>1578</v>
      </c>
      <c r="B629" s="1" t="s">
        <v>1572</v>
      </c>
      <c r="C629" s="1" t="s">
        <v>1729</v>
      </c>
      <c r="D629" s="1" t="s">
        <v>1708</v>
      </c>
      <c r="E629" s="1" t="s">
        <v>1730</v>
      </c>
      <c r="F629" s="1" t="s">
        <v>1709</v>
      </c>
      <c r="H629" s="1" t="s">
        <v>1684</v>
      </c>
      <c r="I629" s="1" t="s">
        <v>1731</v>
      </c>
      <c r="J629" s="1" t="s">
        <v>1732</v>
      </c>
      <c r="K629" s="1" t="s">
        <v>1733</v>
      </c>
      <c r="L629" s="1" t="s">
        <v>1734</v>
      </c>
    </row>
    <row r="630" spans="1:12">
      <c r="A630" s="1" t="s">
        <v>1579</v>
      </c>
      <c r="B630" s="1" t="s">
        <v>1572</v>
      </c>
      <c r="C630" s="1" t="s">
        <v>1680</v>
      </c>
      <c r="D630" s="1" t="s">
        <v>1681</v>
      </c>
      <c r="E630" s="92" t="s">
        <v>1972</v>
      </c>
      <c r="F630" s="92" t="s">
        <v>1973</v>
      </c>
      <c r="H630" s="1" t="s">
        <v>1684</v>
      </c>
    </row>
    <row r="631" spans="1:12">
      <c r="A631" s="1" t="s">
        <v>1579</v>
      </c>
      <c r="B631" s="1" t="s">
        <v>1572</v>
      </c>
      <c r="C631" s="1" t="s">
        <v>1680</v>
      </c>
      <c r="D631" s="1" t="s">
        <v>1685</v>
      </c>
      <c r="E631" s="1" t="s">
        <v>1526</v>
      </c>
      <c r="F631" s="1" t="s">
        <v>1526</v>
      </c>
      <c r="H631" s="1" t="s">
        <v>1684</v>
      </c>
    </row>
    <row r="632" spans="1:12">
      <c r="A632" s="1" t="s">
        <v>1579</v>
      </c>
      <c r="B632" s="1" t="s">
        <v>1572</v>
      </c>
      <c r="C632" s="1" t="s">
        <v>1686</v>
      </c>
      <c r="D632" s="1" t="s">
        <v>1708</v>
      </c>
      <c r="E632" s="1" t="s">
        <v>1709</v>
      </c>
      <c r="F632" s="1" t="s">
        <v>1709</v>
      </c>
      <c r="H632" s="1" t="s">
        <v>1684</v>
      </c>
      <c r="I632" s="1" t="s">
        <v>1689</v>
      </c>
      <c r="J632" s="1" t="s">
        <v>1690</v>
      </c>
      <c r="K632" s="1" t="s">
        <v>1691</v>
      </c>
      <c r="L632" s="1" t="s">
        <v>1692</v>
      </c>
    </row>
    <row r="633" spans="1:12">
      <c r="A633" s="1" t="s">
        <v>1579</v>
      </c>
      <c r="B633" s="1" t="s">
        <v>1572</v>
      </c>
      <c r="C633" s="1" t="s">
        <v>1394</v>
      </c>
      <c r="D633" s="1" t="s">
        <v>218</v>
      </c>
      <c r="E633" s="92" t="s">
        <v>1811</v>
      </c>
      <c r="F633" s="92" t="s">
        <v>1811</v>
      </c>
      <c r="G633" s="92" t="s">
        <v>1725</v>
      </c>
      <c r="H633" s="1" t="s">
        <v>1684</v>
      </c>
      <c r="I633" s="1" t="s">
        <v>973</v>
      </c>
      <c r="J633" s="1" t="s">
        <v>1710</v>
      </c>
      <c r="K633" s="1" t="s">
        <v>1691</v>
      </c>
      <c r="L633" s="1" t="s">
        <v>1692</v>
      </c>
    </row>
    <row r="634" spans="1:12">
      <c r="A634" s="1" t="s">
        <v>1579</v>
      </c>
      <c r="B634" s="1" t="s">
        <v>1572</v>
      </c>
      <c r="C634" s="1" t="s">
        <v>1394</v>
      </c>
      <c r="D634" s="1" t="s">
        <v>1693</v>
      </c>
      <c r="E634" s="1" t="s">
        <v>1694</v>
      </c>
      <c r="F634" s="1" t="s">
        <v>1694</v>
      </c>
      <c r="H634" s="1" t="s">
        <v>1684</v>
      </c>
      <c r="I634" s="1" t="s">
        <v>973</v>
      </c>
      <c r="J634" s="1" t="s">
        <v>1710</v>
      </c>
      <c r="K634" s="1" t="s">
        <v>1691</v>
      </c>
      <c r="L634" s="1" t="s">
        <v>1692</v>
      </c>
    </row>
    <row r="635" spans="1:12">
      <c r="A635" s="1" t="s">
        <v>1579</v>
      </c>
      <c r="B635" s="1" t="s">
        <v>1572</v>
      </c>
      <c r="C635" s="1" t="s">
        <v>1394</v>
      </c>
      <c r="D635" s="1" t="s">
        <v>1695</v>
      </c>
      <c r="E635" s="1" t="s">
        <v>1694</v>
      </c>
      <c r="F635" s="1" t="s">
        <v>1694</v>
      </c>
      <c r="H635" s="1" t="s">
        <v>1684</v>
      </c>
      <c r="I635" s="1" t="s">
        <v>973</v>
      </c>
      <c r="J635" s="1" t="s">
        <v>1710</v>
      </c>
      <c r="K635" s="1" t="s">
        <v>1691</v>
      </c>
      <c r="L635" s="1" t="s">
        <v>1692</v>
      </c>
    </row>
    <row r="636" spans="1:12">
      <c r="A636" s="1" t="s">
        <v>1579</v>
      </c>
      <c r="B636" s="1" t="s">
        <v>1572</v>
      </c>
      <c r="C636" s="1" t="s">
        <v>1394</v>
      </c>
      <c r="D636" s="1" t="s">
        <v>1697</v>
      </c>
      <c r="E636" s="1" t="s">
        <v>1698</v>
      </c>
      <c r="F636" s="1" t="s">
        <v>1698</v>
      </c>
      <c r="H636" s="1" t="s">
        <v>1684</v>
      </c>
      <c r="I636" s="1" t="s">
        <v>973</v>
      </c>
      <c r="J636" s="1" t="s">
        <v>1710</v>
      </c>
      <c r="K636" s="1" t="s">
        <v>1691</v>
      </c>
      <c r="L636" s="1" t="s">
        <v>1692</v>
      </c>
    </row>
    <row r="637" spans="1:12">
      <c r="A637" s="1" t="s">
        <v>1579</v>
      </c>
      <c r="B637" s="1" t="s">
        <v>1572</v>
      </c>
      <c r="C637" s="1" t="s">
        <v>1394</v>
      </c>
      <c r="D637" s="1" t="s">
        <v>1699</v>
      </c>
      <c r="E637" s="92" t="s">
        <v>2014</v>
      </c>
      <c r="F637" s="92" t="s">
        <v>2015</v>
      </c>
      <c r="H637" s="1" t="s">
        <v>1684</v>
      </c>
      <c r="I637" s="1" t="s">
        <v>973</v>
      </c>
      <c r="J637" s="1" t="s">
        <v>1710</v>
      </c>
      <c r="K637" s="1" t="s">
        <v>1691</v>
      </c>
      <c r="L637" s="1" t="s">
        <v>1692</v>
      </c>
    </row>
    <row r="638" spans="1:12">
      <c r="A638" s="1" t="s">
        <v>1579</v>
      </c>
      <c r="B638" s="1" t="s">
        <v>1572</v>
      </c>
      <c r="C638" s="1" t="s">
        <v>1394</v>
      </c>
      <c r="D638" s="1" t="s">
        <v>1702</v>
      </c>
      <c r="E638" s="92" t="s">
        <v>2016</v>
      </c>
      <c r="F638" s="92" t="s">
        <v>2017</v>
      </c>
      <c r="H638" s="1" t="s">
        <v>1684</v>
      </c>
      <c r="I638" s="1" t="s">
        <v>973</v>
      </c>
      <c r="J638" s="1" t="s">
        <v>1710</v>
      </c>
      <c r="K638" s="1" t="s">
        <v>1691</v>
      </c>
      <c r="L638" s="1" t="s">
        <v>1692</v>
      </c>
    </row>
    <row r="639" spans="1:12">
      <c r="A639" s="1" t="s">
        <v>1579</v>
      </c>
      <c r="B639" s="1" t="s">
        <v>1572</v>
      </c>
      <c r="C639" s="1" t="s">
        <v>1394</v>
      </c>
      <c r="D639" s="1" t="s">
        <v>1705</v>
      </c>
      <c r="E639" s="92" t="s">
        <v>2018</v>
      </c>
      <c r="F639" s="92" t="s">
        <v>2019</v>
      </c>
      <c r="H639" s="1" t="s">
        <v>1684</v>
      </c>
      <c r="I639" s="1" t="s">
        <v>973</v>
      </c>
      <c r="J639" s="1" t="s">
        <v>1710</v>
      </c>
      <c r="K639" s="1" t="s">
        <v>1691</v>
      </c>
      <c r="L639" s="1" t="s">
        <v>1692</v>
      </c>
    </row>
    <row r="640" spans="1:12">
      <c r="A640" s="1" t="s">
        <v>1579</v>
      </c>
      <c r="B640" s="1" t="s">
        <v>1572</v>
      </c>
      <c r="C640" s="1" t="s">
        <v>1711</v>
      </c>
      <c r="D640" s="1" t="s">
        <v>1708</v>
      </c>
      <c r="E640" s="1" t="s">
        <v>1709</v>
      </c>
      <c r="F640" s="1" t="s">
        <v>1709</v>
      </c>
      <c r="H640" s="1" t="s">
        <v>1684</v>
      </c>
      <c r="I640" s="1" t="s">
        <v>1689</v>
      </c>
      <c r="J640" s="1" t="s">
        <v>1714</v>
      </c>
      <c r="K640" s="1" t="s">
        <v>1715</v>
      </c>
      <c r="L640" s="1" t="s">
        <v>1716</v>
      </c>
    </row>
    <row r="641" spans="1:12">
      <c r="A641" s="1" t="s">
        <v>1579</v>
      </c>
      <c r="B641" s="1" t="s">
        <v>1572</v>
      </c>
      <c r="C641" s="1" t="s">
        <v>1723</v>
      </c>
      <c r="D641" s="1" t="s">
        <v>218</v>
      </c>
      <c r="E641" s="92" t="s">
        <v>2020</v>
      </c>
      <c r="F641" s="92" t="s">
        <v>2020</v>
      </c>
      <c r="G641" s="92" t="s">
        <v>1713</v>
      </c>
      <c r="H641" s="1" t="s">
        <v>1684</v>
      </c>
      <c r="I641" s="1" t="s">
        <v>973</v>
      </c>
      <c r="J641" s="1" t="s">
        <v>1726</v>
      </c>
      <c r="K641" s="1" t="s">
        <v>1727</v>
      </c>
      <c r="L641" s="1" t="s">
        <v>1728</v>
      </c>
    </row>
    <row r="642" spans="1:12">
      <c r="A642" s="1" t="s">
        <v>1579</v>
      </c>
      <c r="B642" s="1" t="s">
        <v>1572</v>
      </c>
      <c r="C642" s="1" t="s">
        <v>1723</v>
      </c>
      <c r="D642" s="1" t="s">
        <v>1693</v>
      </c>
      <c r="E642" s="1" t="s">
        <v>1694</v>
      </c>
      <c r="F642" s="1" t="s">
        <v>1694</v>
      </c>
      <c r="H642" s="1" t="s">
        <v>1684</v>
      </c>
      <c r="I642" s="1" t="s">
        <v>973</v>
      </c>
      <c r="J642" s="1" t="s">
        <v>1726</v>
      </c>
      <c r="K642" s="1" t="s">
        <v>1727</v>
      </c>
      <c r="L642" s="1" t="s">
        <v>1728</v>
      </c>
    </row>
    <row r="643" spans="1:12">
      <c r="A643" s="1" t="s">
        <v>1579</v>
      </c>
      <c r="B643" s="1" t="s">
        <v>1572</v>
      </c>
      <c r="C643" s="1" t="s">
        <v>1723</v>
      </c>
      <c r="D643" s="1" t="s">
        <v>1695</v>
      </c>
      <c r="E643" s="1" t="s">
        <v>1982</v>
      </c>
      <c r="F643" s="1" t="s">
        <v>1982</v>
      </c>
      <c r="H643" s="1" t="s">
        <v>1684</v>
      </c>
      <c r="I643" s="1" t="s">
        <v>973</v>
      </c>
      <c r="J643" s="1" t="s">
        <v>1726</v>
      </c>
      <c r="K643" s="1" t="s">
        <v>1727</v>
      </c>
      <c r="L643" s="1" t="s">
        <v>1728</v>
      </c>
    </row>
    <row r="644" spans="1:12">
      <c r="A644" s="1" t="s">
        <v>1579</v>
      </c>
      <c r="B644" s="1" t="s">
        <v>1572</v>
      </c>
      <c r="C644" s="1" t="s">
        <v>1723</v>
      </c>
      <c r="D644" s="1" t="s">
        <v>1697</v>
      </c>
      <c r="E644" s="1" t="s">
        <v>1698</v>
      </c>
      <c r="F644" s="1" t="s">
        <v>1698</v>
      </c>
      <c r="H644" s="1" t="s">
        <v>1684</v>
      </c>
      <c r="I644" s="1" t="s">
        <v>973</v>
      </c>
      <c r="J644" s="1" t="s">
        <v>1726</v>
      </c>
      <c r="K644" s="1" t="s">
        <v>1727</v>
      </c>
      <c r="L644" s="1" t="s">
        <v>1728</v>
      </c>
    </row>
    <row r="645" spans="1:12">
      <c r="A645" s="1" t="s">
        <v>1579</v>
      </c>
      <c r="B645" s="1" t="s">
        <v>1572</v>
      </c>
      <c r="C645" s="1" t="s">
        <v>1729</v>
      </c>
      <c r="D645" s="1" t="s">
        <v>1708</v>
      </c>
      <c r="E645" s="1" t="s">
        <v>1730</v>
      </c>
      <c r="F645" s="1" t="s">
        <v>1709</v>
      </c>
      <c r="H645" s="1" t="s">
        <v>1684</v>
      </c>
      <c r="I645" s="1" t="s">
        <v>1731</v>
      </c>
      <c r="J645" s="1" t="s">
        <v>1732</v>
      </c>
      <c r="K645" s="1" t="s">
        <v>1733</v>
      </c>
      <c r="L645" s="1" t="s">
        <v>1734</v>
      </c>
    </row>
    <row r="646" spans="1:12">
      <c r="A646" s="1" t="s">
        <v>1580</v>
      </c>
      <c r="B646" s="1" t="s">
        <v>1572</v>
      </c>
      <c r="C646" s="1" t="s">
        <v>1680</v>
      </c>
      <c r="D646" s="1" t="s">
        <v>1681</v>
      </c>
      <c r="E646" s="92" t="s">
        <v>1983</v>
      </c>
      <c r="F646" s="92" t="s">
        <v>1984</v>
      </c>
      <c r="H646" s="1" t="s">
        <v>1684</v>
      </c>
    </row>
    <row r="647" spans="1:12">
      <c r="A647" s="1" t="s">
        <v>1580</v>
      </c>
      <c r="B647" s="1" t="s">
        <v>1572</v>
      </c>
      <c r="C647" s="1" t="s">
        <v>1680</v>
      </c>
      <c r="D647" s="1" t="s">
        <v>1685</v>
      </c>
      <c r="E647" s="1" t="s">
        <v>1526</v>
      </c>
      <c r="F647" s="1" t="s">
        <v>1526</v>
      </c>
      <c r="H647" s="1" t="s">
        <v>1684</v>
      </c>
    </row>
    <row r="648" spans="1:12">
      <c r="A648" s="1" t="s">
        <v>1580</v>
      </c>
      <c r="B648" s="1" t="s">
        <v>1572</v>
      </c>
      <c r="C648" s="1" t="s">
        <v>1686</v>
      </c>
      <c r="D648" s="1" t="s">
        <v>1708</v>
      </c>
      <c r="E648" s="1" t="s">
        <v>1709</v>
      </c>
      <c r="F648" s="1" t="s">
        <v>1709</v>
      </c>
      <c r="H648" s="1" t="s">
        <v>1684</v>
      </c>
      <c r="I648" s="1" t="s">
        <v>1689</v>
      </c>
      <c r="J648" s="1" t="s">
        <v>1690</v>
      </c>
      <c r="K648" s="1" t="s">
        <v>1691</v>
      </c>
      <c r="L648" s="1" t="s">
        <v>1692</v>
      </c>
    </row>
    <row r="649" spans="1:12">
      <c r="A649" s="1" t="s">
        <v>1580</v>
      </c>
      <c r="B649" s="1" t="s">
        <v>1572</v>
      </c>
      <c r="C649" s="1" t="s">
        <v>1394</v>
      </c>
      <c r="D649" s="1" t="s">
        <v>218</v>
      </c>
      <c r="E649" s="92" t="s">
        <v>2021</v>
      </c>
      <c r="F649" s="92" t="s">
        <v>2021</v>
      </c>
      <c r="G649" s="92" t="s">
        <v>1725</v>
      </c>
      <c r="H649" s="1" t="s">
        <v>1684</v>
      </c>
      <c r="I649" s="1" t="s">
        <v>973</v>
      </c>
      <c r="J649" s="1" t="s">
        <v>1710</v>
      </c>
      <c r="K649" s="1" t="s">
        <v>1691</v>
      </c>
      <c r="L649" s="1" t="s">
        <v>1692</v>
      </c>
    </row>
    <row r="650" spans="1:12">
      <c r="A650" s="1" t="s">
        <v>1580</v>
      </c>
      <c r="B650" s="1" t="s">
        <v>1572</v>
      </c>
      <c r="C650" s="1" t="s">
        <v>1394</v>
      </c>
      <c r="D650" s="1" t="s">
        <v>1693</v>
      </c>
      <c r="E650" s="1" t="s">
        <v>1745</v>
      </c>
      <c r="F650" s="1" t="s">
        <v>1745</v>
      </c>
      <c r="H650" s="1" t="s">
        <v>1684</v>
      </c>
      <c r="I650" s="1" t="s">
        <v>973</v>
      </c>
      <c r="J650" s="1" t="s">
        <v>1710</v>
      </c>
      <c r="K650" s="1" t="s">
        <v>1691</v>
      </c>
      <c r="L650" s="1" t="s">
        <v>1692</v>
      </c>
    </row>
    <row r="651" spans="1:12">
      <c r="A651" s="1" t="s">
        <v>1580</v>
      </c>
      <c r="B651" s="1" t="s">
        <v>1572</v>
      </c>
      <c r="C651" s="1" t="s">
        <v>1394</v>
      </c>
      <c r="D651" s="1" t="s">
        <v>1695</v>
      </c>
      <c r="E651" s="1" t="s">
        <v>1745</v>
      </c>
      <c r="F651" s="1" t="s">
        <v>1745</v>
      </c>
      <c r="H651" s="1" t="s">
        <v>1684</v>
      </c>
      <c r="I651" s="1" t="s">
        <v>973</v>
      </c>
      <c r="J651" s="1" t="s">
        <v>1710</v>
      </c>
      <c r="K651" s="1" t="s">
        <v>1691</v>
      </c>
      <c r="L651" s="1" t="s">
        <v>1692</v>
      </c>
    </row>
    <row r="652" spans="1:12">
      <c r="A652" s="1" t="s">
        <v>1580</v>
      </c>
      <c r="B652" s="1" t="s">
        <v>1572</v>
      </c>
      <c r="C652" s="1" t="s">
        <v>1394</v>
      </c>
      <c r="D652" s="1" t="s">
        <v>1697</v>
      </c>
      <c r="E652" s="1" t="s">
        <v>1698</v>
      </c>
      <c r="F652" s="1" t="s">
        <v>1698</v>
      </c>
      <c r="H652" s="1" t="s">
        <v>1684</v>
      </c>
      <c r="I652" s="1" t="s">
        <v>973</v>
      </c>
      <c r="J652" s="1" t="s">
        <v>1710</v>
      </c>
      <c r="K652" s="1" t="s">
        <v>1691</v>
      </c>
      <c r="L652" s="1" t="s">
        <v>1692</v>
      </c>
    </row>
    <row r="653" spans="1:12">
      <c r="A653" s="1" t="s">
        <v>1580</v>
      </c>
      <c r="B653" s="1" t="s">
        <v>1572</v>
      </c>
      <c r="C653" s="1" t="s">
        <v>1394</v>
      </c>
      <c r="D653" s="1" t="s">
        <v>1699</v>
      </c>
      <c r="E653" s="92" t="s">
        <v>2022</v>
      </c>
      <c r="F653" s="92" t="s">
        <v>2023</v>
      </c>
      <c r="H653" s="1" t="s">
        <v>1684</v>
      </c>
      <c r="I653" s="1" t="s">
        <v>973</v>
      </c>
      <c r="J653" s="1" t="s">
        <v>1710</v>
      </c>
      <c r="K653" s="1" t="s">
        <v>1691</v>
      </c>
      <c r="L653" s="1" t="s">
        <v>1692</v>
      </c>
    </row>
    <row r="654" spans="1:12">
      <c r="A654" s="1" t="s">
        <v>1580</v>
      </c>
      <c r="B654" s="1" t="s">
        <v>1572</v>
      </c>
      <c r="C654" s="1" t="s">
        <v>1394</v>
      </c>
      <c r="D654" s="1" t="s">
        <v>1702</v>
      </c>
      <c r="E654" s="92" t="s">
        <v>2024</v>
      </c>
      <c r="F654" s="92" t="s">
        <v>2025</v>
      </c>
      <c r="H654" s="1" t="s">
        <v>1684</v>
      </c>
      <c r="I654" s="1" t="s">
        <v>973</v>
      </c>
      <c r="J654" s="1" t="s">
        <v>1710</v>
      </c>
      <c r="K654" s="1" t="s">
        <v>1691</v>
      </c>
      <c r="L654" s="1" t="s">
        <v>1692</v>
      </c>
    </row>
    <row r="655" spans="1:12">
      <c r="A655" s="1" t="s">
        <v>1580</v>
      </c>
      <c r="B655" s="1" t="s">
        <v>1572</v>
      </c>
      <c r="C655" s="1" t="s">
        <v>1394</v>
      </c>
      <c r="D655" s="1" t="s">
        <v>1705</v>
      </c>
      <c r="E655" s="92" t="s">
        <v>2026</v>
      </c>
      <c r="F655" s="92" t="s">
        <v>1855</v>
      </c>
      <c r="H655" s="1" t="s">
        <v>1684</v>
      </c>
      <c r="I655" s="1" t="s">
        <v>973</v>
      </c>
      <c r="J655" s="1" t="s">
        <v>1710</v>
      </c>
      <c r="K655" s="1" t="s">
        <v>1691</v>
      </c>
      <c r="L655" s="1" t="s">
        <v>1692</v>
      </c>
    </row>
    <row r="656" spans="1:12">
      <c r="A656" s="1" t="s">
        <v>1580</v>
      </c>
      <c r="B656" s="1" t="s">
        <v>1572</v>
      </c>
      <c r="C656" s="1" t="s">
        <v>1711</v>
      </c>
      <c r="D656" s="1" t="s">
        <v>1708</v>
      </c>
      <c r="E656" s="1" t="s">
        <v>1709</v>
      </c>
      <c r="F656" s="1" t="s">
        <v>1709</v>
      </c>
      <c r="H656" s="1" t="s">
        <v>1684</v>
      </c>
      <c r="I656" s="1" t="s">
        <v>1689</v>
      </c>
      <c r="J656" s="1" t="s">
        <v>1714</v>
      </c>
      <c r="K656" s="1" t="s">
        <v>1715</v>
      </c>
      <c r="L656" s="1" t="s">
        <v>1716</v>
      </c>
    </row>
    <row r="657" spans="1:12">
      <c r="A657" s="1" t="s">
        <v>1580</v>
      </c>
      <c r="B657" s="1" t="s">
        <v>1572</v>
      </c>
      <c r="C657" s="1" t="s">
        <v>1723</v>
      </c>
      <c r="D657" s="1" t="s">
        <v>218</v>
      </c>
      <c r="E657" s="92" t="s">
        <v>2027</v>
      </c>
      <c r="F657" s="92" t="s">
        <v>2027</v>
      </c>
      <c r="G657" s="92" t="s">
        <v>2028</v>
      </c>
      <c r="H657" s="1" t="s">
        <v>1684</v>
      </c>
      <c r="I657" s="1" t="s">
        <v>973</v>
      </c>
      <c r="J657" s="1" t="s">
        <v>1726</v>
      </c>
      <c r="K657" s="1" t="s">
        <v>1727</v>
      </c>
      <c r="L657" s="1" t="s">
        <v>1728</v>
      </c>
    </row>
    <row r="658" spans="1:12">
      <c r="A658" s="1" t="s">
        <v>1580</v>
      </c>
      <c r="B658" s="1" t="s">
        <v>1572</v>
      </c>
      <c r="C658" s="1" t="s">
        <v>1723</v>
      </c>
      <c r="D658" s="1" t="s">
        <v>1693</v>
      </c>
      <c r="E658" s="1" t="s">
        <v>1993</v>
      </c>
      <c r="F658" s="1" t="s">
        <v>1993</v>
      </c>
      <c r="H658" s="1" t="s">
        <v>1684</v>
      </c>
      <c r="I658" s="1" t="s">
        <v>973</v>
      </c>
      <c r="J658" s="1" t="s">
        <v>1726</v>
      </c>
      <c r="K658" s="1" t="s">
        <v>1727</v>
      </c>
      <c r="L658" s="1" t="s">
        <v>1728</v>
      </c>
    </row>
    <row r="659" spans="1:12">
      <c r="A659" s="1" t="s">
        <v>1580</v>
      </c>
      <c r="B659" s="1" t="s">
        <v>1572</v>
      </c>
      <c r="C659" s="1" t="s">
        <v>1723</v>
      </c>
      <c r="D659" s="1" t="s">
        <v>1695</v>
      </c>
      <c r="E659" s="1" t="s">
        <v>1993</v>
      </c>
      <c r="F659" s="1" t="s">
        <v>1993</v>
      </c>
      <c r="H659" s="1" t="s">
        <v>1684</v>
      </c>
      <c r="I659" s="1" t="s">
        <v>973</v>
      </c>
      <c r="J659" s="1" t="s">
        <v>1726</v>
      </c>
      <c r="K659" s="1" t="s">
        <v>1727</v>
      </c>
      <c r="L659" s="1" t="s">
        <v>1728</v>
      </c>
    </row>
    <row r="660" spans="1:12">
      <c r="A660" s="1" t="s">
        <v>1580</v>
      </c>
      <c r="B660" s="1" t="s">
        <v>1572</v>
      </c>
      <c r="C660" s="1" t="s">
        <v>1723</v>
      </c>
      <c r="D660" s="1" t="s">
        <v>1697</v>
      </c>
      <c r="E660" s="1" t="s">
        <v>1698</v>
      </c>
      <c r="F660" s="1" t="s">
        <v>1698</v>
      </c>
      <c r="H660" s="1" t="s">
        <v>1684</v>
      </c>
      <c r="I660" s="1" t="s">
        <v>973</v>
      </c>
      <c r="J660" s="1" t="s">
        <v>1726</v>
      </c>
      <c r="K660" s="1" t="s">
        <v>1727</v>
      </c>
      <c r="L660" s="1" t="s">
        <v>1728</v>
      </c>
    </row>
    <row r="661" spans="1:12">
      <c r="A661" s="1" t="s">
        <v>1580</v>
      </c>
      <c r="B661" s="1" t="s">
        <v>1572</v>
      </c>
      <c r="C661" s="1" t="s">
        <v>1729</v>
      </c>
      <c r="D661" s="1" t="s">
        <v>1708</v>
      </c>
      <c r="E661" s="1" t="s">
        <v>1730</v>
      </c>
      <c r="F661" s="1" t="s">
        <v>1709</v>
      </c>
      <c r="H661" s="1" t="s">
        <v>1684</v>
      </c>
      <c r="I661" s="1" t="s">
        <v>1731</v>
      </c>
      <c r="J661" s="1" t="s">
        <v>1732</v>
      </c>
      <c r="K661" s="1" t="s">
        <v>1733</v>
      </c>
      <c r="L661" s="1" t="s">
        <v>1734</v>
      </c>
    </row>
    <row r="662" spans="1:12">
      <c r="A662" s="1" t="s">
        <v>1581</v>
      </c>
      <c r="B662" s="1" t="s">
        <v>1572</v>
      </c>
      <c r="C662" s="1" t="s">
        <v>1680</v>
      </c>
      <c r="D662" s="1" t="s">
        <v>1681</v>
      </c>
      <c r="E662" s="92" t="s">
        <v>1983</v>
      </c>
      <c r="F662" s="92" t="s">
        <v>1984</v>
      </c>
      <c r="H662" s="1" t="s">
        <v>1684</v>
      </c>
    </row>
    <row r="663" spans="1:12">
      <c r="A663" s="1" t="s">
        <v>1581</v>
      </c>
      <c r="B663" s="1" t="s">
        <v>1572</v>
      </c>
      <c r="C663" s="1" t="s">
        <v>1680</v>
      </c>
      <c r="D663" s="1" t="s">
        <v>1685</v>
      </c>
      <c r="E663" s="1" t="s">
        <v>1526</v>
      </c>
      <c r="F663" s="1" t="s">
        <v>1526</v>
      </c>
      <c r="H663" s="1" t="s">
        <v>1684</v>
      </c>
    </row>
    <row r="664" spans="1:12">
      <c r="A664" s="1" t="s">
        <v>1581</v>
      </c>
      <c r="B664" s="1" t="s">
        <v>1572</v>
      </c>
      <c r="C664" s="1" t="s">
        <v>1686</v>
      </c>
      <c r="D664" s="1" t="s">
        <v>1708</v>
      </c>
      <c r="E664" s="1" t="s">
        <v>1709</v>
      </c>
      <c r="F664" s="1" t="s">
        <v>1709</v>
      </c>
      <c r="H664" s="1" t="s">
        <v>1684</v>
      </c>
      <c r="I664" s="1" t="s">
        <v>1689</v>
      </c>
      <c r="J664" s="1" t="s">
        <v>1690</v>
      </c>
      <c r="K664" s="1" t="s">
        <v>1691</v>
      </c>
      <c r="L664" s="1" t="s">
        <v>1692</v>
      </c>
    </row>
    <row r="665" spans="1:12">
      <c r="A665" s="1" t="s">
        <v>1581</v>
      </c>
      <c r="B665" s="1" t="s">
        <v>1572</v>
      </c>
      <c r="C665" s="1" t="s">
        <v>1394</v>
      </c>
      <c r="D665" s="1" t="s">
        <v>218</v>
      </c>
      <c r="E665" s="92" t="s">
        <v>1948</v>
      </c>
      <c r="F665" s="92" t="s">
        <v>1948</v>
      </c>
      <c r="G665" s="92" t="s">
        <v>1791</v>
      </c>
      <c r="H665" s="1" t="s">
        <v>1684</v>
      </c>
      <c r="I665" s="1" t="s">
        <v>973</v>
      </c>
      <c r="J665" s="1" t="s">
        <v>1710</v>
      </c>
      <c r="K665" s="1" t="s">
        <v>1691</v>
      </c>
      <c r="L665" s="1" t="s">
        <v>1692</v>
      </c>
    </row>
    <row r="666" spans="1:12">
      <c r="A666" s="1" t="s">
        <v>1581</v>
      </c>
      <c r="B666" s="1" t="s">
        <v>1572</v>
      </c>
      <c r="C666" s="1" t="s">
        <v>1394</v>
      </c>
      <c r="D666" s="1" t="s">
        <v>1693</v>
      </c>
      <c r="E666" s="1" t="s">
        <v>2029</v>
      </c>
      <c r="F666" s="1" t="s">
        <v>2029</v>
      </c>
      <c r="H666" s="1" t="s">
        <v>1684</v>
      </c>
      <c r="I666" s="1" t="s">
        <v>973</v>
      </c>
      <c r="J666" s="1" t="s">
        <v>1710</v>
      </c>
      <c r="K666" s="1" t="s">
        <v>1691</v>
      </c>
      <c r="L666" s="1" t="s">
        <v>1692</v>
      </c>
    </row>
    <row r="667" spans="1:12">
      <c r="A667" s="1" t="s">
        <v>1581</v>
      </c>
      <c r="B667" s="1" t="s">
        <v>1572</v>
      </c>
      <c r="C667" s="1" t="s">
        <v>1394</v>
      </c>
      <c r="D667" s="1" t="s">
        <v>1695</v>
      </c>
      <c r="E667" s="1" t="s">
        <v>1757</v>
      </c>
      <c r="F667" s="1" t="s">
        <v>1757</v>
      </c>
      <c r="H667" s="1" t="s">
        <v>1684</v>
      </c>
      <c r="I667" s="1" t="s">
        <v>973</v>
      </c>
      <c r="J667" s="1" t="s">
        <v>1710</v>
      </c>
      <c r="K667" s="1" t="s">
        <v>1691</v>
      </c>
      <c r="L667" s="1" t="s">
        <v>1692</v>
      </c>
    </row>
    <row r="668" spans="1:12">
      <c r="A668" s="1" t="s">
        <v>1581</v>
      </c>
      <c r="B668" s="1" t="s">
        <v>1572</v>
      </c>
      <c r="C668" s="1" t="s">
        <v>1394</v>
      </c>
      <c r="D668" s="1" t="s">
        <v>1697</v>
      </c>
      <c r="E668" s="1" t="s">
        <v>1698</v>
      </c>
      <c r="F668" s="1" t="s">
        <v>1698</v>
      </c>
      <c r="H668" s="1" t="s">
        <v>1684</v>
      </c>
      <c r="I668" s="1" t="s">
        <v>973</v>
      </c>
      <c r="J668" s="1" t="s">
        <v>1710</v>
      </c>
      <c r="K668" s="1" t="s">
        <v>1691</v>
      </c>
      <c r="L668" s="1" t="s">
        <v>1692</v>
      </c>
    </row>
    <row r="669" spans="1:12">
      <c r="A669" s="1" t="s">
        <v>1581</v>
      </c>
      <c r="B669" s="1" t="s">
        <v>1572</v>
      </c>
      <c r="C669" s="1" t="s">
        <v>1394</v>
      </c>
      <c r="D669" s="1" t="s">
        <v>1699</v>
      </c>
      <c r="E669" s="92" t="s">
        <v>2022</v>
      </c>
      <c r="F669" s="92" t="s">
        <v>2023</v>
      </c>
      <c r="H669" s="1" t="s">
        <v>1684</v>
      </c>
      <c r="I669" s="1" t="s">
        <v>973</v>
      </c>
      <c r="J669" s="1" t="s">
        <v>1710</v>
      </c>
      <c r="K669" s="1" t="s">
        <v>1691</v>
      </c>
      <c r="L669" s="1" t="s">
        <v>1692</v>
      </c>
    </row>
    <row r="670" spans="1:12">
      <c r="A670" s="1" t="s">
        <v>1581</v>
      </c>
      <c r="B670" s="1" t="s">
        <v>1572</v>
      </c>
      <c r="C670" s="1" t="s">
        <v>1394</v>
      </c>
      <c r="D670" s="1" t="s">
        <v>1702</v>
      </c>
      <c r="E670" s="92" t="s">
        <v>2024</v>
      </c>
      <c r="F670" s="92" t="s">
        <v>2025</v>
      </c>
      <c r="H670" s="1" t="s">
        <v>1684</v>
      </c>
      <c r="I670" s="1" t="s">
        <v>973</v>
      </c>
      <c r="J670" s="1" t="s">
        <v>1710</v>
      </c>
      <c r="K670" s="1" t="s">
        <v>1691</v>
      </c>
      <c r="L670" s="1" t="s">
        <v>1692</v>
      </c>
    </row>
    <row r="671" spans="1:12">
      <c r="A671" s="1" t="s">
        <v>1581</v>
      </c>
      <c r="B671" s="1" t="s">
        <v>1572</v>
      </c>
      <c r="C671" s="1" t="s">
        <v>1394</v>
      </c>
      <c r="D671" s="1" t="s">
        <v>1705</v>
      </c>
      <c r="E671" s="92" t="s">
        <v>2026</v>
      </c>
      <c r="F671" s="92" t="s">
        <v>1855</v>
      </c>
      <c r="H671" s="1" t="s">
        <v>1684</v>
      </c>
      <c r="I671" s="1" t="s">
        <v>973</v>
      </c>
      <c r="J671" s="1" t="s">
        <v>1710</v>
      </c>
      <c r="K671" s="1" t="s">
        <v>1691</v>
      </c>
      <c r="L671" s="1" t="s">
        <v>1692</v>
      </c>
    </row>
    <row r="672" spans="1:12">
      <c r="A672" s="1" t="s">
        <v>1581</v>
      </c>
      <c r="B672" s="1" t="s">
        <v>1572</v>
      </c>
      <c r="C672" s="1" t="s">
        <v>1711</v>
      </c>
      <c r="D672" s="1" t="s">
        <v>1708</v>
      </c>
      <c r="E672" s="1" t="s">
        <v>1709</v>
      </c>
      <c r="F672" s="1" t="s">
        <v>1709</v>
      </c>
      <c r="H672" s="1" t="s">
        <v>1684</v>
      </c>
      <c r="I672" s="1" t="s">
        <v>1689</v>
      </c>
      <c r="J672" s="1" t="s">
        <v>1714</v>
      </c>
      <c r="K672" s="1" t="s">
        <v>1715</v>
      </c>
      <c r="L672" s="1" t="s">
        <v>1716</v>
      </c>
    </row>
    <row r="673" spans="1:12">
      <c r="A673" s="1" t="s">
        <v>1581</v>
      </c>
      <c r="B673" s="1" t="s">
        <v>1572</v>
      </c>
      <c r="C673" s="1" t="s">
        <v>1723</v>
      </c>
      <c r="D673" s="1" t="s">
        <v>218</v>
      </c>
      <c r="E673" s="92" t="s">
        <v>2027</v>
      </c>
      <c r="F673" s="92" t="s">
        <v>2027</v>
      </c>
      <c r="G673" s="92" t="s">
        <v>2028</v>
      </c>
      <c r="H673" s="1" t="s">
        <v>1684</v>
      </c>
      <c r="I673" s="1" t="s">
        <v>973</v>
      </c>
      <c r="J673" s="1" t="s">
        <v>1726</v>
      </c>
      <c r="K673" s="1" t="s">
        <v>1727</v>
      </c>
      <c r="L673" s="1" t="s">
        <v>1728</v>
      </c>
    </row>
    <row r="674" spans="1:12">
      <c r="A674" s="1" t="s">
        <v>1581</v>
      </c>
      <c r="B674" s="1" t="s">
        <v>1572</v>
      </c>
      <c r="C674" s="1" t="s">
        <v>1723</v>
      </c>
      <c r="D674" s="1" t="s">
        <v>1693</v>
      </c>
      <c r="E674" s="1" t="s">
        <v>1993</v>
      </c>
      <c r="F674" s="1" t="s">
        <v>1993</v>
      </c>
      <c r="H674" s="1" t="s">
        <v>1684</v>
      </c>
      <c r="I674" s="1" t="s">
        <v>973</v>
      </c>
      <c r="J674" s="1" t="s">
        <v>1726</v>
      </c>
      <c r="K674" s="1" t="s">
        <v>1727</v>
      </c>
      <c r="L674" s="1" t="s">
        <v>1728</v>
      </c>
    </row>
    <row r="675" spans="1:12">
      <c r="A675" s="1" t="s">
        <v>1581</v>
      </c>
      <c r="B675" s="1" t="s">
        <v>1572</v>
      </c>
      <c r="C675" s="1" t="s">
        <v>1723</v>
      </c>
      <c r="D675" s="1" t="s">
        <v>1695</v>
      </c>
      <c r="E675" s="1" t="s">
        <v>1993</v>
      </c>
      <c r="F675" s="1" t="s">
        <v>1993</v>
      </c>
      <c r="H675" s="1" t="s">
        <v>1684</v>
      </c>
      <c r="I675" s="1" t="s">
        <v>973</v>
      </c>
      <c r="J675" s="1" t="s">
        <v>1726</v>
      </c>
      <c r="K675" s="1" t="s">
        <v>1727</v>
      </c>
      <c r="L675" s="1" t="s">
        <v>1728</v>
      </c>
    </row>
    <row r="676" spans="1:12">
      <c r="A676" s="1" t="s">
        <v>1581</v>
      </c>
      <c r="B676" s="1" t="s">
        <v>1572</v>
      </c>
      <c r="C676" s="1" t="s">
        <v>1723</v>
      </c>
      <c r="D676" s="1" t="s">
        <v>1697</v>
      </c>
      <c r="E676" s="1" t="s">
        <v>1698</v>
      </c>
      <c r="F676" s="1" t="s">
        <v>1698</v>
      </c>
      <c r="H676" s="1" t="s">
        <v>1684</v>
      </c>
      <c r="I676" s="1" t="s">
        <v>973</v>
      </c>
      <c r="J676" s="1" t="s">
        <v>1726</v>
      </c>
      <c r="K676" s="1" t="s">
        <v>1727</v>
      </c>
      <c r="L676" s="1" t="s">
        <v>1728</v>
      </c>
    </row>
    <row r="677" spans="1:12">
      <c r="A677" s="1" t="s">
        <v>1581</v>
      </c>
      <c r="B677" s="1" t="s">
        <v>1572</v>
      </c>
      <c r="C677" s="1" t="s">
        <v>1729</v>
      </c>
      <c r="D677" s="1" t="s">
        <v>1708</v>
      </c>
      <c r="E677" s="1" t="s">
        <v>1730</v>
      </c>
      <c r="F677" s="1" t="s">
        <v>1709</v>
      </c>
      <c r="H677" s="1" t="s">
        <v>1684</v>
      </c>
      <c r="I677" s="1" t="s">
        <v>1731</v>
      </c>
      <c r="J677" s="1" t="s">
        <v>1732</v>
      </c>
      <c r="K677" s="1" t="s">
        <v>1733</v>
      </c>
      <c r="L677" s="1" t="s">
        <v>1734</v>
      </c>
    </row>
    <row r="678" spans="1:12">
      <c r="A678" s="1" t="s">
        <v>1582</v>
      </c>
      <c r="B678" s="1" t="s">
        <v>1572</v>
      </c>
      <c r="C678" s="1" t="s">
        <v>1680</v>
      </c>
      <c r="D678" s="1" t="s">
        <v>1681</v>
      </c>
      <c r="E678" s="92" t="s">
        <v>1995</v>
      </c>
      <c r="F678" s="92" t="s">
        <v>1996</v>
      </c>
      <c r="H678" s="1" t="s">
        <v>1684</v>
      </c>
    </row>
    <row r="679" spans="1:12">
      <c r="A679" s="1" t="s">
        <v>1582</v>
      </c>
      <c r="B679" s="1" t="s">
        <v>1572</v>
      </c>
      <c r="C679" s="1" t="s">
        <v>1680</v>
      </c>
      <c r="D679" s="1" t="s">
        <v>1685</v>
      </c>
      <c r="E679" s="1" t="s">
        <v>1526</v>
      </c>
      <c r="F679" s="1" t="s">
        <v>1526</v>
      </c>
      <c r="H679" s="1" t="s">
        <v>1684</v>
      </c>
    </row>
    <row r="680" spans="1:12">
      <c r="A680" s="1" t="s">
        <v>1582</v>
      </c>
      <c r="B680" s="1" t="s">
        <v>1572</v>
      </c>
      <c r="C680" s="1" t="s">
        <v>1686</v>
      </c>
      <c r="D680" s="1" t="s">
        <v>1708</v>
      </c>
      <c r="E680" s="1" t="s">
        <v>1709</v>
      </c>
      <c r="F680" s="1" t="s">
        <v>1709</v>
      </c>
      <c r="H680" s="1" t="s">
        <v>1684</v>
      </c>
      <c r="I680" s="1" t="s">
        <v>1689</v>
      </c>
      <c r="J680" s="1" t="s">
        <v>1690</v>
      </c>
      <c r="K680" s="1" t="s">
        <v>1691</v>
      </c>
      <c r="L680" s="1" t="s">
        <v>1692</v>
      </c>
    </row>
    <row r="681" spans="1:12">
      <c r="A681" s="1" t="s">
        <v>1582</v>
      </c>
      <c r="B681" s="1" t="s">
        <v>1572</v>
      </c>
      <c r="C681" s="1" t="s">
        <v>1394</v>
      </c>
      <c r="D681" s="1" t="s">
        <v>218</v>
      </c>
      <c r="E681" s="92" t="s">
        <v>1997</v>
      </c>
      <c r="F681" s="92" t="s">
        <v>1997</v>
      </c>
      <c r="G681" s="92" t="s">
        <v>1765</v>
      </c>
      <c r="H681" s="1" t="s">
        <v>1684</v>
      </c>
      <c r="I681" s="1" t="s">
        <v>973</v>
      </c>
      <c r="J681" s="1" t="s">
        <v>1710</v>
      </c>
      <c r="K681" s="1" t="s">
        <v>1691</v>
      </c>
      <c r="L681" s="1" t="s">
        <v>1692</v>
      </c>
    </row>
    <row r="682" spans="1:12">
      <c r="A682" s="1" t="s">
        <v>1582</v>
      </c>
      <c r="B682" s="1" t="s">
        <v>1572</v>
      </c>
      <c r="C682" s="1" t="s">
        <v>1394</v>
      </c>
      <c r="D682" s="1" t="s">
        <v>1693</v>
      </c>
      <c r="E682" s="1" t="s">
        <v>1746</v>
      </c>
      <c r="F682" s="1" t="s">
        <v>1746</v>
      </c>
      <c r="H682" s="1" t="s">
        <v>1684</v>
      </c>
      <c r="I682" s="1" t="s">
        <v>973</v>
      </c>
      <c r="J682" s="1" t="s">
        <v>1710</v>
      </c>
      <c r="K682" s="1" t="s">
        <v>1691</v>
      </c>
      <c r="L682" s="1" t="s">
        <v>1692</v>
      </c>
    </row>
    <row r="683" spans="1:12">
      <c r="A683" s="1" t="s">
        <v>1582</v>
      </c>
      <c r="B683" s="1" t="s">
        <v>1572</v>
      </c>
      <c r="C683" s="1" t="s">
        <v>1394</v>
      </c>
      <c r="D683" s="1" t="s">
        <v>1695</v>
      </c>
      <c r="E683" s="1" t="s">
        <v>2030</v>
      </c>
      <c r="F683" s="1" t="s">
        <v>2030</v>
      </c>
      <c r="H683" s="1" t="s">
        <v>1684</v>
      </c>
      <c r="I683" s="1" t="s">
        <v>973</v>
      </c>
      <c r="J683" s="1" t="s">
        <v>1710</v>
      </c>
      <c r="K683" s="1" t="s">
        <v>1691</v>
      </c>
      <c r="L683" s="1" t="s">
        <v>1692</v>
      </c>
    </row>
    <row r="684" spans="1:12">
      <c r="A684" s="1" t="s">
        <v>1582</v>
      </c>
      <c r="B684" s="1" t="s">
        <v>1572</v>
      </c>
      <c r="C684" s="1" t="s">
        <v>1394</v>
      </c>
      <c r="D684" s="1" t="s">
        <v>1697</v>
      </c>
      <c r="E684" s="1" t="s">
        <v>1698</v>
      </c>
      <c r="F684" s="1" t="s">
        <v>1698</v>
      </c>
      <c r="H684" s="1" t="s">
        <v>1684</v>
      </c>
      <c r="I684" s="1" t="s">
        <v>973</v>
      </c>
      <c r="J684" s="1" t="s">
        <v>1710</v>
      </c>
      <c r="K684" s="1" t="s">
        <v>1691</v>
      </c>
      <c r="L684" s="1" t="s">
        <v>1692</v>
      </c>
    </row>
    <row r="685" spans="1:12">
      <c r="A685" s="1" t="s">
        <v>1582</v>
      </c>
      <c r="B685" s="1" t="s">
        <v>1572</v>
      </c>
      <c r="C685" s="1" t="s">
        <v>1394</v>
      </c>
      <c r="D685" s="1" t="s">
        <v>1699</v>
      </c>
      <c r="E685" s="92" t="s">
        <v>2031</v>
      </c>
      <c r="F685" s="92" t="s">
        <v>2032</v>
      </c>
      <c r="H685" s="1" t="s">
        <v>1684</v>
      </c>
      <c r="I685" s="1" t="s">
        <v>973</v>
      </c>
      <c r="J685" s="1" t="s">
        <v>1710</v>
      </c>
      <c r="K685" s="1" t="s">
        <v>1691</v>
      </c>
      <c r="L685" s="1" t="s">
        <v>1692</v>
      </c>
    </row>
    <row r="686" spans="1:12">
      <c r="A686" s="1" t="s">
        <v>1582</v>
      </c>
      <c r="B686" s="1" t="s">
        <v>1572</v>
      </c>
      <c r="C686" s="1" t="s">
        <v>1394</v>
      </c>
      <c r="D686" s="1" t="s">
        <v>1702</v>
      </c>
      <c r="E686" s="92" t="s">
        <v>2033</v>
      </c>
      <c r="F686" s="92" t="s">
        <v>2034</v>
      </c>
      <c r="H686" s="1" t="s">
        <v>1684</v>
      </c>
      <c r="I686" s="1" t="s">
        <v>973</v>
      </c>
      <c r="J686" s="1" t="s">
        <v>1710</v>
      </c>
      <c r="K686" s="1" t="s">
        <v>1691</v>
      </c>
      <c r="L686" s="1" t="s">
        <v>1692</v>
      </c>
    </row>
    <row r="687" spans="1:12">
      <c r="A687" s="1" t="s">
        <v>1582</v>
      </c>
      <c r="B687" s="1" t="s">
        <v>1572</v>
      </c>
      <c r="C687" s="1" t="s">
        <v>1394</v>
      </c>
      <c r="D687" s="1" t="s">
        <v>1705</v>
      </c>
      <c r="E687" s="92" t="s">
        <v>2035</v>
      </c>
      <c r="F687" s="92" t="s">
        <v>1966</v>
      </c>
      <c r="H687" s="1" t="s">
        <v>1684</v>
      </c>
      <c r="I687" s="1" t="s">
        <v>973</v>
      </c>
      <c r="J687" s="1" t="s">
        <v>1710</v>
      </c>
      <c r="K687" s="1" t="s">
        <v>1691</v>
      </c>
      <c r="L687" s="1" t="s">
        <v>1692</v>
      </c>
    </row>
    <row r="688" spans="1:12">
      <c r="A688" s="1" t="s">
        <v>1582</v>
      </c>
      <c r="B688" s="1" t="s">
        <v>1572</v>
      </c>
      <c r="C688" s="1" t="s">
        <v>1711</v>
      </c>
      <c r="D688" s="1" t="s">
        <v>1708</v>
      </c>
      <c r="E688" s="1" t="s">
        <v>1709</v>
      </c>
      <c r="F688" s="1" t="s">
        <v>1709</v>
      </c>
      <c r="H688" s="1" t="s">
        <v>1684</v>
      </c>
      <c r="I688" s="1" t="s">
        <v>1689</v>
      </c>
      <c r="J688" s="1" t="s">
        <v>1714</v>
      </c>
      <c r="K688" s="1" t="s">
        <v>1715</v>
      </c>
      <c r="L688" s="1" t="s">
        <v>1716</v>
      </c>
    </row>
    <row r="689" spans="1:12">
      <c r="A689" s="1" t="s">
        <v>1582</v>
      </c>
      <c r="B689" s="1" t="s">
        <v>1572</v>
      </c>
      <c r="C689" s="1" t="s">
        <v>1723</v>
      </c>
      <c r="D689" s="1" t="s">
        <v>218</v>
      </c>
      <c r="E689" s="92" t="s">
        <v>2036</v>
      </c>
      <c r="F689" s="92" t="s">
        <v>2036</v>
      </c>
      <c r="G689" s="92" t="s">
        <v>1775</v>
      </c>
      <c r="H689" s="1" t="s">
        <v>1684</v>
      </c>
      <c r="I689" s="1" t="s">
        <v>973</v>
      </c>
      <c r="J689" s="1" t="s">
        <v>1726</v>
      </c>
      <c r="K689" s="1" t="s">
        <v>1727</v>
      </c>
      <c r="L689" s="1" t="s">
        <v>1728</v>
      </c>
    </row>
    <row r="690" spans="1:12">
      <c r="A690" s="1" t="s">
        <v>1582</v>
      </c>
      <c r="B690" s="1" t="s">
        <v>1572</v>
      </c>
      <c r="C690" s="1" t="s">
        <v>1723</v>
      </c>
      <c r="D690" s="1" t="s">
        <v>1693</v>
      </c>
      <c r="E690" s="1" t="s">
        <v>1694</v>
      </c>
      <c r="F690" s="1" t="s">
        <v>1694</v>
      </c>
      <c r="H690" s="1" t="s">
        <v>1684</v>
      </c>
      <c r="I690" s="1" t="s">
        <v>973</v>
      </c>
      <c r="J690" s="1" t="s">
        <v>1726</v>
      </c>
      <c r="K690" s="1" t="s">
        <v>1727</v>
      </c>
      <c r="L690" s="1" t="s">
        <v>1728</v>
      </c>
    </row>
    <row r="691" spans="1:12">
      <c r="A691" s="1" t="s">
        <v>1582</v>
      </c>
      <c r="B691" s="1" t="s">
        <v>1572</v>
      </c>
      <c r="C691" s="1" t="s">
        <v>1723</v>
      </c>
      <c r="D691" s="1" t="s">
        <v>1695</v>
      </c>
      <c r="E691" s="1" t="s">
        <v>1694</v>
      </c>
      <c r="F691" s="1" t="s">
        <v>1694</v>
      </c>
      <c r="H691" s="1" t="s">
        <v>1684</v>
      </c>
      <c r="I691" s="1" t="s">
        <v>973</v>
      </c>
      <c r="J691" s="1" t="s">
        <v>1726</v>
      </c>
      <c r="K691" s="1" t="s">
        <v>1727</v>
      </c>
      <c r="L691" s="1" t="s">
        <v>1728</v>
      </c>
    </row>
    <row r="692" spans="1:12">
      <c r="A692" s="1" t="s">
        <v>1582</v>
      </c>
      <c r="B692" s="1" t="s">
        <v>1572</v>
      </c>
      <c r="C692" s="1" t="s">
        <v>1723</v>
      </c>
      <c r="D692" s="1" t="s">
        <v>1697</v>
      </c>
      <c r="E692" s="1" t="s">
        <v>1698</v>
      </c>
      <c r="F692" s="1" t="s">
        <v>1698</v>
      </c>
      <c r="H692" s="1" t="s">
        <v>1684</v>
      </c>
      <c r="I692" s="1" t="s">
        <v>973</v>
      </c>
      <c r="J692" s="1" t="s">
        <v>1726</v>
      </c>
      <c r="K692" s="1" t="s">
        <v>1727</v>
      </c>
      <c r="L692" s="1" t="s">
        <v>1728</v>
      </c>
    </row>
    <row r="693" spans="1:12">
      <c r="A693" s="1" t="s">
        <v>1582</v>
      </c>
      <c r="B693" s="1" t="s">
        <v>1572</v>
      </c>
      <c r="C693" s="1" t="s">
        <v>1729</v>
      </c>
      <c r="D693" s="1" t="s">
        <v>1708</v>
      </c>
      <c r="E693" s="1" t="s">
        <v>1730</v>
      </c>
      <c r="F693" s="1" t="s">
        <v>1709</v>
      </c>
      <c r="H693" s="1" t="s">
        <v>1684</v>
      </c>
      <c r="I693" s="1" t="s">
        <v>1731</v>
      </c>
      <c r="J693" s="1" t="s">
        <v>1732</v>
      </c>
      <c r="K693" s="1" t="s">
        <v>1733</v>
      </c>
      <c r="L693" s="1" t="s">
        <v>1734</v>
      </c>
    </row>
    <row r="694" spans="1:12">
      <c r="A694" s="1" t="s">
        <v>1583</v>
      </c>
      <c r="B694" s="1" t="s">
        <v>1572</v>
      </c>
      <c r="C694" s="1" t="s">
        <v>1680</v>
      </c>
      <c r="D694" s="1" t="s">
        <v>1681</v>
      </c>
      <c r="E694" s="92" t="s">
        <v>2005</v>
      </c>
      <c r="F694" s="92" t="s">
        <v>2006</v>
      </c>
      <c r="H694" s="1" t="s">
        <v>1684</v>
      </c>
    </row>
    <row r="695" spans="1:12">
      <c r="A695" s="1" t="s">
        <v>1583</v>
      </c>
      <c r="B695" s="1" t="s">
        <v>1572</v>
      </c>
      <c r="C695" s="1" t="s">
        <v>1680</v>
      </c>
      <c r="D695" s="1" t="s">
        <v>1685</v>
      </c>
      <c r="E695" s="1" t="s">
        <v>1526</v>
      </c>
      <c r="F695" s="1" t="s">
        <v>1526</v>
      </c>
      <c r="H695" s="1" t="s">
        <v>1684</v>
      </c>
    </row>
    <row r="696" spans="1:12">
      <c r="A696" s="1" t="s">
        <v>1583</v>
      </c>
      <c r="B696" s="1" t="s">
        <v>1572</v>
      </c>
      <c r="C696" s="1" t="s">
        <v>1686</v>
      </c>
      <c r="D696" s="1" t="s">
        <v>1708</v>
      </c>
      <c r="E696" s="1" t="s">
        <v>1709</v>
      </c>
      <c r="F696" s="1" t="s">
        <v>1709</v>
      </c>
      <c r="H696" s="1" t="s">
        <v>1684</v>
      </c>
      <c r="I696" s="1" t="s">
        <v>1689</v>
      </c>
      <c r="J696" s="1" t="s">
        <v>1690</v>
      </c>
      <c r="K696" s="1" t="s">
        <v>1691</v>
      </c>
      <c r="L696" s="1" t="s">
        <v>1692</v>
      </c>
    </row>
    <row r="697" spans="1:12">
      <c r="A697" s="1" t="s">
        <v>1583</v>
      </c>
      <c r="B697" s="1" t="s">
        <v>1572</v>
      </c>
      <c r="C697" s="1" t="s">
        <v>1394</v>
      </c>
      <c r="D697" s="1" t="s">
        <v>218</v>
      </c>
      <c r="E697" s="92" t="s">
        <v>1822</v>
      </c>
      <c r="F697" s="92" t="s">
        <v>1822</v>
      </c>
      <c r="G697" s="92" t="s">
        <v>1775</v>
      </c>
      <c r="H697" s="1" t="s">
        <v>1684</v>
      </c>
      <c r="I697" s="1" t="s">
        <v>973</v>
      </c>
      <c r="J697" s="1" t="s">
        <v>1710</v>
      </c>
      <c r="K697" s="1" t="s">
        <v>1691</v>
      </c>
      <c r="L697" s="1" t="s">
        <v>1692</v>
      </c>
    </row>
    <row r="698" spans="1:12">
      <c r="A698" s="1" t="s">
        <v>1583</v>
      </c>
      <c r="B698" s="1" t="s">
        <v>1572</v>
      </c>
      <c r="C698" s="1" t="s">
        <v>1394</v>
      </c>
      <c r="D698" s="1" t="s">
        <v>1693</v>
      </c>
      <c r="E698" s="1" t="s">
        <v>1694</v>
      </c>
      <c r="F698" s="1" t="s">
        <v>1694</v>
      </c>
      <c r="H698" s="1" t="s">
        <v>1684</v>
      </c>
      <c r="I698" s="1" t="s">
        <v>973</v>
      </c>
      <c r="J698" s="1" t="s">
        <v>1710</v>
      </c>
      <c r="K698" s="1" t="s">
        <v>1691</v>
      </c>
      <c r="L698" s="1" t="s">
        <v>1692</v>
      </c>
    </row>
    <row r="699" spans="1:12">
      <c r="A699" s="1" t="s">
        <v>1583</v>
      </c>
      <c r="B699" s="1" t="s">
        <v>1572</v>
      </c>
      <c r="C699" s="1" t="s">
        <v>1394</v>
      </c>
      <c r="D699" s="1" t="s">
        <v>1695</v>
      </c>
      <c r="E699" s="1" t="s">
        <v>1694</v>
      </c>
      <c r="F699" s="1" t="s">
        <v>1694</v>
      </c>
      <c r="H699" s="1" t="s">
        <v>1684</v>
      </c>
      <c r="I699" s="1" t="s">
        <v>973</v>
      </c>
      <c r="J699" s="1" t="s">
        <v>1710</v>
      </c>
      <c r="K699" s="1" t="s">
        <v>1691</v>
      </c>
      <c r="L699" s="1" t="s">
        <v>1692</v>
      </c>
    </row>
    <row r="700" spans="1:12">
      <c r="A700" s="1" t="s">
        <v>1583</v>
      </c>
      <c r="B700" s="1" t="s">
        <v>1572</v>
      </c>
      <c r="C700" s="1" t="s">
        <v>1394</v>
      </c>
      <c r="D700" s="1" t="s">
        <v>1697</v>
      </c>
      <c r="E700" s="1" t="s">
        <v>1698</v>
      </c>
      <c r="F700" s="1" t="s">
        <v>1698</v>
      </c>
      <c r="H700" s="1" t="s">
        <v>1684</v>
      </c>
      <c r="I700" s="1" t="s">
        <v>973</v>
      </c>
      <c r="J700" s="1" t="s">
        <v>1710</v>
      </c>
      <c r="K700" s="1" t="s">
        <v>1691</v>
      </c>
      <c r="L700" s="1" t="s">
        <v>1692</v>
      </c>
    </row>
    <row r="701" spans="1:12">
      <c r="A701" s="1" t="s">
        <v>1583</v>
      </c>
      <c r="B701" s="1" t="s">
        <v>1572</v>
      </c>
      <c r="C701" s="1" t="s">
        <v>1394</v>
      </c>
      <c r="D701" s="1" t="s">
        <v>1699</v>
      </c>
      <c r="E701" s="92" t="s">
        <v>2037</v>
      </c>
      <c r="F701" s="92" t="s">
        <v>2038</v>
      </c>
      <c r="H701" s="1" t="s">
        <v>1684</v>
      </c>
      <c r="I701" s="1" t="s">
        <v>973</v>
      </c>
      <c r="J701" s="1" t="s">
        <v>1710</v>
      </c>
      <c r="K701" s="1" t="s">
        <v>1691</v>
      </c>
      <c r="L701" s="1" t="s">
        <v>1692</v>
      </c>
    </row>
    <row r="702" spans="1:12">
      <c r="A702" s="1" t="s">
        <v>1583</v>
      </c>
      <c r="B702" s="1" t="s">
        <v>1572</v>
      </c>
      <c r="C702" s="1" t="s">
        <v>1394</v>
      </c>
      <c r="D702" s="1" t="s">
        <v>1702</v>
      </c>
      <c r="E702" s="92" t="s">
        <v>2039</v>
      </c>
      <c r="F702" s="92" t="s">
        <v>2040</v>
      </c>
      <c r="H702" s="1" t="s">
        <v>1684</v>
      </c>
      <c r="I702" s="1" t="s">
        <v>973</v>
      </c>
      <c r="J702" s="1" t="s">
        <v>1710</v>
      </c>
      <c r="K702" s="1" t="s">
        <v>1691</v>
      </c>
      <c r="L702" s="1" t="s">
        <v>1692</v>
      </c>
    </row>
    <row r="703" spans="1:12">
      <c r="A703" s="1" t="s">
        <v>1583</v>
      </c>
      <c r="B703" s="1" t="s">
        <v>1572</v>
      </c>
      <c r="C703" s="1" t="s">
        <v>1394</v>
      </c>
      <c r="D703" s="1" t="s">
        <v>1705</v>
      </c>
      <c r="E703" s="92" t="s">
        <v>2041</v>
      </c>
      <c r="F703" s="92" t="s">
        <v>2042</v>
      </c>
      <c r="H703" s="1" t="s">
        <v>1684</v>
      </c>
      <c r="I703" s="1" t="s">
        <v>973</v>
      </c>
      <c r="J703" s="1" t="s">
        <v>1710</v>
      </c>
      <c r="K703" s="1" t="s">
        <v>1691</v>
      </c>
      <c r="L703" s="1" t="s">
        <v>1692</v>
      </c>
    </row>
    <row r="704" spans="1:12">
      <c r="A704" s="1" t="s">
        <v>1583</v>
      </c>
      <c r="B704" s="1" t="s">
        <v>1572</v>
      </c>
      <c r="C704" s="1" t="s">
        <v>1711</v>
      </c>
      <c r="D704" s="1" t="s">
        <v>1708</v>
      </c>
      <c r="E704" s="1" t="s">
        <v>1709</v>
      </c>
      <c r="F704" s="1" t="s">
        <v>1709</v>
      </c>
      <c r="H704" s="1" t="s">
        <v>1684</v>
      </c>
      <c r="I704" s="1" t="s">
        <v>1689</v>
      </c>
      <c r="J704" s="1" t="s">
        <v>1714</v>
      </c>
      <c r="K704" s="1" t="s">
        <v>1715</v>
      </c>
      <c r="L704" s="1" t="s">
        <v>1716</v>
      </c>
    </row>
    <row r="705" spans="1:12">
      <c r="A705" s="1" t="s">
        <v>1583</v>
      </c>
      <c r="B705" s="1" t="s">
        <v>1572</v>
      </c>
      <c r="C705" s="1" t="s">
        <v>1723</v>
      </c>
      <c r="D705" s="1" t="s">
        <v>218</v>
      </c>
      <c r="E705" s="92" t="s">
        <v>2043</v>
      </c>
      <c r="F705" s="92" t="s">
        <v>2043</v>
      </c>
      <c r="G705" s="92" t="s">
        <v>1831</v>
      </c>
      <c r="H705" s="1" t="s">
        <v>1684</v>
      </c>
      <c r="I705" s="1" t="s">
        <v>973</v>
      </c>
      <c r="J705" s="1" t="s">
        <v>1726</v>
      </c>
      <c r="K705" s="1" t="s">
        <v>1727</v>
      </c>
      <c r="L705" s="1" t="s">
        <v>1728</v>
      </c>
    </row>
    <row r="706" spans="1:12">
      <c r="A706" s="1" t="s">
        <v>1583</v>
      </c>
      <c r="B706" s="1" t="s">
        <v>1572</v>
      </c>
      <c r="C706" s="1" t="s">
        <v>1723</v>
      </c>
      <c r="D706" s="1" t="s">
        <v>1693</v>
      </c>
      <c r="E706" s="1" t="s">
        <v>1694</v>
      </c>
      <c r="F706" s="1" t="s">
        <v>1694</v>
      </c>
      <c r="H706" s="1" t="s">
        <v>1684</v>
      </c>
      <c r="I706" s="1" t="s">
        <v>973</v>
      </c>
      <c r="J706" s="1" t="s">
        <v>1726</v>
      </c>
      <c r="K706" s="1" t="s">
        <v>1727</v>
      </c>
      <c r="L706" s="1" t="s">
        <v>1728</v>
      </c>
    </row>
    <row r="707" spans="1:12">
      <c r="A707" s="1" t="s">
        <v>1583</v>
      </c>
      <c r="B707" s="1" t="s">
        <v>1572</v>
      </c>
      <c r="C707" s="1" t="s">
        <v>1723</v>
      </c>
      <c r="D707" s="1" t="s">
        <v>1695</v>
      </c>
      <c r="E707" s="1" t="s">
        <v>1694</v>
      </c>
      <c r="F707" s="1" t="s">
        <v>1694</v>
      </c>
      <c r="H707" s="1" t="s">
        <v>1684</v>
      </c>
      <c r="I707" s="1" t="s">
        <v>973</v>
      </c>
      <c r="J707" s="1" t="s">
        <v>1726</v>
      </c>
      <c r="K707" s="1" t="s">
        <v>1727</v>
      </c>
      <c r="L707" s="1" t="s">
        <v>1728</v>
      </c>
    </row>
    <row r="708" spans="1:12">
      <c r="A708" s="1" t="s">
        <v>1583</v>
      </c>
      <c r="B708" s="1" t="s">
        <v>1572</v>
      </c>
      <c r="C708" s="1" t="s">
        <v>1723</v>
      </c>
      <c r="D708" s="1" t="s">
        <v>1697</v>
      </c>
      <c r="E708" s="1" t="s">
        <v>1698</v>
      </c>
      <c r="F708" s="1" t="s">
        <v>1698</v>
      </c>
      <c r="H708" s="1" t="s">
        <v>1684</v>
      </c>
      <c r="I708" s="1" t="s">
        <v>973</v>
      </c>
      <c r="J708" s="1" t="s">
        <v>1726</v>
      </c>
      <c r="K708" s="1" t="s">
        <v>1727</v>
      </c>
      <c r="L708" s="1" t="s">
        <v>1728</v>
      </c>
    </row>
    <row r="709" spans="1:12">
      <c r="A709" s="1" t="s">
        <v>1583</v>
      </c>
      <c r="B709" s="1" t="s">
        <v>1572</v>
      </c>
      <c r="C709" s="1" t="s">
        <v>1729</v>
      </c>
      <c r="D709" s="1" t="s">
        <v>1708</v>
      </c>
      <c r="E709" s="1" t="s">
        <v>1730</v>
      </c>
      <c r="F709" s="1" t="s">
        <v>1709</v>
      </c>
      <c r="H709" s="1" t="s">
        <v>1684</v>
      </c>
      <c r="I709" s="1" t="s">
        <v>1731</v>
      </c>
      <c r="J709" s="1" t="s">
        <v>1732</v>
      </c>
      <c r="K709" s="1" t="s">
        <v>1733</v>
      </c>
      <c r="L709" s="1" t="s">
        <v>1734</v>
      </c>
    </row>
    <row r="710" spans="1:12">
      <c r="A710" s="1" t="s">
        <v>1584</v>
      </c>
      <c r="B710" s="1" t="s">
        <v>1572</v>
      </c>
      <c r="C710" s="1" t="s">
        <v>1680</v>
      </c>
      <c r="D710" s="1" t="s">
        <v>1681</v>
      </c>
      <c r="E710" s="92" t="s">
        <v>2005</v>
      </c>
      <c r="F710" s="92" t="s">
        <v>2006</v>
      </c>
      <c r="H710" s="1" t="s">
        <v>1684</v>
      </c>
    </row>
    <row r="711" spans="1:12">
      <c r="A711" s="1" t="s">
        <v>1584</v>
      </c>
      <c r="B711" s="1" t="s">
        <v>1572</v>
      </c>
      <c r="C711" s="1" t="s">
        <v>1680</v>
      </c>
      <c r="D711" s="1" t="s">
        <v>1685</v>
      </c>
      <c r="E711" s="1" t="s">
        <v>1526</v>
      </c>
      <c r="F711" s="1" t="s">
        <v>1526</v>
      </c>
      <c r="H711" s="1" t="s">
        <v>1684</v>
      </c>
    </row>
    <row r="712" spans="1:12">
      <c r="A712" s="1" t="s">
        <v>1584</v>
      </c>
      <c r="B712" s="1" t="s">
        <v>1572</v>
      </c>
      <c r="C712" s="1" t="s">
        <v>1686</v>
      </c>
      <c r="D712" s="1" t="s">
        <v>1708</v>
      </c>
      <c r="E712" s="1" t="s">
        <v>1709</v>
      </c>
      <c r="F712" s="1" t="s">
        <v>1709</v>
      </c>
      <c r="H712" s="1" t="s">
        <v>1684</v>
      </c>
      <c r="I712" s="1" t="s">
        <v>1689</v>
      </c>
      <c r="J712" s="1" t="s">
        <v>1690</v>
      </c>
      <c r="K712" s="1" t="s">
        <v>1691</v>
      </c>
      <c r="L712" s="1" t="s">
        <v>1692</v>
      </c>
    </row>
    <row r="713" spans="1:12">
      <c r="A713" s="1" t="s">
        <v>1584</v>
      </c>
      <c r="B713" s="1" t="s">
        <v>1572</v>
      </c>
      <c r="C713" s="1" t="s">
        <v>1394</v>
      </c>
      <c r="D713" s="1" t="s">
        <v>218</v>
      </c>
      <c r="E713" s="92" t="s">
        <v>2044</v>
      </c>
      <c r="F713" s="92" t="s">
        <v>2044</v>
      </c>
      <c r="G713" s="92" t="s">
        <v>1875</v>
      </c>
      <c r="H713" s="1" t="s">
        <v>1684</v>
      </c>
      <c r="I713" s="1" t="s">
        <v>973</v>
      </c>
      <c r="J713" s="1" t="s">
        <v>1710</v>
      </c>
      <c r="K713" s="1" t="s">
        <v>1691</v>
      </c>
      <c r="L713" s="1" t="s">
        <v>1692</v>
      </c>
    </row>
    <row r="714" spans="1:12">
      <c r="A714" s="1" t="s">
        <v>1584</v>
      </c>
      <c r="B714" s="1" t="s">
        <v>1572</v>
      </c>
      <c r="C714" s="1" t="s">
        <v>1394</v>
      </c>
      <c r="D714" s="1" t="s">
        <v>1693</v>
      </c>
      <c r="E714" s="1" t="s">
        <v>2029</v>
      </c>
      <c r="F714" s="1" t="s">
        <v>2029</v>
      </c>
      <c r="H714" s="1" t="s">
        <v>1684</v>
      </c>
      <c r="I714" s="1" t="s">
        <v>973</v>
      </c>
      <c r="J714" s="1" t="s">
        <v>1710</v>
      </c>
      <c r="K714" s="1" t="s">
        <v>1691</v>
      </c>
      <c r="L714" s="1" t="s">
        <v>1692</v>
      </c>
    </row>
    <row r="715" spans="1:12">
      <c r="A715" s="1" t="s">
        <v>1584</v>
      </c>
      <c r="B715" s="1" t="s">
        <v>1572</v>
      </c>
      <c r="C715" s="1" t="s">
        <v>1394</v>
      </c>
      <c r="D715" s="1" t="s">
        <v>1695</v>
      </c>
      <c r="E715" s="1" t="s">
        <v>1757</v>
      </c>
      <c r="F715" s="1" t="s">
        <v>1757</v>
      </c>
      <c r="H715" s="1" t="s">
        <v>1684</v>
      </c>
      <c r="I715" s="1" t="s">
        <v>973</v>
      </c>
      <c r="J715" s="1" t="s">
        <v>1710</v>
      </c>
      <c r="K715" s="1" t="s">
        <v>1691</v>
      </c>
      <c r="L715" s="1" t="s">
        <v>1692</v>
      </c>
    </row>
    <row r="716" spans="1:12">
      <c r="A716" s="1" t="s">
        <v>1584</v>
      </c>
      <c r="B716" s="1" t="s">
        <v>1572</v>
      </c>
      <c r="C716" s="1" t="s">
        <v>1394</v>
      </c>
      <c r="D716" s="1" t="s">
        <v>1697</v>
      </c>
      <c r="E716" s="1" t="s">
        <v>1698</v>
      </c>
      <c r="F716" s="1" t="s">
        <v>1698</v>
      </c>
      <c r="H716" s="1" t="s">
        <v>1684</v>
      </c>
      <c r="I716" s="1" t="s">
        <v>973</v>
      </c>
      <c r="J716" s="1" t="s">
        <v>1710</v>
      </c>
      <c r="K716" s="1" t="s">
        <v>1691</v>
      </c>
      <c r="L716" s="1" t="s">
        <v>1692</v>
      </c>
    </row>
    <row r="717" spans="1:12">
      <c r="A717" s="1" t="s">
        <v>1584</v>
      </c>
      <c r="B717" s="1" t="s">
        <v>1572</v>
      </c>
      <c r="C717" s="1" t="s">
        <v>1394</v>
      </c>
      <c r="D717" s="1" t="s">
        <v>1699</v>
      </c>
      <c r="E717" s="92" t="s">
        <v>2037</v>
      </c>
      <c r="F717" s="92" t="s">
        <v>2038</v>
      </c>
      <c r="H717" s="1" t="s">
        <v>1684</v>
      </c>
      <c r="I717" s="1" t="s">
        <v>973</v>
      </c>
      <c r="J717" s="1" t="s">
        <v>1710</v>
      </c>
      <c r="K717" s="1" t="s">
        <v>1691</v>
      </c>
      <c r="L717" s="1" t="s">
        <v>1692</v>
      </c>
    </row>
    <row r="718" spans="1:12">
      <c r="A718" s="1" t="s">
        <v>1584</v>
      </c>
      <c r="B718" s="1" t="s">
        <v>1572</v>
      </c>
      <c r="C718" s="1" t="s">
        <v>1394</v>
      </c>
      <c r="D718" s="1" t="s">
        <v>1702</v>
      </c>
      <c r="E718" s="92" t="s">
        <v>2039</v>
      </c>
      <c r="F718" s="92" t="s">
        <v>2040</v>
      </c>
      <c r="H718" s="1" t="s">
        <v>1684</v>
      </c>
      <c r="I718" s="1" t="s">
        <v>973</v>
      </c>
      <c r="J718" s="1" t="s">
        <v>1710</v>
      </c>
      <c r="K718" s="1" t="s">
        <v>1691</v>
      </c>
      <c r="L718" s="1" t="s">
        <v>1692</v>
      </c>
    </row>
    <row r="719" spans="1:12">
      <c r="A719" s="1" t="s">
        <v>1584</v>
      </c>
      <c r="B719" s="1" t="s">
        <v>1572</v>
      </c>
      <c r="C719" s="1" t="s">
        <v>1394</v>
      </c>
      <c r="D719" s="1" t="s">
        <v>1705</v>
      </c>
      <c r="E719" s="92" t="s">
        <v>2041</v>
      </c>
      <c r="F719" s="92" t="s">
        <v>2042</v>
      </c>
      <c r="H719" s="1" t="s">
        <v>1684</v>
      </c>
      <c r="I719" s="1" t="s">
        <v>973</v>
      </c>
      <c r="J719" s="1" t="s">
        <v>1710</v>
      </c>
      <c r="K719" s="1" t="s">
        <v>1691</v>
      </c>
      <c r="L719" s="1" t="s">
        <v>1692</v>
      </c>
    </row>
    <row r="720" spans="1:12">
      <c r="A720" s="1" t="s">
        <v>1584</v>
      </c>
      <c r="B720" s="1" t="s">
        <v>1572</v>
      </c>
      <c r="C720" s="1" t="s">
        <v>1711</v>
      </c>
      <c r="D720" s="1" t="s">
        <v>1708</v>
      </c>
      <c r="E720" s="1" t="s">
        <v>1709</v>
      </c>
      <c r="F720" s="1" t="s">
        <v>1709</v>
      </c>
      <c r="H720" s="1" t="s">
        <v>1684</v>
      </c>
      <c r="I720" s="1" t="s">
        <v>1689</v>
      </c>
      <c r="J720" s="1" t="s">
        <v>1714</v>
      </c>
      <c r="K720" s="1" t="s">
        <v>1715</v>
      </c>
      <c r="L720" s="1" t="s">
        <v>1716</v>
      </c>
    </row>
    <row r="721" spans="1:12">
      <c r="A721" s="1" t="s">
        <v>1584</v>
      </c>
      <c r="B721" s="1" t="s">
        <v>1572</v>
      </c>
      <c r="C721" s="1" t="s">
        <v>1723</v>
      </c>
      <c r="D721" s="1" t="s">
        <v>218</v>
      </c>
      <c r="E721" s="92" t="s">
        <v>2043</v>
      </c>
      <c r="F721" s="92" t="s">
        <v>2043</v>
      </c>
      <c r="G721" s="92" t="s">
        <v>1831</v>
      </c>
      <c r="H721" s="1" t="s">
        <v>1684</v>
      </c>
      <c r="I721" s="1" t="s">
        <v>973</v>
      </c>
      <c r="J721" s="1" t="s">
        <v>1726</v>
      </c>
      <c r="K721" s="1" t="s">
        <v>1727</v>
      </c>
      <c r="L721" s="1" t="s">
        <v>1728</v>
      </c>
    </row>
    <row r="722" spans="1:12">
      <c r="A722" s="1" t="s">
        <v>1584</v>
      </c>
      <c r="B722" s="1" t="s">
        <v>1572</v>
      </c>
      <c r="C722" s="1" t="s">
        <v>1723</v>
      </c>
      <c r="D722" s="1" t="s">
        <v>1693</v>
      </c>
      <c r="E722" s="1" t="s">
        <v>1694</v>
      </c>
      <c r="F722" s="1" t="s">
        <v>1694</v>
      </c>
      <c r="H722" s="1" t="s">
        <v>1684</v>
      </c>
      <c r="I722" s="1" t="s">
        <v>973</v>
      </c>
      <c r="J722" s="1" t="s">
        <v>1726</v>
      </c>
      <c r="K722" s="1" t="s">
        <v>1727</v>
      </c>
      <c r="L722" s="1" t="s">
        <v>1728</v>
      </c>
    </row>
    <row r="723" spans="1:12">
      <c r="A723" s="1" t="s">
        <v>1584</v>
      </c>
      <c r="B723" s="1" t="s">
        <v>1572</v>
      </c>
      <c r="C723" s="1" t="s">
        <v>1723</v>
      </c>
      <c r="D723" s="1" t="s">
        <v>1695</v>
      </c>
      <c r="E723" s="1" t="s">
        <v>1694</v>
      </c>
      <c r="F723" s="1" t="s">
        <v>1694</v>
      </c>
      <c r="H723" s="1" t="s">
        <v>1684</v>
      </c>
      <c r="I723" s="1" t="s">
        <v>973</v>
      </c>
      <c r="J723" s="1" t="s">
        <v>1726</v>
      </c>
      <c r="K723" s="1" t="s">
        <v>1727</v>
      </c>
      <c r="L723" s="1" t="s">
        <v>1728</v>
      </c>
    </row>
    <row r="724" spans="1:12">
      <c r="A724" s="1" t="s">
        <v>1584</v>
      </c>
      <c r="B724" s="1" t="s">
        <v>1572</v>
      </c>
      <c r="C724" s="1" t="s">
        <v>1723</v>
      </c>
      <c r="D724" s="1" t="s">
        <v>1697</v>
      </c>
      <c r="E724" s="1" t="s">
        <v>1698</v>
      </c>
      <c r="F724" s="1" t="s">
        <v>1698</v>
      </c>
      <c r="H724" s="1" t="s">
        <v>1684</v>
      </c>
      <c r="I724" s="1" t="s">
        <v>973</v>
      </c>
      <c r="J724" s="1" t="s">
        <v>1726</v>
      </c>
      <c r="K724" s="1" t="s">
        <v>1727</v>
      </c>
      <c r="L724" s="1" t="s">
        <v>1728</v>
      </c>
    </row>
    <row r="725" spans="1:12">
      <c r="A725" s="1" t="s">
        <v>1584</v>
      </c>
      <c r="B725" s="1" t="s">
        <v>1572</v>
      </c>
      <c r="C725" s="1" t="s">
        <v>1729</v>
      </c>
      <c r="D725" s="1" t="s">
        <v>1708</v>
      </c>
      <c r="E725" s="1" t="s">
        <v>1730</v>
      </c>
      <c r="F725" s="1" t="s">
        <v>1709</v>
      </c>
      <c r="H725" s="1" t="s">
        <v>1684</v>
      </c>
      <c r="I725" s="1" t="s">
        <v>1731</v>
      </c>
      <c r="J725" s="1" t="s">
        <v>1732</v>
      </c>
      <c r="K725" s="1" t="s">
        <v>1733</v>
      </c>
      <c r="L725" s="1" t="s">
        <v>1734</v>
      </c>
    </row>
    <row r="726" spans="1:12">
      <c r="A726" s="1" t="s">
        <v>1585</v>
      </c>
      <c r="B726" s="1" t="s">
        <v>1586</v>
      </c>
      <c r="C726" s="1" t="s">
        <v>1680</v>
      </c>
      <c r="D726" s="1" t="s">
        <v>1681</v>
      </c>
      <c r="E726" s="92" t="s">
        <v>1682</v>
      </c>
      <c r="F726" s="92" t="s">
        <v>1683</v>
      </c>
      <c r="H726" s="1" t="s">
        <v>1684</v>
      </c>
    </row>
    <row r="727" spans="1:12">
      <c r="A727" s="1" t="s">
        <v>1585</v>
      </c>
      <c r="B727" s="1" t="s">
        <v>1586</v>
      </c>
      <c r="C727" s="1" t="s">
        <v>1680</v>
      </c>
      <c r="D727" s="1" t="s">
        <v>1685</v>
      </c>
      <c r="E727" s="1" t="s">
        <v>1526</v>
      </c>
      <c r="F727" s="1" t="s">
        <v>1526</v>
      </c>
      <c r="H727" s="1" t="s">
        <v>1684</v>
      </c>
    </row>
    <row r="728" spans="1:12">
      <c r="A728" s="1" t="s">
        <v>1585</v>
      </c>
      <c r="B728" s="1" t="s">
        <v>1586</v>
      </c>
      <c r="C728" s="1" t="s">
        <v>1686</v>
      </c>
      <c r="D728" s="1" t="s">
        <v>218</v>
      </c>
      <c r="E728" s="92" t="s">
        <v>2045</v>
      </c>
      <c r="F728" s="92" t="s">
        <v>2045</v>
      </c>
      <c r="G728" s="92" t="s">
        <v>1725</v>
      </c>
      <c r="H728" s="1" t="s">
        <v>1684</v>
      </c>
      <c r="I728" s="1" t="s">
        <v>1689</v>
      </c>
      <c r="J728" s="1" t="s">
        <v>1690</v>
      </c>
      <c r="K728" s="1" t="s">
        <v>1691</v>
      </c>
      <c r="L728" s="1" t="s">
        <v>1692</v>
      </c>
    </row>
    <row r="729" spans="1:12">
      <c r="A729" s="1" t="s">
        <v>1585</v>
      </c>
      <c r="B729" s="1" t="s">
        <v>1586</v>
      </c>
      <c r="C729" s="1" t="s">
        <v>1686</v>
      </c>
      <c r="D729" s="1" t="s">
        <v>1693</v>
      </c>
      <c r="E729" s="1" t="s">
        <v>1694</v>
      </c>
      <c r="F729" s="1" t="s">
        <v>1694</v>
      </c>
      <c r="H729" s="1" t="s">
        <v>1684</v>
      </c>
      <c r="I729" s="1" t="s">
        <v>1689</v>
      </c>
      <c r="J729" s="1" t="s">
        <v>1690</v>
      </c>
      <c r="K729" s="1" t="s">
        <v>1691</v>
      </c>
      <c r="L729" s="1" t="s">
        <v>1692</v>
      </c>
    </row>
    <row r="730" spans="1:12">
      <c r="A730" s="1" t="s">
        <v>1585</v>
      </c>
      <c r="B730" s="1" t="s">
        <v>1586</v>
      </c>
      <c r="C730" s="1" t="s">
        <v>1686</v>
      </c>
      <c r="D730" s="1" t="s">
        <v>1695</v>
      </c>
      <c r="E730" s="1" t="s">
        <v>1696</v>
      </c>
      <c r="F730" s="1" t="s">
        <v>1696</v>
      </c>
      <c r="H730" s="1" t="s">
        <v>1684</v>
      </c>
      <c r="I730" s="1" t="s">
        <v>1689</v>
      </c>
      <c r="J730" s="1" t="s">
        <v>1690</v>
      </c>
      <c r="K730" s="1" t="s">
        <v>1691</v>
      </c>
      <c r="L730" s="1" t="s">
        <v>1692</v>
      </c>
    </row>
    <row r="731" spans="1:12">
      <c r="A731" s="1" t="s">
        <v>1585</v>
      </c>
      <c r="B731" s="1" t="s">
        <v>1586</v>
      </c>
      <c r="C731" s="1" t="s">
        <v>1686</v>
      </c>
      <c r="D731" s="1" t="s">
        <v>1697</v>
      </c>
      <c r="E731" s="1" t="s">
        <v>1698</v>
      </c>
      <c r="F731" s="1" t="s">
        <v>1698</v>
      </c>
      <c r="H731" s="1" t="s">
        <v>1684</v>
      </c>
      <c r="I731" s="1" t="s">
        <v>1689</v>
      </c>
      <c r="J731" s="1" t="s">
        <v>1690</v>
      </c>
      <c r="K731" s="1" t="s">
        <v>1691</v>
      </c>
      <c r="L731" s="1" t="s">
        <v>1692</v>
      </c>
    </row>
    <row r="732" spans="1:12">
      <c r="A732" s="1" t="s">
        <v>1585</v>
      </c>
      <c r="B732" s="1" t="s">
        <v>1586</v>
      </c>
      <c r="C732" s="1" t="s">
        <v>1686</v>
      </c>
      <c r="D732" s="1" t="s">
        <v>1699</v>
      </c>
      <c r="E732" s="92" t="s">
        <v>1700</v>
      </c>
      <c r="F732" s="92" t="s">
        <v>1701</v>
      </c>
      <c r="H732" s="1" t="s">
        <v>1684</v>
      </c>
      <c r="I732" s="1" t="s">
        <v>1689</v>
      </c>
      <c r="J732" s="1" t="s">
        <v>1690</v>
      </c>
      <c r="K732" s="1" t="s">
        <v>1691</v>
      </c>
      <c r="L732" s="1" t="s">
        <v>1692</v>
      </c>
    </row>
    <row r="733" spans="1:12">
      <c r="A733" s="1" t="s">
        <v>1585</v>
      </c>
      <c r="B733" s="1" t="s">
        <v>1586</v>
      </c>
      <c r="C733" s="1" t="s">
        <v>1686</v>
      </c>
      <c r="D733" s="1" t="s">
        <v>1702</v>
      </c>
      <c r="E733" s="92" t="s">
        <v>1703</v>
      </c>
      <c r="F733" s="92" t="s">
        <v>1704</v>
      </c>
      <c r="H733" s="1" t="s">
        <v>1684</v>
      </c>
      <c r="I733" s="1" t="s">
        <v>1689</v>
      </c>
      <c r="J733" s="1" t="s">
        <v>1690</v>
      </c>
      <c r="K733" s="1" t="s">
        <v>1691</v>
      </c>
      <c r="L733" s="1" t="s">
        <v>1692</v>
      </c>
    </row>
    <row r="734" spans="1:12">
      <c r="A734" s="1" t="s">
        <v>1585</v>
      </c>
      <c r="B734" s="1" t="s">
        <v>1586</v>
      </c>
      <c r="C734" s="1" t="s">
        <v>1686</v>
      </c>
      <c r="D734" s="1" t="s">
        <v>1705</v>
      </c>
      <c r="E734" s="92" t="s">
        <v>1706</v>
      </c>
      <c r="F734" s="92" t="s">
        <v>1707</v>
      </c>
      <c r="H734" s="1" t="s">
        <v>1684</v>
      </c>
      <c r="I734" s="1" t="s">
        <v>1689</v>
      </c>
      <c r="J734" s="1" t="s">
        <v>1690</v>
      </c>
      <c r="K734" s="1" t="s">
        <v>1691</v>
      </c>
      <c r="L734" s="1" t="s">
        <v>1692</v>
      </c>
    </row>
    <row r="735" spans="1:12">
      <c r="A735" s="1" t="s">
        <v>1585</v>
      </c>
      <c r="B735" s="1" t="s">
        <v>1586</v>
      </c>
      <c r="C735" s="1" t="s">
        <v>1686</v>
      </c>
      <c r="D735" s="1" t="s">
        <v>1787</v>
      </c>
      <c r="E735" s="92" t="s">
        <v>2046</v>
      </c>
      <c r="F735" s="92" t="s">
        <v>2045</v>
      </c>
      <c r="G735" s="92" t="s">
        <v>2047</v>
      </c>
      <c r="H735" s="1" t="s">
        <v>1534</v>
      </c>
      <c r="I735" s="1" t="s">
        <v>1689</v>
      </c>
      <c r="J735" s="1" t="s">
        <v>1690</v>
      </c>
      <c r="K735" s="1" t="s">
        <v>1691</v>
      </c>
      <c r="L735" s="1" t="s">
        <v>1692</v>
      </c>
    </row>
    <row r="736" spans="1:12">
      <c r="A736" s="1" t="s">
        <v>1585</v>
      </c>
      <c r="B736" s="1" t="s">
        <v>1586</v>
      </c>
      <c r="C736" s="1" t="s">
        <v>1394</v>
      </c>
      <c r="D736" s="1" t="s">
        <v>1708</v>
      </c>
      <c r="E736" s="1" t="s">
        <v>1709</v>
      </c>
      <c r="F736" s="1" t="s">
        <v>1709</v>
      </c>
      <c r="H736" s="1" t="s">
        <v>1684</v>
      </c>
      <c r="I736" s="1" t="s">
        <v>973</v>
      </c>
      <c r="J736" s="1" t="s">
        <v>1710</v>
      </c>
      <c r="K736" s="1" t="s">
        <v>1691</v>
      </c>
      <c r="L736" s="1" t="s">
        <v>1692</v>
      </c>
    </row>
    <row r="737" spans="1:12">
      <c r="A737" s="1" t="s">
        <v>1585</v>
      </c>
      <c r="B737" s="1" t="s">
        <v>1586</v>
      </c>
      <c r="C737" s="1" t="s">
        <v>1711</v>
      </c>
      <c r="D737" s="1" t="s">
        <v>218</v>
      </c>
      <c r="E737" s="92" t="s">
        <v>2048</v>
      </c>
      <c r="F737" s="92" t="s">
        <v>2048</v>
      </c>
      <c r="G737" s="92" t="s">
        <v>1725</v>
      </c>
      <c r="H737" s="1" t="s">
        <v>1684</v>
      </c>
      <c r="I737" s="1" t="s">
        <v>1689</v>
      </c>
      <c r="J737" s="1" t="s">
        <v>1714</v>
      </c>
      <c r="K737" s="1" t="s">
        <v>1715</v>
      </c>
      <c r="L737" s="1" t="s">
        <v>1716</v>
      </c>
    </row>
    <row r="738" spans="1:12">
      <c r="A738" s="1" t="s">
        <v>1585</v>
      </c>
      <c r="B738" s="1" t="s">
        <v>1586</v>
      </c>
      <c r="C738" s="1" t="s">
        <v>1711</v>
      </c>
      <c r="D738" s="1" t="s">
        <v>1693</v>
      </c>
      <c r="E738" s="1" t="s">
        <v>1746</v>
      </c>
      <c r="F738" s="1" t="s">
        <v>1746</v>
      </c>
      <c r="H738" s="1" t="s">
        <v>1684</v>
      </c>
      <c r="I738" s="1" t="s">
        <v>1689</v>
      </c>
      <c r="J738" s="1" t="s">
        <v>1714</v>
      </c>
      <c r="K738" s="1" t="s">
        <v>1715</v>
      </c>
      <c r="L738" s="1" t="s">
        <v>1716</v>
      </c>
    </row>
    <row r="739" spans="1:12">
      <c r="A739" s="1" t="s">
        <v>1585</v>
      </c>
      <c r="B739" s="1" t="s">
        <v>1586</v>
      </c>
      <c r="C739" s="1" t="s">
        <v>1711</v>
      </c>
      <c r="D739" s="1" t="s">
        <v>1695</v>
      </c>
      <c r="E739" s="1" t="s">
        <v>1746</v>
      </c>
      <c r="F739" s="1" t="s">
        <v>1746</v>
      </c>
      <c r="H739" s="1" t="s">
        <v>1684</v>
      </c>
      <c r="I739" s="1" t="s">
        <v>1689</v>
      </c>
      <c r="J739" s="1" t="s">
        <v>1714</v>
      </c>
      <c r="K739" s="1" t="s">
        <v>1715</v>
      </c>
      <c r="L739" s="1" t="s">
        <v>1716</v>
      </c>
    </row>
    <row r="740" spans="1:12">
      <c r="A740" s="1" t="s">
        <v>1585</v>
      </c>
      <c r="B740" s="1" t="s">
        <v>1586</v>
      </c>
      <c r="C740" s="1" t="s">
        <v>1711</v>
      </c>
      <c r="D740" s="1" t="s">
        <v>1697</v>
      </c>
      <c r="E740" s="1" t="s">
        <v>1698</v>
      </c>
      <c r="F740" s="1" t="s">
        <v>1698</v>
      </c>
      <c r="H740" s="1" t="s">
        <v>1684</v>
      </c>
      <c r="I740" s="1" t="s">
        <v>1689</v>
      </c>
      <c r="J740" s="1" t="s">
        <v>1714</v>
      </c>
      <c r="K740" s="1" t="s">
        <v>1715</v>
      </c>
      <c r="L740" s="1" t="s">
        <v>1716</v>
      </c>
    </row>
    <row r="741" spans="1:12">
      <c r="A741" s="1" t="s">
        <v>1585</v>
      </c>
      <c r="B741" s="1" t="s">
        <v>1586</v>
      </c>
      <c r="C741" s="1" t="s">
        <v>1711</v>
      </c>
      <c r="D741" s="1" t="s">
        <v>1699</v>
      </c>
      <c r="E741" s="92" t="s">
        <v>1717</v>
      </c>
      <c r="F741" s="92" t="s">
        <v>1718</v>
      </c>
      <c r="H741" s="1" t="s">
        <v>1684</v>
      </c>
      <c r="I741" s="1" t="s">
        <v>1689</v>
      </c>
      <c r="J741" s="1" t="s">
        <v>1714</v>
      </c>
      <c r="K741" s="1" t="s">
        <v>1715</v>
      </c>
      <c r="L741" s="1" t="s">
        <v>1716</v>
      </c>
    </row>
    <row r="742" spans="1:12">
      <c r="A742" s="1" t="s">
        <v>1585</v>
      </c>
      <c r="B742" s="1" t="s">
        <v>1586</v>
      </c>
      <c r="C742" s="1" t="s">
        <v>1711</v>
      </c>
      <c r="D742" s="1" t="s">
        <v>1702</v>
      </c>
      <c r="E742" s="92" t="s">
        <v>1719</v>
      </c>
      <c r="F742" s="92" t="s">
        <v>1720</v>
      </c>
      <c r="H742" s="1" t="s">
        <v>1684</v>
      </c>
      <c r="I742" s="1" t="s">
        <v>1689</v>
      </c>
      <c r="J742" s="1" t="s">
        <v>1714</v>
      </c>
      <c r="K742" s="1" t="s">
        <v>1715</v>
      </c>
      <c r="L742" s="1" t="s">
        <v>1716</v>
      </c>
    </row>
    <row r="743" spans="1:12">
      <c r="A743" s="1" t="s">
        <v>1585</v>
      </c>
      <c r="B743" s="1" t="s">
        <v>1586</v>
      </c>
      <c r="C743" s="1" t="s">
        <v>1711</v>
      </c>
      <c r="D743" s="1" t="s">
        <v>1705</v>
      </c>
      <c r="E743" s="92" t="s">
        <v>1721</v>
      </c>
      <c r="F743" s="92" t="s">
        <v>1722</v>
      </c>
      <c r="H743" s="1" t="s">
        <v>1684</v>
      </c>
      <c r="I743" s="1" t="s">
        <v>1689</v>
      </c>
      <c r="J743" s="1" t="s">
        <v>1714</v>
      </c>
      <c r="K743" s="1" t="s">
        <v>1715</v>
      </c>
      <c r="L743" s="1" t="s">
        <v>1716</v>
      </c>
    </row>
    <row r="744" spans="1:12">
      <c r="A744" s="1" t="s">
        <v>1585</v>
      </c>
      <c r="B744" s="1" t="s">
        <v>1586</v>
      </c>
      <c r="C744" s="1" t="s">
        <v>1711</v>
      </c>
      <c r="D744" s="1" t="s">
        <v>1787</v>
      </c>
      <c r="E744" s="92" t="s">
        <v>2049</v>
      </c>
      <c r="F744" s="92" t="s">
        <v>2048</v>
      </c>
      <c r="G744" s="92" t="s">
        <v>2050</v>
      </c>
      <c r="H744" s="1" t="s">
        <v>1534</v>
      </c>
      <c r="I744" s="1" t="s">
        <v>1689</v>
      </c>
      <c r="J744" s="1" t="s">
        <v>1714</v>
      </c>
      <c r="K744" s="1" t="s">
        <v>1715</v>
      </c>
      <c r="L744" s="1" t="s">
        <v>1716</v>
      </c>
    </row>
    <row r="745" spans="1:12">
      <c r="A745" s="1" t="s">
        <v>1585</v>
      </c>
      <c r="B745" s="1" t="s">
        <v>1586</v>
      </c>
      <c r="C745" s="1" t="s">
        <v>1723</v>
      </c>
      <c r="D745" s="1" t="s">
        <v>218</v>
      </c>
      <c r="E745" s="92" t="s">
        <v>1822</v>
      </c>
      <c r="F745" s="92" t="s">
        <v>1822</v>
      </c>
      <c r="G745" s="92" t="s">
        <v>1822</v>
      </c>
      <c r="H745" s="1" t="s">
        <v>1684</v>
      </c>
      <c r="I745" s="1" t="s">
        <v>973</v>
      </c>
      <c r="J745" s="1" t="s">
        <v>1726</v>
      </c>
      <c r="K745" s="1" t="s">
        <v>1727</v>
      </c>
      <c r="L745" s="1" t="s">
        <v>1728</v>
      </c>
    </row>
    <row r="746" spans="1:12">
      <c r="A746" s="1" t="s">
        <v>1585</v>
      </c>
      <c r="B746" s="1" t="s">
        <v>1586</v>
      </c>
      <c r="C746" s="1" t="s">
        <v>1723</v>
      </c>
      <c r="D746" s="1" t="s">
        <v>1693</v>
      </c>
      <c r="E746" s="1" t="s">
        <v>1694</v>
      </c>
      <c r="F746" s="1" t="s">
        <v>1694</v>
      </c>
      <c r="H746" s="1" t="s">
        <v>1684</v>
      </c>
      <c r="I746" s="1" t="s">
        <v>973</v>
      </c>
      <c r="J746" s="1" t="s">
        <v>1726</v>
      </c>
      <c r="K746" s="1" t="s">
        <v>1727</v>
      </c>
      <c r="L746" s="1" t="s">
        <v>1728</v>
      </c>
    </row>
    <row r="747" spans="1:12">
      <c r="A747" s="1" t="s">
        <v>1585</v>
      </c>
      <c r="B747" s="1" t="s">
        <v>1586</v>
      </c>
      <c r="C747" s="1" t="s">
        <v>1723</v>
      </c>
      <c r="D747" s="1" t="s">
        <v>1695</v>
      </c>
      <c r="E747" s="1" t="s">
        <v>1694</v>
      </c>
      <c r="F747" s="1" t="s">
        <v>1694</v>
      </c>
      <c r="H747" s="1" t="s">
        <v>1684</v>
      </c>
      <c r="I747" s="1" t="s">
        <v>973</v>
      </c>
      <c r="J747" s="1" t="s">
        <v>1726</v>
      </c>
      <c r="K747" s="1" t="s">
        <v>1727</v>
      </c>
      <c r="L747" s="1" t="s">
        <v>1728</v>
      </c>
    </row>
    <row r="748" spans="1:12">
      <c r="A748" s="1" t="s">
        <v>1585</v>
      </c>
      <c r="B748" s="1" t="s">
        <v>1586</v>
      </c>
      <c r="C748" s="1" t="s">
        <v>1723</v>
      </c>
      <c r="D748" s="1" t="s">
        <v>1697</v>
      </c>
      <c r="E748" s="1" t="s">
        <v>1698</v>
      </c>
      <c r="F748" s="1" t="s">
        <v>1698</v>
      </c>
      <c r="H748" s="1" t="s">
        <v>1684</v>
      </c>
      <c r="I748" s="1" t="s">
        <v>973</v>
      </c>
      <c r="J748" s="1" t="s">
        <v>1726</v>
      </c>
      <c r="K748" s="1" t="s">
        <v>1727</v>
      </c>
      <c r="L748" s="1" t="s">
        <v>1728</v>
      </c>
    </row>
    <row r="749" spans="1:12">
      <c r="A749" s="1" t="s">
        <v>1585</v>
      </c>
      <c r="B749" s="1" t="s">
        <v>1586</v>
      </c>
      <c r="C749" s="1" t="s">
        <v>1729</v>
      </c>
      <c r="D749" s="1" t="s">
        <v>1708</v>
      </c>
      <c r="E749" s="1" t="s">
        <v>1730</v>
      </c>
      <c r="F749" s="1" t="s">
        <v>1730</v>
      </c>
      <c r="H749" s="1" t="s">
        <v>1684</v>
      </c>
      <c r="I749" s="1" t="s">
        <v>1731</v>
      </c>
      <c r="J749" s="1" t="s">
        <v>1732</v>
      </c>
      <c r="K749" s="1" t="s">
        <v>1733</v>
      </c>
      <c r="L749" s="1" t="s">
        <v>1734</v>
      </c>
    </row>
    <row r="750" spans="1:12">
      <c r="A750" s="1" t="s">
        <v>1588</v>
      </c>
      <c r="B750" s="1" t="s">
        <v>1586</v>
      </c>
      <c r="C750" s="1" t="s">
        <v>1680</v>
      </c>
      <c r="D750" s="1" t="s">
        <v>1681</v>
      </c>
      <c r="E750" s="92" t="s">
        <v>1772</v>
      </c>
      <c r="F750" s="92" t="s">
        <v>1773</v>
      </c>
      <c r="H750" s="1" t="s">
        <v>1684</v>
      </c>
    </row>
    <row r="751" spans="1:12">
      <c r="A751" s="1" t="s">
        <v>1588</v>
      </c>
      <c r="B751" s="1" t="s">
        <v>1586</v>
      </c>
      <c r="C751" s="1" t="s">
        <v>1680</v>
      </c>
      <c r="D751" s="1" t="s">
        <v>1685</v>
      </c>
      <c r="E751" s="1" t="s">
        <v>1526</v>
      </c>
      <c r="F751" s="1" t="s">
        <v>1526</v>
      </c>
      <c r="H751" s="1" t="s">
        <v>1684</v>
      </c>
    </row>
    <row r="752" spans="1:12">
      <c r="A752" s="1" t="s">
        <v>1588</v>
      </c>
      <c r="B752" s="1" t="s">
        <v>1586</v>
      </c>
      <c r="C752" s="1" t="s">
        <v>1686</v>
      </c>
      <c r="D752" s="1" t="s">
        <v>218</v>
      </c>
      <c r="E752" s="92" t="s">
        <v>2051</v>
      </c>
      <c r="F752" s="92" t="s">
        <v>2051</v>
      </c>
      <c r="G752" s="92" t="s">
        <v>1713</v>
      </c>
      <c r="H752" s="1" t="s">
        <v>1684</v>
      </c>
      <c r="I752" s="1" t="s">
        <v>1689</v>
      </c>
      <c r="J752" s="1" t="s">
        <v>1690</v>
      </c>
      <c r="K752" s="1" t="s">
        <v>1691</v>
      </c>
      <c r="L752" s="1" t="s">
        <v>1692</v>
      </c>
    </row>
    <row r="753" spans="1:12">
      <c r="A753" s="1" t="s">
        <v>1588</v>
      </c>
      <c r="B753" s="1" t="s">
        <v>1586</v>
      </c>
      <c r="C753" s="1" t="s">
        <v>1686</v>
      </c>
      <c r="D753" s="1" t="s">
        <v>1693</v>
      </c>
      <c r="E753" s="1" t="s">
        <v>1694</v>
      </c>
      <c r="F753" s="1" t="s">
        <v>1694</v>
      </c>
      <c r="H753" s="1" t="s">
        <v>1684</v>
      </c>
      <c r="I753" s="1" t="s">
        <v>1689</v>
      </c>
      <c r="J753" s="1" t="s">
        <v>1690</v>
      </c>
      <c r="K753" s="1" t="s">
        <v>1691</v>
      </c>
      <c r="L753" s="1" t="s">
        <v>1692</v>
      </c>
    </row>
    <row r="754" spans="1:12">
      <c r="A754" s="1" t="s">
        <v>1588</v>
      </c>
      <c r="B754" s="1" t="s">
        <v>1586</v>
      </c>
      <c r="C754" s="1" t="s">
        <v>1686</v>
      </c>
      <c r="D754" s="1" t="s">
        <v>1695</v>
      </c>
      <c r="E754" s="1" t="s">
        <v>1696</v>
      </c>
      <c r="F754" s="1" t="s">
        <v>1696</v>
      </c>
      <c r="H754" s="1" t="s">
        <v>1684</v>
      </c>
      <c r="I754" s="1" t="s">
        <v>1689</v>
      </c>
      <c r="J754" s="1" t="s">
        <v>1690</v>
      </c>
      <c r="K754" s="1" t="s">
        <v>1691</v>
      </c>
      <c r="L754" s="1" t="s">
        <v>1692</v>
      </c>
    </row>
    <row r="755" spans="1:12">
      <c r="A755" s="1" t="s">
        <v>1588</v>
      </c>
      <c r="B755" s="1" t="s">
        <v>1586</v>
      </c>
      <c r="C755" s="1" t="s">
        <v>1686</v>
      </c>
      <c r="D755" s="1" t="s">
        <v>1697</v>
      </c>
      <c r="E755" s="1" t="s">
        <v>1698</v>
      </c>
      <c r="F755" s="1" t="s">
        <v>1698</v>
      </c>
      <c r="H755" s="1" t="s">
        <v>1684</v>
      </c>
      <c r="I755" s="1" t="s">
        <v>1689</v>
      </c>
      <c r="J755" s="1" t="s">
        <v>1690</v>
      </c>
      <c r="K755" s="1" t="s">
        <v>1691</v>
      </c>
      <c r="L755" s="1" t="s">
        <v>1692</v>
      </c>
    </row>
    <row r="756" spans="1:12">
      <c r="A756" s="1" t="s">
        <v>1588</v>
      </c>
      <c r="B756" s="1" t="s">
        <v>1586</v>
      </c>
      <c r="C756" s="1" t="s">
        <v>1686</v>
      </c>
      <c r="D756" s="1" t="s">
        <v>1699</v>
      </c>
      <c r="E756" s="92" t="s">
        <v>1776</v>
      </c>
      <c r="F756" s="92" t="s">
        <v>1777</v>
      </c>
      <c r="H756" s="1" t="s">
        <v>1684</v>
      </c>
      <c r="I756" s="1" t="s">
        <v>1689</v>
      </c>
      <c r="J756" s="1" t="s">
        <v>1690</v>
      </c>
      <c r="K756" s="1" t="s">
        <v>1691</v>
      </c>
      <c r="L756" s="1" t="s">
        <v>1692</v>
      </c>
    </row>
    <row r="757" spans="1:12">
      <c r="A757" s="1" t="s">
        <v>1588</v>
      </c>
      <c r="B757" s="1" t="s">
        <v>1586</v>
      </c>
      <c r="C757" s="1" t="s">
        <v>1686</v>
      </c>
      <c r="D757" s="1" t="s">
        <v>1702</v>
      </c>
      <c r="E757" s="92" t="s">
        <v>1778</v>
      </c>
      <c r="F757" s="92" t="s">
        <v>1779</v>
      </c>
      <c r="H757" s="1" t="s">
        <v>1684</v>
      </c>
      <c r="I757" s="1" t="s">
        <v>1689</v>
      </c>
      <c r="J757" s="1" t="s">
        <v>1690</v>
      </c>
      <c r="K757" s="1" t="s">
        <v>1691</v>
      </c>
      <c r="L757" s="1" t="s">
        <v>1692</v>
      </c>
    </row>
    <row r="758" spans="1:12">
      <c r="A758" s="1" t="s">
        <v>1588</v>
      </c>
      <c r="B758" s="1" t="s">
        <v>1586</v>
      </c>
      <c r="C758" s="1" t="s">
        <v>1686</v>
      </c>
      <c r="D758" s="1" t="s">
        <v>1705</v>
      </c>
      <c r="E758" s="92" t="s">
        <v>1780</v>
      </c>
      <c r="F758" s="92" t="s">
        <v>1781</v>
      </c>
      <c r="H758" s="1" t="s">
        <v>1684</v>
      </c>
      <c r="I758" s="1" t="s">
        <v>1689</v>
      </c>
      <c r="J758" s="1" t="s">
        <v>1690</v>
      </c>
      <c r="K758" s="1" t="s">
        <v>1691</v>
      </c>
      <c r="L758" s="1" t="s">
        <v>1692</v>
      </c>
    </row>
    <row r="759" spans="1:12">
      <c r="A759" s="1" t="s">
        <v>1588</v>
      </c>
      <c r="B759" s="1" t="s">
        <v>1586</v>
      </c>
      <c r="C759" s="1" t="s">
        <v>1394</v>
      </c>
      <c r="D759" s="1" t="s">
        <v>1708</v>
      </c>
      <c r="E759" s="1" t="s">
        <v>1709</v>
      </c>
      <c r="F759" s="1" t="s">
        <v>1709</v>
      </c>
      <c r="H759" s="1" t="s">
        <v>1684</v>
      </c>
      <c r="I759" s="1" t="s">
        <v>973</v>
      </c>
      <c r="J759" s="1" t="s">
        <v>1710</v>
      </c>
      <c r="K759" s="1" t="s">
        <v>1691</v>
      </c>
      <c r="L759" s="1" t="s">
        <v>1692</v>
      </c>
    </row>
    <row r="760" spans="1:12">
      <c r="A760" s="1" t="s">
        <v>1588</v>
      </c>
      <c r="B760" s="1" t="s">
        <v>1586</v>
      </c>
      <c r="C760" s="1" t="s">
        <v>1711</v>
      </c>
      <c r="D760" s="1" t="s">
        <v>218</v>
      </c>
      <c r="E760" s="92" t="s">
        <v>2052</v>
      </c>
      <c r="F760" s="92" t="s">
        <v>2052</v>
      </c>
      <c r="G760" s="92" t="s">
        <v>1775</v>
      </c>
      <c r="H760" s="1" t="s">
        <v>1684</v>
      </c>
      <c r="I760" s="1" t="s">
        <v>1689</v>
      </c>
      <c r="J760" s="1" t="s">
        <v>1714</v>
      </c>
      <c r="K760" s="1" t="s">
        <v>1715</v>
      </c>
      <c r="L760" s="1" t="s">
        <v>1716</v>
      </c>
    </row>
    <row r="761" spans="1:12">
      <c r="A761" s="1" t="s">
        <v>1588</v>
      </c>
      <c r="B761" s="1" t="s">
        <v>1586</v>
      </c>
      <c r="C761" s="1" t="s">
        <v>1711</v>
      </c>
      <c r="D761" s="1" t="s">
        <v>1693</v>
      </c>
      <c r="E761" s="1" t="s">
        <v>1908</v>
      </c>
      <c r="F761" s="1" t="s">
        <v>1908</v>
      </c>
      <c r="H761" s="1" t="s">
        <v>1684</v>
      </c>
      <c r="I761" s="1" t="s">
        <v>1689</v>
      </c>
      <c r="J761" s="1" t="s">
        <v>1714</v>
      </c>
      <c r="K761" s="1" t="s">
        <v>1715</v>
      </c>
      <c r="L761" s="1" t="s">
        <v>1716</v>
      </c>
    </row>
    <row r="762" spans="1:12">
      <c r="A762" s="1" t="s">
        <v>1588</v>
      </c>
      <c r="B762" s="1" t="s">
        <v>1586</v>
      </c>
      <c r="C762" s="1" t="s">
        <v>1711</v>
      </c>
      <c r="D762" s="1" t="s">
        <v>1695</v>
      </c>
      <c r="E762" s="1" t="s">
        <v>1745</v>
      </c>
      <c r="F762" s="1" t="s">
        <v>1745</v>
      </c>
      <c r="H762" s="1" t="s">
        <v>1684</v>
      </c>
      <c r="I762" s="1" t="s">
        <v>1689</v>
      </c>
      <c r="J762" s="1" t="s">
        <v>1714</v>
      </c>
      <c r="K762" s="1" t="s">
        <v>1715</v>
      </c>
      <c r="L762" s="1" t="s">
        <v>1716</v>
      </c>
    </row>
    <row r="763" spans="1:12">
      <c r="A763" s="1" t="s">
        <v>1588</v>
      </c>
      <c r="B763" s="1" t="s">
        <v>1586</v>
      </c>
      <c r="C763" s="1" t="s">
        <v>1711</v>
      </c>
      <c r="D763" s="1" t="s">
        <v>1697</v>
      </c>
      <c r="E763" s="1" t="s">
        <v>1698</v>
      </c>
      <c r="F763" s="1" t="s">
        <v>1698</v>
      </c>
      <c r="H763" s="1" t="s">
        <v>1684</v>
      </c>
      <c r="I763" s="1" t="s">
        <v>1689</v>
      </c>
      <c r="J763" s="1" t="s">
        <v>1714</v>
      </c>
      <c r="K763" s="1" t="s">
        <v>1715</v>
      </c>
      <c r="L763" s="1" t="s">
        <v>1716</v>
      </c>
    </row>
    <row r="764" spans="1:12">
      <c r="A764" s="1" t="s">
        <v>1588</v>
      </c>
      <c r="B764" s="1" t="s">
        <v>1586</v>
      </c>
      <c r="C764" s="1" t="s">
        <v>1711</v>
      </c>
      <c r="D764" s="1" t="s">
        <v>1699</v>
      </c>
      <c r="E764" s="92" t="s">
        <v>1717</v>
      </c>
      <c r="F764" s="92" t="s">
        <v>1718</v>
      </c>
      <c r="H764" s="1" t="s">
        <v>1684</v>
      </c>
      <c r="I764" s="1" t="s">
        <v>1689</v>
      </c>
      <c r="J764" s="1" t="s">
        <v>1714</v>
      </c>
      <c r="K764" s="1" t="s">
        <v>1715</v>
      </c>
      <c r="L764" s="1" t="s">
        <v>1716</v>
      </c>
    </row>
    <row r="765" spans="1:12">
      <c r="A765" s="1" t="s">
        <v>1588</v>
      </c>
      <c r="B765" s="1" t="s">
        <v>1586</v>
      </c>
      <c r="C765" s="1" t="s">
        <v>1711</v>
      </c>
      <c r="D765" s="1" t="s">
        <v>1702</v>
      </c>
      <c r="E765" s="92" t="s">
        <v>2053</v>
      </c>
      <c r="F765" s="92" t="s">
        <v>2053</v>
      </c>
      <c r="H765" s="1" t="s">
        <v>1684</v>
      </c>
      <c r="I765" s="1" t="s">
        <v>1689</v>
      </c>
      <c r="J765" s="1" t="s">
        <v>1714</v>
      </c>
      <c r="K765" s="1" t="s">
        <v>1715</v>
      </c>
      <c r="L765" s="1" t="s">
        <v>1716</v>
      </c>
    </row>
    <row r="766" spans="1:12">
      <c r="A766" s="1" t="s">
        <v>1588</v>
      </c>
      <c r="B766" s="1" t="s">
        <v>1586</v>
      </c>
      <c r="C766" s="1" t="s">
        <v>1711</v>
      </c>
      <c r="D766" s="1" t="s">
        <v>1705</v>
      </c>
      <c r="E766" s="92" t="s">
        <v>2054</v>
      </c>
      <c r="F766" s="92" t="s">
        <v>1923</v>
      </c>
      <c r="H766" s="1" t="s">
        <v>1684</v>
      </c>
      <c r="I766" s="1" t="s">
        <v>1689</v>
      </c>
      <c r="J766" s="1" t="s">
        <v>1714</v>
      </c>
      <c r="K766" s="1" t="s">
        <v>1715</v>
      </c>
      <c r="L766" s="1" t="s">
        <v>1716</v>
      </c>
    </row>
    <row r="767" spans="1:12">
      <c r="A767" s="1" t="s">
        <v>1588</v>
      </c>
      <c r="B767" s="1" t="s">
        <v>1586</v>
      </c>
      <c r="C767" s="1" t="s">
        <v>1723</v>
      </c>
      <c r="D767" s="1" t="s">
        <v>218</v>
      </c>
      <c r="E767" s="92" t="s">
        <v>1985</v>
      </c>
      <c r="F767" s="92" t="s">
        <v>1985</v>
      </c>
      <c r="G767" s="92" t="s">
        <v>1822</v>
      </c>
      <c r="H767" s="1" t="s">
        <v>1684</v>
      </c>
      <c r="I767" s="1" t="s">
        <v>973</v>
      </c>
      <c r="J767" s="1" t="s">
        <v>1726</v>
      </c>
      <c r="K767" s="1" t="s">
        <v>1727</v>
      </c>
      <c r="L767" s="1" t="s">
        <v>1728</v>
      </c>
    </row>
    <row r="768" spans="1:12">
      <c r="A768" s="1" t="s">
        <v>1588</v>
      </c>
      <c r="B768" s="1" t="s">
        <v>1586</v>
      </c>
      <c r="C768" s="1" t="s">
        <v>1723</v>
      </c>
      <c r="D768" s="1" t="s">
        <v>1693</v>
      </c>
      <c r="E768" s="1" t="s">
        <v>1694</v>
      </c>
      <c r="F768" s="1" t="s">
        <v>1694</v>
      </c>
      <c r="H768" s="1" t="s">
        <v>1684</v>
      </c>
      <c r="I768" s="1" t="s">
        <v>973</v>
      </c>
      <c r="J768" s="1" t="s">
        <v>1726</v>
      </c>
      <c r="K768" s="1" t="s">
        <v>1727</v>
      </c>
      <c r="L768" s="1" t="s">
        <v>1728</v>
      </c>
    </row>
    <row r="769" spans="1:12">
      <c r="A769" s="1" t="s">
        <v>1588</v>
      </c>
      <c r="B769" s="1" t="s">
        <v>1586</v>
      </c>
      <c r="C769" s="1" t="s">
        <v>1723</v>
      </c>
      <c r="D769" s="1" t="s">
        <v>1695</v>
      </c>
      <c r="E769" s="1" t="s">
        <v>1982</v>
      </c>
      <c r="F769" s="1" t="s">
        <v>1982</v>
      </c>
      <c r="H769" s="1" t="s">
        <v>1684</v>
      </c>
      <c r="I769" s="1" t="s">
        <v>973</v>
      </c>
      <c r="J769" s="1" t="s">
        <v>1726</v>
      </c>
      <c r="K769" s="1" t="s">
        <v>1727</v>
      </c>
      <c r="L769" s="1" t="s">
        <v>1728</v>
      </c>
    </row>
    <row r="770" spans="1:12">
      <c r="A770" s="1" t="s">
        <v>1588</v>
      </c>
      <c r="B770" s="1" t="s">
        <v>1586</v>
      </c>
      <c r="C770" s="1" t="s">
        <v>1723</v>
      </c>
      <c r="D770" s="1" t="s">
        <v>1697</v>
      </c>
      <c r="E770" s="1" t="s">
        <v>1698</v>
      </c>
      <c r="F770" s="1" t="s">
        <v>1698</v>
      </c>
      <c r="H770" s="1" t="s">
        <v>1684</v>
      </c>
      <c r="I770" s="1" t="s">
        <v>973</v>
      </c>
      <c r="J770" s="1" t="s">
        <v>1726</v>
      </c>
      <c r="K770" s="1" t="s">
        <v>1727</v>
      </c>
      <c r="L770" s="1" t="s">
        <v>1728</v>
      </c>
    </row>
    <row r="771" spans="1:12">
      <c r="A771" s="1" t="s">
        <v>1588</v>
      </c>
      <c r="B771" s="1" t="s">
        <v>1586</v>
      </c>
      <c r="C771" s="1" t="s">
        <v>1729</v>
      </c>
      <c r="D771" s="1" t="s">
        <v>1708</v>
      </c>
      <c r="E771" s="1" t="s">
        <v>1730</v>
      </c>
      <c r="F771" s="1" t="s">
        <v>1730</v>
      </c>
      <c r="H771" s="1" t="s">
        <v>1684</v>
      </c>
      <c r="I771" s="1" t="s">
        <v>1731</v>
      </c>
      <c r="J771" s="1" t="s">
        <v>1732</v>
      </c>
      <c r="K771" s="1" t="s">
        <v>1733</v>
      </c>
      <c r="L771" s="1" t="s">
        <v>1734</v>
      </c>
    </row>
    <row r="772" spans="1:12">
      <c r="A772" s="1" t="s">
        <v>1590</v>
      </c>
      <c r="B772" s="1" t="s">
        <v>1586</v>
      </c>
      <c r="C772" s="1" t="s">
        <v>1680</v>
      </c>
      <c r="D772" s="1" t="s">
        <v>1681</v>
      </c>
      <c r="E772" s="92" t="s">
        <v>1772</v>
      </c>
      <c r="F772" s="92" t="s">
        <v>1773</v>
      </c>
      <c r="H772" s="1" t="s">
        <v>1684</v>
      </c>
    </row>
    <row r="773" spans="1:12">
      <c r="A773" s="1" t="s">
        <v>1590</v>
      </c>
      <c r="B773" s="1" t="s">
        <v>1586</v>
      </c>
      <c r="C773" s="1" t="s">
        <v>1680</v>
      </c>
      <c r="D773" s="1" t="s">
        <v>1685</v>
      </c>
      <c r="E773" s="1" t="s">
        <v>1526</v>
      </c>
      <c r="F773" s="1" t="s">
        <v>1526</v>
      </c>
      <c r="H773" s="1" t="s">
        <v>1684</v>
      </c>
    </row>
    <row r="774" spans="1:12">
      <c r="A774" s="1" t="s">
        <v>1590</v>
      </c>
      <c r="B774" s="1" t="s">
        <v>1586</v>
      </c>
      <c r="C774" s="1" t="s">
        <v>1686</v>
      </c>
      <c r="D774" s="1" t="s">
        <v>218</v>
      </c>
      <c r="E774" s="92" t="s">
        <v>2051</v>
      </c>
      <c r="F774" s="92" t="s">
        <v>2051</v>
      </c>
      <c r="G774" s="92" t="s">
        <v>1713</v>
      </c>
      <c r="H774" s="1" t="s">
        <v>1684</v>
      </c>
      <c r="I774" s="1" t="s">
        <v>1689</v>
      </c>
      <c r="J774" s="1" t="s">
        <v>1690</v>
      </c>
      <c r="K774" s="1" t="s">
        <v>1691</v>
      </c>
      <c r="L774" s="1" t="s">
        <v>1692</v>
      </c>
    </row>
    <row r="775" spans="1:12">
      <c r="A775" s="1" t="s">
        <v>1590</v>
      </c>
      <c r="B775" s="1" t="s">
        <v>1586</v>
      </c>
      <c r="C775" s="1" t="s">
        <v>1686</v>
      </c>
      <c r="D775" s="1" t="s">
        <v>1693</v>
      </c>
      <c r="E775" s="1" t="s">
        <v>1694</v>
      </c>
      <c r="F775" s="1" t="s">
        <v>1694</v>
      </c>
      <c r="H775" s="1" t="s">
        <v>1684</v>
      </c>
      <c r="I775" s="1" t="s">
        <v>1689</v>
      </c>
      <c r="J775" s="1" t="s">
        <v>1690</v>
      </c>
      <c r="K775" s="1" t="s">
        <v>1691</v>
      </c>
      <c r="L775" s="1" t="s">
        <v>1692</v>
      </c>
    </row>
    <row r="776" spans="1:12">
      <c r="A776" s="1" t="s">
        <v>1590</v>
      </c>
      <c r="B776" s="1" t="s">
        <v>1586</v>
      </c>
      <c r="C776" s="1" t="s">
        <v>1686</v>
      </c>
      <c r="D776" s="1" t="s">
        <v>1695</v>
      </c>
      <c r="E776" s="1" t="s">
        <v>1696</v>
      </c>
      <c r="F776" s="1" t="s">
        <v>1696</v>
      </c>
      <c r="H776" s="1" t="s">
        <v>1684</v>
      </c>
      <c r="I776" s="1" t="s">
        <v>1689</v>
      </c>
      <c r="J776" s="1" t="s">
        <v>1690</v>
      </c>
      <c r="K776" s="1" t="s">
        <v>1691</v>
      </c>
      <c r="L776" s="1" t="s">
        <v>1692</v>
      </c>
    </row>
    <row r="777" spans="1:12">
      <c r="A777" s="1" t="s">
        <v>1590</v>
      </c>
      <c r="B777" s="1" t="s">
        <v>1586</v>
      </c>
      <c r="C777" s="1" t="s">
        <v>1686</v>
      </c>
      <c r="D777" s="1" t="s">
        <v>1697</v>
      </c>
      <c r="E777" s="1" t="s">
        <v>1698</v>
      </c>
      <c r="F777" s="1" t="s">
        <v>1698</v>
      </c>
      <c r="H777" s="1" t="s">
        <v>1684</v>
      </c>
      <c r="I777" s="1" t="s">
        <v>1689</v>
      </c>
      <c r="J777" s="1" t="s">
        <v>1690</v>
      </c>
      <c r="K777" s="1" t="s">
        <v>1691</v>
      </c>
      <c r="L777" s="1" t="s">
        <v>1692</v>
      </c>
    </row>
    <row r="778" spans="1:12">
      <c r="A778" s="1" t="s">
        <v>1590</v>
      </c>
      <c r="B778" s="1" t="s">
        <v>1586</v>
      </c>
      <c r="C778" s="1" t="s">
        <v>1686</v>
      </c>
      <c r="D778" s="1" t="s">
        <v>1699</v>
      </c>
      <c r="E778" s="92" t="s">
        <v>1776</v>
      </c>
      <c r="F778" s="92" t="s">
        <v>1777</v>
      </c>
      <c r="H778" s="1" t="s">
        <v>1684</v>
      </c>
      <c r="I778" s="1" t="s">
        <v>1689</v>
      </c>
      <c r="J778" s="1" t="s">
        <v>1690</v>
      </c>
      <c r="K778" s="1" t="s">
        <v>1691</v>
      </c>
      <c r="L778" s="1" t="s">
        <v>1692</v>
      </c>
    </row>
    <row r="779" spans="1:12">
      <c r="A779" s="1" t="s">
        <v>1590</v>
      </c>
      <c r="B779" s="1" t="s">
        <v>1586</v>
      </c>
      <c r="C779" s="1" t="s">
        <v>1686</v>
      </c>
      <c r="D779" s="1" t="s">
        <v>1702</v>
      </c>
      <c r="E779" s="92" t="s">
        <v>1778</v>
      </c>
      <c r="F779" s="92" t="s">
        <v>1779</v>
      </c>
      <c r="H779" s="1" t="s">
        <v>1684</v>
      </c>
      <c r="I779" s="1" t="s">
        <v>1689</v>
      </c>
      <c r="J779" s="1" t="s">
        <v>1690</v>
      </c>
      <c r="K779" s="1" t="s">
        <v>1691</v>
      </c>
      <c r="L779" s="1" t="s">
        <v>1692</v>
      </c>
    </row>
    <row r="780" spans="1:12">
      <c r="A780" s="1" t="s">
        <v>1590</v>
      </c>
      <c r="B780" s="1" t="s">
        <v>1586</v>
      </c>
      <c r="C780" s="1" t="s">
        <v>1686</v>
      </c>
      <c r="D780" s="1" t="s">
        <v>1705</v>
      </c>
      <c r="E780" s="92" t="s">
        <v>1780</v>
      </c>
      <c r="F780" s="92" t="s">
        <v>1781</v>
      </c>
      <c r="H780" s="1" t="s">
        <v>1684</v>
      </c>
      <c r="I780" s="1" t="s">
        <v>1689</v>
      </c>
      <c r="J780" s="1" t="s">
        <v>1690</v>
      </c>
      <c r="K780" s="1" t="s">
        <v>1691</v>
      </c>
      <c r="L780" s="1" t="s">
        <v>1692</v>
      </c>
    </row>
    <row r="781" spans="1:12">
      <c r="A781" s="1" t="s">
        <v>1590</v>
      </c>
      <c r="B781" s="1" t="s">
        <v>1586</v>
      </c>
      <c r="C781" s="1" t="s">
        <v>1394</v>
      </c>
      <c r="D781" s="1" t="s">
        <v>1708</v>
      </c>
      <c r="E781" s="1" t="s">
        <v>1709</v>
      </c>
      <c r="F781" s="1" t="s">
        <v>1709</v>
      </c>
      <c r="H781" s="1" t="s">
        <v>1684</v>
      </c>
      <c r="I781" s="1" t="s">
        <v>973</v>
      </c>
      <c r="J781" s="1" t="s">
        <v>1710</v>
      </c>
      <c r="K781" s="1" t="s">
        <v>1691</v>
      </c>
      <c r="L781" s="1" t="s">
        <v>1692</v>
      </c>
    </row>
    <row r="782" spans="1:12">
      <c r="A782" s="1" t="s">
        <v>1590</v>
      </c>
      <c r="B782" s="1" t="s">
        <v>1586</v>
      </c>
      <c r="C782" s="1" t="s">
        <v>1711</v>
      </c>
      <c r="D782" s="1" t="s">
        <v>218</v>
      </c>
      <c r="E782" s="92" t="s">
        <v>2055</v>
      </c>
      <c r="F782" s="92" t="s">
        <v>2055</v>
      </c>
      <c r="G782" s="92" t="s">
        <v>1738</v>
      </c>
      <c r="H782" s="1" t="s">
        <v>1684</v>
      </c>
      <c r="I782" s="1" t="s">
        <v>1689</v>
      </c>
      <c r="J782" s="1" t="s">
        <v>1714</v>
      </c>
      <c r="K782" s="1" t="s">
        <v>1715</v>
      </c>
      <c r="L782" s="1" t="s">
        <v>1716</v>
      </c>
    </row>
    <row r="783" spans="1:12">
      <c r="A783" s="1" t="s">
        <v>1590</v>
      </c>
      <c r="B783" s="1" t="s">
        <v>1586</v>
      </c>
      <c r="C783" s="1" t="s">
        <v>1711</v>
      </c>
      <c r="D783" s="1" t="s">
        <v>1693</v>
      </c>
      <c r="E783" s="1" t="s">
        <v>1746</v>
      </c>
      <c r="F783" s="1" t="s">
        <v>1746</v>
      </c>
      <c r="H783" s="1" t="s">
        <v>1684</v>
      </c>
      <c r="I783" s="1" t="s">
        <v>1689</v>
      </c>
      <c r="J783" s="1" t="s">
        <v>1714</v>
      </c>
      <c r="K783" s="1" t="s">
        <v>1715</v>
      </c>
      <c r="L783" s="1" t="s">
        <v>1716</v>
      </c>
    </row>
    <row r="784" spans="1:12">
      <c r="A784" s="1" t="s">
        <v>1590</v>
      </c>
      <c r="B784" s="1" t="s">
        <v>1586</v>
      </c>
      <c r="C784" s="1" t="s">
        <v>1711</v>
      </c>
      <c r="D784" s="1" t="s">
        <v>1695</v>
      </c>
      <c r="E784" s="1" t="s">
        <v>1746</v>
      </c>
      <c r="F784" s="1" t="s">
        <v>1746</v>
      </c>
      <c r="H784" s="1" t="s">
        <v>1684</v>
      </c>
      <c r="I784" s="1" t="s">
        <v>1689</v>
      </c>
      <c r="J784" s="1" t="s">
        <v>1714</v>
      </c>
      <c r="K784" s="1" t="s">
        <v>1715</v>
      </c>
      <c r="L784" s="1" t="s">
        <v>1716</v>
      </c>
    </row>
    <row r="785" spans="1:12">
      <c r="A785" s="1" t="s">
        <v>1590</v>
      </c>
      <c r="B785" s="1" t="s">
        <v>1586</v>
      </c>
      <c r="C785" s="1" t="s">
        <v>1711</v>
      </c>
      <c r="D785" s="1" t="s">
        <v>1697</v>
      </c>
      <c r="E785" s="1" t="s">
        <v>1698</v>
      </c>
      <c r="F785" s="1" t="s">
        <v>1698</v>
      </c>
      <c r="H785" s="1" t="s">
        <v>1684</v>
      </c>
      <c r="I785" s="1" t="s">
        <v>1689</v>
      </c>
      <c r="J785" s="1" t="s">
        <v>1714</v>
      </c>
      <c r="K785" s="1" t="s">
        <v>1715</v>
      </c>
      <c r="L785" s="1" t="s">
        <v>1716</v>
      </c>
    </row>
    <row r="786" spans="1:12">
      <c r="A786" s="1" t="s">
        <v>1590</v>
      </c>
      <c r="B786" s="1" t="s">
        <v>1586</v>
      </c>
      <c r="C786" s="1" t="s">
        <v>1711</v>
      </c>
      <c r="D786" s="1" t="s">
        <v>1699</v>
      </c>
      <c r="E786" s="92" t="s">
        <v>1717</v>
      </c>
      <c r="F786" s="92" t="s">
        <v>1718</v>
      </c>
      <c r="H786" s="1" t="s">
        <v>1684</v>
      </c>
      <c r="I786" s="1" t="s">
        <v>1689</v>
      </c>
      <c r="J786" s="1" t="s">
        <v>1714</v>
      </c>
      <c r="K786" s="1" t="s">
        <v>1715</v>
      </c>
      <c r="L786" s="1" t="s">
        <v>1716</v>
      </c>
    </row>
    <row r="787" spans="1:12">
      <c r="A787" s="1" t="s">
        <v>1590</v>
      </c>
      <c r="B787" s="1" t="s">
        <v>1586</v>
      </c>
      <c r="C787" s="1" t="s">
        <v>1711</v>
      </c>
      <c r="D787" s="1" t="s">
        <v>1702</v>
      </c>
      <c r="E787" s="92" t="s">
        <v>2056</v>
      </c>
      <c r="F787" s="92" t="s">
        <v>2057</v>
      </c>
      <c r="H787" s="1" t="s">
        <v>1684</v>
      </c>
      <c r="I787" s="1" t="s">
        <v>1689</v>
      </c>
      <c r="J787" s="1" t="s">
        <v>1714</v>
      </c>
      <c r="K787" s="1" t="s">
        <v>1715</v>
      </c>
      <c r="L787" s="1" t="s">
        <v>1716</v>
      </c>
    </row>
    <row r="788" spans="1:12">
      <c r="A788" s="1" t="s">
        <v>1590</v>
      </c>
      <c r="B788" s="1" t="s">
        <v>1586</v>
      </c>
      <c r="C788" s="1" t="s">
        <v>1711</v>
      </c>
      <c r="D788" s="1" t="s">
        <v>1705</v>
      </c>
      <c r="E788" s="92" t="s">
        <v>2058</v>
      </c>
      <c r="F788" s="92" t="s">
        <v>1770</v>
      </c>
      <c r="H788" s="1" t="s">
        <v>1684</v>
      </c>
      <c r="I788" s="1" t="s">
        <v>1689</v>
      </c>
      <c r="J788" s="1" t="s">
        <v>1714</v>
      </c>
      <c r="K788" s="1" t="s">
        <v>1715</v>
      </c>
      <c r="L788" s="1" t="s">
        <v>1716</v>
      </c>
    </row>
    <row r="789" spans="1:12">
      <c r="A789" s="1" t="s">
        <v>1590</v>
      </c>
      <c r="B789" s="1" t="s">
        <v>1586</v>
      </c>
      <c r="C789" s="1" t="s">
        <v>1711</v>
      </c>
      <c r="D789" s="1" t="s">
        <v>1787</v>
      </c>
      <c r="E789" s="92" t="s">
        <v>2059</v>
      </c>
      <c r="F789" s="92" t="s">
        <v>2055</v>
      </c>
      <c r="G789" s="92" t="s">
        <v>2060</v>
      </c>
      <c r="H789" s="1" t="s">
        <v>1534</v>
      </c>
      <c r="I789" s="1" t="s">
        <v>1689</v>
      </c>
      <c r="J789" s="1" t="s">
        <v>1714</v>
      </c>
      <c r="K789" s="1" t="s">
        <v>1715</v>
      </c>
      <c r="L789" s="1" t="s">
        <v>1716</v>
      </c>
    </row>
    <row r="790" spans="1:12">
      <c r="A790" s="1" t="s">
        <v>1590</v>
      </c>
      <c r="B790" s="1" t="s">
        <v>1586</v>
      </c>
      <c r="C790" s="1" t="s">
        <v>1723</v>
      </c>
      <c r="D790" s="1" t="s">
        <v>218</v>
      </c>
      <c r="E790" s="92" t="s">
        <v>2061</v>
      </c>
      <c r="F790" s="92" t="s">
        <v>2061</v>
      </c>
      <c r="G790" s="92" t="s">
        <v>1822</v>
      </c>
      <c r="H790" s="1" t="s">
        <v>1684</v>
      </c>
      <c r="I790" s="1" t="s">
        <v>973</v>
      </c>
      <c r="J790" s="1" t="s">
        <v>1726</v>
      </c>
      <c r="K790" s="1" t="s">
        <v>1727</v>
      </c>
      <c r="L790" s="1" t="s">
        <v>1728</v>
      </c>
    </row>
    <row r="791" spans="1:12">
      <c r="A791" s="1" t="s">
        <v>1590</v>
      </c>
      <c r="B791" s="1" t="s">
        <v>1586</v>
      </c>
      <c r="C791" s="1" t="s">
        <v>1723</v>
      </c>
      <c r="D791" s="1" t="s">
        <v>1693</v>
      </c>
      <c r="E791" s="1" t="s">
        <v>1694</v>
      </c>
      <c r="F791" s="1" t="s">
        <v>1694</v>
      </c>
      <c r="H791" s="1" t="s">
        <v>1684</v>
      </c>
      <c r="I791" s="1" t="s">
        <v>973</v>
      </c>
      <c r="J791" s="1" t="s">
        <v>1726</v>
      </c>
      <c r="K791" s="1" t="s">
        <v>1727</v>
      </c>
      <c r="L791" s="1" t="s">
        <v>1728</v>
      </c>
    </row>
    <row r="792" spans="1:12">
      <c r="A792" s="1" t="s">
        <v>1590</v>
      </c>
      <c r="B792" s="1" t="s">
        <v>1586</v>
      </c>
      <c r="C792" s="1" t="s">
        <v>1723</v>
      </c>
      <c r="D792" s="1" t="s">
        <v>1695</v>
      </c>
      <c r="E792" s="1" t="s">
        <v>1993</v>
      </c>
      <c r="F792" s="1" t="s">
        <v>1993</v>
      </c>
      <c r="H792" s="1" t="s">
        <v>1684</v>
      </c>
      <c r="I792" s="1" t="s">
        <v>973</v>
      </c>
      <c r="J792" s="1" t="s">
        <v>1726</v>
      </c>
      <c r="K792" s="1" t="s">
        <v>1727</v>
      </c>
      <c r="L792" s="1" t="s">
        <v>1728</v>
      </c>
    </row>
    <row r="793" spans="1:12">
      <c r="A793" s="1" t="s">
        <v>1590</v>
      </c>
      <c r="B793" s="1" t="s">
        <v>1586</v>
      </c>
      <c r="C793" s="1" t="s">
        <v>1723</v>
      </c>
      <c r="D793" s="1" t="s">
        <v>1697</v>
      </c>
      <c r="E793" s="1" t="s">
        <v>1698</v>
      </c>
      <c r="F793" s="1" t="s">
        <v>1698</v>
      </c>
      <c r="H793" s="1" t="s">
        <v>1684</v>
      </c>
      <c r="I793" s="1" t="s">
        <v>973</v>
      </c>
      <c r="J793" s="1" t="s">
        <v>1726</v>
      </c>
      <c r="K793" s="1" t="s">
        <v>1727</v>
      </c>
      <c r="L793" s="1" t="s">
        <v>1728</v>
      </c>
    </row>
    <row r="794" spans="1:12">
      <c r="A794" s="1" t="s">
        <v>1590</v>
      </c>
      <c r="B794" s="1" t="s">
        <v>1586</v>
      </c>
      <c r="C794" s="1" t="s">
        <v>1729</v>
      </c>
      <c r="D794" s="1" t="s">
        <v>1708</v>
      </c>
      <c r="E794" s="1" t="s">
        <v>1730</v>
      </c>
      <c r="F794" s="1" t="s">
        <v>1730</v>
      </c>
      <c r="H794" s="1" t="s">
        <v>1684</v>
      </c>
      <c r="I794" s="1" t="s">
        <v>1731</v>
      </c>
      <c r="J794" s="1" t="s">
        <v>1732</v>
      </c>
      <c r="K794" s="1" t="s">
        <v>1733</v>
      </c>
      <c r="L794" s="1" t="s">
        <v>1734</v>
      </c>
    </row>
    <row r="795" spans="1:12">
      <c r="A795" s="1" t="s">
        <v>1592</v>
      </c>
      <c r="B795" s="1" t="s">
        <v>1586</v>
      </c>
      <c r="C795" s="1" t="s">
        <v>1680</v>
      </c>
      <c r="D795" s="1" t="s">
        <v>1681</v>
      </c>
      <c r="E795" s="92" t="s">
        <v>1983</v>
      </c>
      <c r="F795" s="92" t="s">
        <v>1984</v>
      </c>
      <c r="H795" s="1" t="s">
        <v>1684</v>
      </c>
    </row>
    <row r="796" spans="1:12">
      <c r="A796" s="1" t="s">
        <v>1592</v>
      </c>
      <c r="B796" s="1" t="s">
        <v>1586</v>
      </c>
      <c r="C796" s="1" t="s">
        <v>1680</v>
      </c>
      <c r="D796" s="1" t="s">
        <v>1685</v>
      </c>
      <c r="E796" s="1" t="s">
        <v>1526</v>
      </c>
      <c r="F796" s="1" t="s">
        <v>1526</v>
      </c>
      <c r="H796" s="1" t="s">
        <v>1684</v>
      </c>
    </row>
    <row r="797" spans="1:12">
      <c r="A797" s="1" t="s">
        <v>1592</v>
      </c>
      <c r="B797" s="1" t="s">
        <v>1586</v>
      </c>
      <c r="C797" s="1" t="s">
        <v>1686</v>
      </c>
      <c r="D797" s="1" t="s">
        <v>1708</v>
      </c>
      <c r="E797" s="1" t="s">
        <v>1709</v>
      </c>
      <c r="F797" s="1" t="s">
        <v>1709</v>
      </c>
      <c r="H797" s="1" t="s">
        <v>1684</v>
      </c>
      <c r="I797" s="1" t="s">
        <v>1689</v>
      </c>
      <c r="J797" s="1" t="s">
        <v>1690</v>
      </c>
      <c r="K797" s="1" t="s">
        <v>1691</v>
      </c>
      <c r="L797" s="1" t="s">
        <v>1692</v>
      </c>
    </row>
    <row r="798" spans="1:12">
      <c r="A798" s="1" t="s">
        <v>1592</v>
      </c>
      <c r="B798" s="1" t="s">
        <v>1586</v>
      </c>
      <c r="C798" s="1" t="s">
        <v>1394</v>
      </c>
      <c r="D798" s="1" t="s">
        <v>218</v>
      </c>
      <c r="E798" s="92" t="s">
        <v>1822</v>
      </c>
      <c r="F798" s="92" t="s">
        <v>1822</v>
      </c>
      <c r="G798" s="92" t="s">
        <v>1775</v>
      </c>
      <c r="H798" s="1" t="s">
        <v>1684</v>
      </c>
      <c r="I798" s="1" t="s">
        <v>973</v>
      </c>
      <c r="J798" s="1" t="s">
        <v>1710</v>
      </c>
      <c r="K798" s="1" t="s">
        <v>1691</v>
      </c>
      <c r="L798" s="1" t="s">
        <v>1692</v>
      </c>
    </row>
    <row r="799" spans="1:12">
      <c r="A799" s="1" t="s">
        <v>1592</v>
      </c>
      <c r="B799" s="1" t="s">
        <v>1586</v>
      </c>
      <c r="C799" s="1" t="s">
        <v>1394</v>
      </c>
      <c r="D799" s="1" t="s">
        <v>1693</v>
      </c>
      <c r="E799" s="1" t="s">
        <v>1694</v>
      </c>
      <c r="F799" s="1" t="s">
        <v>1694</v>
      </c>
      <c r="H799" s="1" t="s">
        <v>1684</v>
      </c>
      <c r="I799" s="1" t="s">
        <v>973</v>
      </c>
      <c r="J799" s="1" t="s">
        <v>1710</v>
      </c>
      <c r="K799" s="1" t="s">
        <v>1691</v>
      </c>
      <c r="L799" s="1" t="s">
        <v>1692</v>
      </c>
    </row>
    <row r="800" spans="1:12">
      <c r="A800" s="1" t="s">
        <v>1592</v>
      </c>
      <c r="B800" s="1" t="s">
        <v>1586</v>
      </c>
      <c r="C800" s="1" t="s">
        <v>1394</v>
      </c>
      <c r="D800" s="1" t="s">
        <v>1695</v>
      </c>
      <c r="E800" s="1" t="s">
        <v>1694</v>
      </c>
      <c r="F800" s="1" t="s">
        <v>1694</v>
      </c>
      <c r="H800" s="1" t="s">
        <v>1684</v>
      </c>
      <c r="I800" s="1" t="s">
        <v>973</v>
      </c>
      <c r="J800" s="1" t="s">
        <v>1710</v>
      </c>
      <c r="K800" s="1" t="s">
        <v>1691</v>
      </c>
      <c r="L800" s="1" t="s">
        <v>1692</v>
      </c>
    </row>
    <row r="801" spans="1:12">
      <c r="A801" s="1" t="s">
        <v>1592</v>
      </c>
      <c r="B801" s="1" t="s">
        <v>1586</v>
      </c>
      <c r="C801" s="1" t="s">
        <v>1394</v>
      </c>
      <c r="D801" s="1" t="s">
        <v>1697</v>
      </c>
      <c r="E801" s="1" t="s">
        <v>1698</v>
      </c>
      <c r="F801" s="1" t="s">
        <v>1698</v>
      </c>
      <c r="H801" s="1" t="s">
        <v>1684</v>
      </c>
      <c r="I801" s="1" t="s">
        <v>973</v>
      </c>
      <c r="J801" s="1" t="s">
        <v>1710</v>
      </c>
      <c r="K801" s="1" t="s">
        <v>1691</v>
      </c>
      <c r="L801" s="1" t="s">
        <v>1692</v>
      </c>
    </row>
    <row r="802" spans="1:12">
      <c r="A802" s="1" t="s">
        <v>1592</v>
      </c>
      <c r="B802" s="1" t="s">
        <v>1586</v>
      </c>
      <c r="C802" s="1" t="s">
        <v>1394</v>
      </c>
      <c r="D802" s="1" t="s">
        <v>1699</v>
      </c>
      <c r="E802" s="92" t="s">
        <v>1986</v>
      </c>
      <c r="F802" s="92" t="s">
        <v>1987</v>
      </c>
      <c r="H802" s="1" t="s">
        <v>1684</v>
      </c>
      <c r="I802" s="1" t="s">
        <v>973</v>
      </c>
      <c r="J802" s="1" t="s">
        <v>1710</v>
      </c>
      <c r="K802" s="1" t="s">
        <v>1691</v>
      </c>
      <c r="L802" s="1" t="s">
        <v>1692</v>
      </c>
    </row>
    <row r="803" spans="1:12">
      <c r="A803" s="1" t="s">
        <v>1592</v>
      </c>
      <c r="B803" s="1" t="s">
        <v>1586</v>
      </c>
      <c r="C803" s="1" t="s">
        <v>1394</v>
      </c>
      <c r="D803" s="1" t="s">
        <v>1702</v>
      </c>
      <c r="E803" s="92" t="s">
        <v>1988</v>
      </c>
      <c r="F803" s="92" t="s">
        <v>1989</v>
      </c>
      <c r="H803" s="1" t="s">
        <v>1684</v>
      </c>
      <c r="I803" s="1" t="s">
        <v>973</v>
      </c>
      <c r="J803" s="1" t="s">
        <v>1710</v>
      </c>
      <c r="K803" s="1" t="s">
        <v>1691</v>
      </c>
      <c r="L803" s="1" t="s">
        <v>1692</v>
      </c>
    </row>
    <row r="804" spans="1:12">
      <c r="A804" s="1" t="s">
        <v>1592</v>
      </c>
      <c r="B804" s="1" t="s">
        <v>1586</v>
      </c>
      <c r="C804" s="1" t="s">
        <v>1394</v>
      </c>
      <c r="D804" s="1" t="s">
        <v>1705</v>
      </c>
      <c r="E804" s="92" t="s">
        <v>1990</v>
      </c>
      <c r="F804" s="92" t="s">
        <v>1991</v>
      </c>
      <c r="H804" s="1" t="s">
        <v>1684</v>
      </c>
      <c r="I804" s="1" t="s">
        <v>973</v>
      </c>
      <c r="J804" s="1" t="s">
        <v>1710</v>
      </c>
      <c r="K804" s="1" t="s">
        <v>1691</v>
      </c>
      <c r="L804" s="1" t="s">
        <v>1692</v>
      </c>
    </row>
    <row r="805" spans="1:12">
      <c r="A805" s="1" t="s">
        <v>1592</v>
      </c>
      <c r="B805" s="1" t="s">
        <v>1586</v>
      </c>
      <c r="C805" s="1" t="s">
        <v>1711</v>
      </c>
      <c r="D805" s="1" t="s">
        <v>1708</v>
      </c>
      <c r="E805" s="1" t="s">
        <v>1709</v>
      </c>
      <c r="F805" s="1" t="s">
        <v>1709</v>
      </c>
      <c r="H805" s="1" t="s">
        <v>1684</v>
      </c>
      <c r="I805" s="1" t="s">
        <v>1689</v>
      </c>
      <c r="J805" s="1" t="s">
        <v>1714</v>
      </c>
      <c r="K805" s="1" t="s">
        <v>1715</v>
      </c>
      <c r="L805" s="1" t="s">
        <v>1716</v>
      </c>
    </row>
    <row r="806" spans="1:12">
      <c r="A806" s="1" t="s">
        <v>1592</v>
      </c>
      <c r="B806" s="1" t="s">
        <v>1586</v>
      </c>
      <c r="C806" s="1" t="s">
        <v>1723</v>
      </c>
      <c r="D806" s="1" t="s">
        <v>218</v>
      </c>
      <c r="E806" s="92" t="s">
        <v>1822</v>
      </c>
      <c r="F806" s="92" t="s">
        <v>1822</v>
      </c>
      <c r="G806" s="92" t="s">
        <v>1822</v>
      </c>
      <c r="H806" s="1" t="s">
        <v>1684</v>
      </c>
      <c r="I806" s="1" t="s">
        <v>973</v>
      </c>
      <c r="J806" s="1" t="s">
        <v>1726</v>
      </c>
      <c r="K806" s="1" t="s">
        <v>1727</v>
      </c>
      <c r="L806" s="1" t="s">
        <v>1728</v>
      </c>
    </row>
    <row r="807" spans="1:12">
      <c r="A807" s="1" t="s">
        <v>1592</v>
      </c>
      <c r="B807" s="1" t="s">
        <v>1586</v>
      </c>
      <c r="C807" s="1" t="s">
        <v>1723</v>
      </c>
      <c r="D807" s="1" t="s">
        <v>1693</v>
      </c>
      <c r="E807" s="1" t="s">
        <v>1694</v>
      </c>
      <c r="F807" s="1" t="s">
        <v>1694</v>
      </c>
      <c r="H807" s="1" t="s">
        <v>1684</v>
      </c>
      <c r="I807" s="1" t="s">
        <v>973</v>
      </c>
      <c r="J807" s="1" t="s">
        <v>1726</v>
      </c>
      <c r="K807" s="1" t="s">
        <v>1727</v>
      </c>
      <c r="L807" s="1" t="s">
        <v>1728</v>
      </c>
    </row>
    <row r="808" spans="1:12">
      <c r="A808" s="1" t="s">
        <v>1592</v>
      </c>
      <c r="B808" s="1" t="s">
        <v>1586</v>
      </c>
      <c r="C808" s="1" t="s">
        <v>1723</v>
      </c>
      <c r="D808" s="1" t="s">
        <v>1695</v>
      </c>
      <c r="E808" s="1" t="s">
        <v>1694</v>
      </c>
      <c r="F808" s="1" t="s">
        <v>1694</v>
      </c>
      <c r="H808" s="1" t="s">
        <v>1684</v>
      </c>
      <c r="I808" s="1" t="s">
        <v>973</v>
      </c>
      <c r="J808" s="1" t="s">
        <v>1726</v>
      </c>
      <c r="K808" s="1" t="s">
        <v>1727</v>
      </c>
      <c r="L808" s="1" t="s">
        <v>1728</v>
      </c>
    </row>
    <row r="809" spans="1:12">
      <c r="A809" s="1" t="s">
        <v>1592</v>
      </c>
      <c r="B809" s="1" t="s">
        <v>1586</v>
      </c>
      <c r="C809" s="1" t="s">
        <v>1723</v>
      </c>
      <c r="D809" s="1" t="s">
        <v>1697</v>
      </c>
      <c r="E809" s="1" t="s">
        <v>1698</v>
      </c>
      <c r="F809" s="1" t="s">
        <v>1698</v>
      </c>
      <c r="H809" s="1" t="s">
        <v>1684</v>
      </c>
      <c r="I809" s="1" t="s">
        <v>973</v>
      </c>
      <c r="J809" s="1" t="s">
        <v>1726</v>
      </c>
      <c r="K809" s="1" t="s">
        <v>1727</v>
      </c>
      <c r="L809" s="1" t="s">
        <v>1728</v>
      </c>
    </row>
    <row r="810" spans="1:12">
      <c r="A810" s="1" t="s">
        <v>1592</v>
      </c>
      <c r="B810" s="1" t="s">
        <v>1586</v>
      </c>
      <c r="C810" s="1" t="s">
        <v>1729</v>
      </c>
      <c r="D810" s="1" t="s">
        <v>1708</v>
      </c>
      <c r="E810" s="1" t="s">
        <v>1730</v>
      </c>
      <c r="F810" s="1" t="s">
        <v>1709</v>
      </c>
      <c r="H810" s="1" t="s">
        <v>1684</v>
      </c>
      <c r="I810" s="1" t="s">
        <v>1731</v>
      </c>
      <c r="J810" s="1" t="s">
        <v>1732</v>
      </c>
      <c r="K810" s="1" t="s">
        <v>1733</v>
      </c>
      <c r="L810" s="1" t="s">
        <v>1734</v>
      </c>
    </row>
    <row r="811" spans="1:12">
      <c r="A811" s="1" t="s">
        <v>1593</v>
      </c>
      <c r="B811" s="1" t="s">
        <v>1586</v>
      </c>
      <c r="C811" s="1" t="s">
        <v>1680</v>
      </c>
      <c r="D811" s="1" t="s">
        <v>1681</v>
      </c>
      <c r="E811" s="92" t="s">
        <v>2005</v>
      </c>
      <c r="F811" s="92" t="s">
        <v>2006</v>
      </c>
      <c r="H811" s="1" t="s">
        <v>1684</v>
      </c>
    </row>
    <row r="812" spans="1:12">
      <c r="A812" s="1" t="s">
        <v>1593</v>
      </c>
      <c r="B812" s="1" t="s">
        <v>1586</v>
      </c>
      <c r="C812" s="1" t="s">
        <v>1680</v>
      </c>
      <c r="D812" s="1" t="s">
        <v>1685</v>
      </c>
      <c r="E812" s="1" t="s">
        <v>1526</v>
      </c>
      <c r="F812" s="1" t="s">
        <v>1526</v>
      </c>
      <c r="H812" s="1" t="s">
        <v>1684</v>
      </c>
    </row>
    <row r="813" spans="1:12">
      <c r="A813" s="1" t="s">
        <v>1593</v>
      </c>
      <c r="B813" s="1" t="s">
        <v>1586</v>
      </c>
      <c r="C813" s="1" t="s">
        <v>1686</v>
      </c>
      <c r="D813" s="1" t="s">
        <v>1708</v>
      </c>
      <c r="E813" s="1" t="s">
        <v>1709</v>
      </c>
      <c r="F813" s="1" t="s">
        <v>1709</v>
      </c>
      <c r="H813" s="1" t="s">
        <v>1684</v>
      </c>
      <c r="I813" s="1" t="s">
        <v>1689</v>
      </c>
      <c r="J813" s="1" t="s">
        <v>1690</v>
      </c>
      <c r="K813" s="1" t="s">
        <v>1691</v>
      </c>
      <c r="L813" s="1" t="s">
        <v>1692</v>
      </c>
    </row>
    <row r="814" spans="1:12">
      <c r="A814" s="1" t="s">
        <v>1593</v>
      </c>
      <c r="B814" s="1" t="s">
        <v>1586</v>
      </c>
      <c r="C814" s="1" t="s">
        <v>1394</v>
      </c>
      <c r="D814" s="1" t="s">
        <v>218</v>
      </c>
      <c r="E814" s="92" t="s">
        <v>2062</v>
      </c>
      <c r="F814" s="92" t="s">
        <v>2062</v>
      </c>
      <c r="G814" s="92" t="s">
        <v>1831</v>
      </c>
      <c r="H814" s="1" t="s">
        <v>1684</v>
      </c>
      <c r="I814" s="1" t="s">
        <v>973</v>
      </c>
      <c r="J814" s="1" t="s">
        <v>1710</v>
      </c>
      <c r="K814" s="1" t="s">
        <v>1691</v>
      </c>
      <c r="L814" s="1" t="s">
        <v>1692</v>
      </c>
    </row>
    <row r="815" spans="1:12">
      <c r="A815" s="1" t="s">
        <v>1593</v>
      </c>
      <c r="B815" s="1" t="s">
        <v>1586</v>
      </c>
      <c r="C815" s="1" t="s">
        <v>1394</v>
      </c>
      <c r="D815" s="1" t="s">
        <v>1693</v>
      </c>
      <c r="E815" s="1" t="s">
        <v>1694</v>
      </c>
      <c r="F815" s="1" t="s">
        <v>1694</v>
      </c>
      <c r="H815" s="1" t="s">
        <v>1684</v>
      </c>
      <c r="I815" s="1" t="s">
        <v>973</v>
      </c>
      <c r="J815" s="1" t="s">
        <v>1710</v>
      </c>
      <c r="K815" s="1" t="s">
        <v>1691</v>
      </c>
      <c r="L815" s="1" t="s">
        <v>1692</v>
      </c>
    </row>
    <row r="816" spans="1:12">
      <c r="A816" s="1" t="s">
        <v>1593</v>
      </c>
      <c r="B816" s="1" t="s">
        <v>1586</v>
      </c>
      <c r="C816" s="1" t="s">
        <v>1394</v>
      </c>
      <c r="D816" s="1" t="s">
        <v>1695</v>
      </c>
      <c r="E816" s="1" t="s">
        <v>1694</v>
      </c>
      <c r="F816" s="1" t="s">
        <v>1694</v>
      </c>
      <c r="H816" s="1" t="s">
        <v>1684</v>
      </c>
      <c r="I816" s="1" t="s">
        <v>973</v>
      </c>
      <c r="J816" s="1" t="s">
        <v>1710</v>
      </c>
      <c r="K816" s="1" t="s">
        <v>1691</v>
      </c>
      <c r="L816" s="1" t="s">
        <v>1692</v>
      </c>
    </row>
    <row r="817" spans="1:12">
      <c r="A817" s="1" t="s">
        <v>1593</v>
      </c>
      <c r="B817" s="1" t="s">
        <v>1586</v>
      </c>
      <c r="C817" s="1" t="s">
        <v>1394</v>
      </c>
      <c r="D817" s="1" t="s">
        <v>1697</v>
      </c>
      <c r="E817" s="1" t="s">
        <v>1698</v>
      </c>
      <c r="F817" s="1" t="s">
        <v>1698</v>
      </c>
      <c r="H817" s="1" t="s">
        <v>1684</v>
      </c>
      <c r="I817" s="1" t="s">
        <v>973</v>
      </c>
      <c r="J817" s="1" t="s">
        <v>1710</v>
      </c>
      <c r="K817" s="1" t="s">
        <v>1691</v>
      </c>
      <c r="L817" s="1" t="s">
        <v>1692</v>
      </c>
    </row>
    <row r="818" spans="1:12">
      <c r="A818" s="1" t="s">
        <v>1593</v>
      </c>
      <c r="B818" s="1" t="s">
        <v>1586</v>
      </c>
      <c r="C818" s="1" t="s">
        <v>1394</v>
      </c>
      <c r="D818" s="1" t="s">
        <v>1699</v>
      </c>
      <c r="E818" s="92" t="s">
        <v>2007</v>
      </c>
      <c r="F818" s="92" t="s">
        <v>2008</v>
      </c>
      <c r="H818" s="1" t="s">
        <v>1684</v>
      </c>
      <c r="I818" s="1" t="s">
        <v>973</v>
      </c>
      <c r="J818" s="1" t="s">
        <v>1710</v>
      </c>
      <c r="K818" s="1" t="s">
        <v>1691</v>
      </c>
      <c r="L818" s="1" t="s">
        <v>1692</v>
      </c>
    </row>
    <row r="819" spans="1:12">
      <c r="A819" s="1" t="s">
        <v>1593</v>
      </c>
      <c r="B819" s="1" t="s">
        <v>1586</v>
      </c>
      <c r="C819" s="1" t="s">
        <v>1394</v>
      </c>
      <c r="D819" s="1" t="s">
        <v>1702</v>
      </c>
      <c r="E819" s="92" t="s">
        <v>2009</v>
      </c>
      <c r="F819" s="92" t="s">
        <v>2010</v>
      </c>
      <c r="H819" s="1" t="s">
        <v>1684</v>
      </c>
      <c r="I819" s="1" t="s">
        <v>973</v>
      </c>
      <c r="J819" s="1" t="s">
        <v>1710</v>
      </c>
      <c r="K819" s="1" t="s">
        <v>1691</v>
      </c>
      <c r="L819" s="1" t="s">
        <v>1692</v>
      </c>
    </row>
    <row r="820" spans="1:12">
      <c r="A820" s="1" t="s">
        <v>1593</v>
      </c>
      <c r="B820" s="1" t="s">
        <v>1586</v>
      </c>
      <c r="C820" s="1" t="s">
        <v>1394</v>
      </c>
      <c r="D820" s="1" t="s">
        <v>1705</v>
      </c>
      <c r="E820" s="92" t="s">
        <v>2011</v>
      </c>
      <c r="F820" s="92" t="s">
        <v>1883</v>
      </c>
      <c r="H820" s="1" t="s">
        <v>1684</v>
      </c>
      <c r="I820" s="1" t="s">
        <v>973</v>
      </c>
      <c r="J820" s="1" t="s">
        <v>1710</v>
      </c>
      <c r="K820" s="1" t="s">
        <v>1691</v>
      </c>
      <c r="L820" s="1" t="s">
        <v>1692</v>
      </c>
    </row>
    <row r="821" spans="1:12">
      <c r="A821" s="1" t="s">
        <v>1593</v>
      </c>
      <c r="B821" s="1" t="s">
        <v>1586</v>
      </c>
      <c r="C821" s="1" t="s">
        <v>1711</v>
      </c>
      <c r="D821" s="1" t="s">
        <v>1708</v>
      </c>
      <c r="E821" s="1" t="s">
        <v>1709</v>
      </c>
      <c r="F821" s="1" t="s">
        <v>1709</v>
      </c>
      <c r="H821" s="1" t="s">
        <v>1684</v>
      </c>
      <c r="I821" s="1" t="s">
        <v>1689</v>
      </c>
      <c r="J821" s="1" t="s">
        <v>1714</v>
      </c>
      <c r="K821" s="1" t="s">
        <v>1715</v>
      </c>
      <c r="L821" s="1" t="s">
        <v>1716</v>
      </c>
    </row>
    <row r="822" spans="1:12">
      <c r="A822" s="1" t="s">
        <v>1593</v>
      </c>
      <c r="B822" s="1" t="s">
        <v>1586</v>
      </c>
      <c r="C822" s="1" t="s">
        <v>1723</v>
      </c>
      <c r="D822" s="1" t="s">
        <v>218</v>
      </c>
      <c r="E822" s="92" t="s">
        <v>1822</v>
      </c>
      <c r="F822" s="92" t="s">
        <v>1822</v>
      </c>
      <c r="G822" s="92" t="s">
        <v>1822</v>
      </c>
      <c r="H822" s="1" t="s">
        <v>1684</v>
      </c>
      <c r="I822" s="1" t="s">
        <v>973</v>
      </c>
      <c r="J822" s="1" t="s">
        <v>1726</v>
      </c>
      <c r="K822" s="1" t="s">
        <v>1727</v>
      </c>
      <c r="L822" s="1" t="s">
        <v>1728</v>
      </c>
    </row>
    <row r="823" spans="1:12">
      <c r="A823" s="1" t="s">
        <v>1593</v>
      </c>
      <c r="B823" s="1" t="s">
        <v>1586</v>
      </c>
      <c r="C823" s="1" t="s">
        <v>1723</v>
      </c>
      <c r="D823" s="1" t="s">
        <v>1693</v>
      </c>
      <c r="E823" s="1" t="s">
        <v>1694</v>
      </c>
      <c r="F823" s="1" t="s">
        <v>1694</v>
      </c>
      <c r="H823" s="1" t="s">
        <v>1684</v>
      </c>
      <c r="I823" s="1" t="s">
        <v>973</v>
      </c>
      <c r="J823" s="1" t="s">
        <v>1726</v>
      </c>
      <c r="K823" s="1" t="s">
        <v>1727</v>
      </c>
      <c r="L823" s="1" t="s">
        <v>1728</v>
      </c>
    </row>
    <row r="824" spans="1:12">
      <c r="A824" s="1" t="s">
        <v>1593</v>
      </c>
      <c r="B824" s="1" t="s">
        <v>1586</v>
      </c>
      <c r="C824" s="1" t="s">
        <v>1723</v>
      </c>
      <c r="D824" s="1" t="s">
        <v>1695</v>
      </c>
      <c r="E824" s="1" t="s">
        <v>1694</v>
      </c>
      <c r="F824" s="1" t="s">
        <v>1694</v>
      </c>
      <c r="H824" s="1" t="s">
        <v>1684</v>
      </c>
      <c r="I824" s="1" t="s">
        <v>973</v>
      </c>
      <c r="J824" s="1" t="s">
        <v>1726</v>
      </c>
      <c r="K824" s="1" t="s">
        <v>1727</v>
      </c>
      <c r="L824" s="1" t="s">
        <v>1728</v>
      </c>
    </row>
    <row r="825" spans="1:12">
      <c r="A825" s="1" t="s">
        <v>1593</v>
      </c>
      <c r="B825" s="1" t="s">
        <v>1586</v>
      </c>
      <c r="C825" s="1" t="s">
        <v>1723</v>
      </c>
      <c r="D825" s="1" t="s">
        <v>1697</v>
      </c>
      <c r="E825" s="1" t="s">
        <v>1698</v>
      </c>
      <c r="F825" s="1" t="s">
        <v>1698</v>
      </c>
      <c r="H825" s="1" t="s">
        <v>1684</v>
      </c>
      <c r="I825" s="1" t="s">
        <v>973</v>
      </c>
      <c r="J825" s="1" t="s">
        <v>1726</v>
      </c>
      <c r="K825" s="1" t="s">
        <v>1727</v>
      </c>
      <c r="L825" s="1" t="s">
        <v>1728</v>
      </c>
    </row>
    <row r="826" spans="1:12">
      <c r="A826" s="1" t="s">
        <v>1593</v>
      </c>
      <c r="B826" s="1" t="s">
        <v>1586</v>
      </c>
      <c r="C826" s="1" t="s">
        <v>1729</v>
      </c>
      <c r="D826" s="1" t="s">
        <v>1708</v>
      </c>
      <c r="E826" s="1" t="s">
        <v>1730</v>
      </c>
      <c r="F826" s="1" t="s">
        <v>1709</v>
      </c>
      <c r="H826" s="1" t="s">
        <v>1684</v>
      </c>
      <c r="I826" s="1" t="s">
        <v>1731</v>
      </c>
      <c r="J826" s="1" t="s">
        <v>1732</v>
      </c>
      <c r="K826" s="1" t="s">
        <v>1733</v>
      </c>
      <c r="L826" s="1" t="s">
        <v>1734</v>
      </c>
    </row>
    <row r="827" spans="1:12">
      <c r="A827" s="1" t="s">
        <v>1594</v>
      </c>
      <c r="B827" s="1" t="s">
        <v>1586</v>
      </c>
      <c r="C827" s="1" t="s">
        <v>1680</v>
      </c>
      <c r="D827" s="1" t="s">
        <v>1681</v>
      </c>
      <c r="E827" s="92" t="s">
        <v>1682</v>
      </c>
      <c r="F827" s="92" t="s">
        <v>1683</v>
      </c>
      <c r="H827" s="1" t="s">
        <v>1684</v>
      </c>
    </row>
    <row r="828" spans="1:12">
      <c r="A828" s="1" t="s">
        <v>1594</v>
      </c>
      <c r="B828" s="1" t="s">
        <v>1586</v>
      </c>
      <c r="C828" s="1" t="s">
        <v>1680</v>
      </c>
      <c r="D828" s="1" t="s">
        <v>1685</v>
      </c>
      <c r="E828" s="1" t="s">
        <v>1526</v>
      </c>
      <c r="F828" s="1" t="s">
        <v>1526</v>
      </c>
      <c r="H828" s="1" t="s">
        <v>1684</v>
      </c>
    </row>
    <row r="829" spans="1:12">
      <c r="A829" s="1" t="s">
        <v>1594</v>
      </c>
      <c r="B829" s="1" t="s">
        <v>1586</v>
      </c>
      <c r="C829" s="1" t="s">
        <v>1686</v>
      </c>
      <c r="D829" s="1" t="s">
        <v>218</v>
      </c>
      <c r="E829" s="92" t="s">
        <v>2063</v>
      </c>
      <c r="F829" s="92" t="s">
        <v>2063</v>
      </c>
      <c r="G829" s="92" t="s">
        <v>1713</v>
      </c>
      <c r="H829" s="1" t="s">
        <v>1684</v>
      </c>
      <c r="I829" s="1" t="s">
        <v>1689</v>
      </c>
      <c r="J829" s="1" t="s">
        <v>1690</v>
      </c>
      <c r="K829" s="1" t="s">
        <v>1691</v>
      </c>
      <c r="L829" s="1" t="s">
        <v>1692</v>
      </c>
    </row>
    <row r="830" spans="1:12">
      <c r="A830" s="1" t="s">
        <v>1594</v>
      </c>
      <c r="B830" s="1" t="s">
        <v>1586</v>
      </c>
      <c r="C830" s="1" t="s">
        <v>1686</v>
      </c>
      <c r="D830" s="1" t="s">
        <v>1693</v>
      </c>
      <c r="E830" s="1" t="s">
        <v>1694</v>
      </c>
      <c r="F830" s="1" t="s">
        <v>1694</v>
      </c>
      <c r="H830" s="1" t="s">
        <v>1684</v>
      </c>
      <c r="I830" s="1" t="s">
        <v>1689</v>
      </c>
      <c r="J830" s="1" t="s">
        <v>1690</v>
      </c>
      <c r="K830" s="1" t="s">
        <v>1691</v>
      </c>
      <c r="L830" s="1" t="s">
        <v>1692</v>
      </c>
    </row>
    <row r="831" spans="1:12">
      <c r="A831" s="1" t="s">
        <v>1594</v>
      </c>
      <c r="B831" s="1" t="s">
        <v>1586</v>
      </c>
      <c r="C831" s="1" t="s">
        <v>1686</v>
      </c>
      <c r="D831" s="1" t="s">
        <v>1695</v>
      </c>
      <c r="E831" s="1" t="s">
        <v>1696</v>
      </c>
      <c r="F831" s="1" t="s">
        <v>1696</v>
      </c>
      <c r="H831" s="1" t="s">
        <v>1684</v>
      </c>
      <c r="I831" s="1" t="s">
        <v>1689</v>
      </c>
      <c r="J831" s="1" t="s">
        <v>1690</v>
      </c>
      <c r="K831" s="1" t="s">
        <v>1691</v>
      </c>
      <c r="L831" s="1" t="s">
        <v>1692</v>
      </c>
    </row>
    <row r="832" spans="1:12">
      <c r="A832" s="1" t="s">
        <v>1594</v>
      </c>
      <c r="B832" s="1" t="s">
        <v>1586</v>
      </c>
      <c r="C832" s="1" t="s">
        <v>1686</v>
      </c>
      <c r="D832" s="1" t="s">
        <v>1697</v>
      </c>
      <c r="E832" s="1" t="s">
        <v>1698</v>
      </c>
      <c r="F832" s="1" t="s">
        <v>1698</v>
      </c>
      <c r="H832" s="1" t="s">
        <v>1684</v>
      </c>
      <c r="I832" s="1" t="s">
        <v>1689</v>
      </c>
      <c r="J832" s="1" t="s">
        <v>1690</v>
      </c>
      <c r="K832" s="1" t="s">
        <v>1691</v>
      </c>
      <c r="L832" s="1" t="s">
        <v>1692</v>
      </c>
    </row>
    <row r="833" spans="1:12">
      <c r="A833" s="1" t="s">
        <v>1594</v>
      </c>
      <c r="B833" s="1" t="s">
        <v>1586</v>
      </c>
      <c r="C833" s="1" t="s">
        <v>1686</v>
      </c>
      <c r="D833" s="1" t="s">
        <v>1699</v>
      </c>
      <c r="E833" s="92" t="s">
        <v>1824</v>
      </c>
      <c r="F833" s="92" t="s">
        <v>1825</v>
      </c>
      <c r="H833" s="1" t="s">
        <v>1684</v>
      </c>
      <c r="I833" s="1" t="s">
        <v>1689</v>
      </c>
      <c r="J833" s="1" t="s">
        <v>1690</v>
      </c>
      <c r="K833" s="1" t="s">
        <v>1691</v>
      </c>
      <c r="L833" s="1" t="s">
        <v>1692</v>
      </c>
    </row>
    <row r="834" spans="1:12">
      <c r="A834" s="1" t="s">
        <v>1594</v>
      </c>
      <c r="B834" s="1" t="s">
        <v>1586</v>
      </c>
      <c r="C834" s="1" t="s">
        <v>1686</v>
      </c>
      <c r="D834" s="1" t="s">
        <v>1702</v>
      </c>
      <c r="E834" s="92" t="s">
        <v>1826</v>
      </c>
      <c r="F834" s="92" t="s">
        <v>1827</v>
      </c>
      <c r="H834" s="1" t="s">
        <v>1684</v>
      </c>
      <c r="I834" s="1" t="s">
        <v>1689</v>
      </c>
      <c r="J834" s="1" t="s">
        <v>1690</v>
      </c>
      <c r="K834" s="1" t="s">
        <v>1691</v>
      </c>
      <c r="L834" s="1" t="s">
        <v>1692</v>
      </c>
    </row>
    <row r="835" spans="1:12">
      <c r="A835" s="1" t="s">
        <v>1594</v>
      </c>
      <c r="B835" s="1" t="s">
        <v>1586</v>
      </c>
      <c r="C835" s="1" t="s">
        <v>1686</v>
      </c>
      <c r="D835" s="1" t="s">
        <v>1705</v>
      </c>
      <c r="E835" s="92" t="s">
        <v>1828</v>
      </c>
      <c r="F835" s="92" t="s">
        <v>1829</v>
      </c>
      <c r="H835" s="1" t="s">
        <v>1684</v>
      </c>
      <c r="I835" s="1" t="s">
        <v>1689</v>
      </c>
      <c r="J835" s="1" t="s">
        <v>1690</v>
      </c>
      <c r="K835" s="1" t="s">
        <v>1691</v>
      </c>
      <c r="L835" s="1" t="s">
        <v>1692</v>
      </c>
    </row>
    <row r="836" spans="1:12">
      <c r="A836" s="1" t="s">
        <v>1594</v>
      </c>
      <c r="B836" s="1" t="s">
        <v>1586</v>
      </c>
      <c r="C836" s="1" t="s">
        <v>1686</v>
      </c>
      <c r="D836" s="1" t="s">
        <v>1787</v>
      </c>
      <c r="E836" s="92" t="s">
        <v>2064</v>
      </c>
      <c r="F836" s="92" t="s">
        <v>2063</v>
      </c>
      <c r="G836" s="92" t="s">
        <v>2065</v>
      </c>
      <c r="H836" s="1" t="s">
        <v>1534</v>
      </c>
      <c r="I836" s="1" t="s">
        <v>1689</v>
      </c>
      <c r="J836" s="1" t="s">
        <v>1690</v>
      </c>
      <c r="K836" s="1" t="s">
        <v>1691</v>
      </c>
      <c r="L836" s="1" t="s">
        <v>1692</v>
      </c>
    </row>
    <row r="837" spans="1:12">
      <c r="A837" s="1" t="s">
        <v>1594</v>
      </c>
      <c r="B837" s="1" t="s">
        <v>1586</v>
      </c>
      <c r="C837" s="1" t="s">
        <v>1394</v>
      </c>
      <c r="D837" s="1" t="s">
        <v>1708</v>
      </c>
      <c r="E837" s="1" t="s">
        <v>1709</v>
      </c>
      <c r="F837" s="1" t="s">
        <v>1709</v>
      </c>
      <c r="H837" s="1" t="s">
        <v>1684</v>
      </c>
      <c r="I837" s="1" t="s">
        <v>973</v>
      </c>
      <c r="J837" s="1" t="s">
        <v>1710</v>
      </c>
      <c r="K837" s="1" t="s">
        <v>1691</v>
      </c>
      <c r="L837" s="1" t="s">
        <v>1692</v>
      </c>
    </row>
    <row r="838" spans="1:12">
      <c r="A838" s="1" t="s">
        <v>1594</v>
      </c>
      <c r="B838" s="1" t="s">
        <v>1586</v>
      </c>
      <c r="C838" s="1" t="s">
        <v>1711</v>
      </c>
      <c r="D838" s="1" t="s">
        <v>218</v>
      </c>
      <c r="E838" s="92" t="s">
        <v>2066</v>
      </c>
      <c r="F838" s="92" t="s">
        <v>2066</v>
      </c>
      <c r="G838" s="92" t="s">
        <v>1791</v>
      </c>
      <c r="H838" s="1" t="s">
        <v>1684</v>
      </c>
      <c r="I838" s="1" t="s">
        <v>1689</v>
      </c>
      <c r="J838" s="1" t="s">
        <v>1714</v>
      </c>
      <c r="K838" s="1" t="s">
        <v>1715</v>
      </c>
      <c r="L838" s="1" t="s">
        <v>1716</v>
      </c>
    </row>
    <row r="839" spans="1:12">
      <c r="A839" s="1" t="s">
        <v>1594</v>
      </c>
      <c r="B839" s="1" t="s">
        <v>1586</v>
      </c>
      <c r="C839" s="1" t="s">
        <v>1711</v>
      </c>
      <c r="D839" s="1" t="s">
        <v>1693</v>
      </c>
      <c r="E839" s="1" t="s">
        <v>1746</v>
      </c>
      <c r="F839" s="1" t="s">
        <v>1746</v>
      </c>
      <c r="H839" s="1" t="s">
        <v>1684</v>
      </c>
      <c r="I839" s="1" t="s">
        <v>1689</v>
      </c>
      <c r="J839" s="1" t="s">
        <v>1714</v>
      </c>
      <c r="K839" s="1" t="s">
        <v>1715</v>
      </c>
      <c r="L839" s="1" t="s">
        <v>1716</v>
      </c>
    </row>
    <row r="840" spans="1:12">
      <c r="A840" s="1" t="s">
        <v>1594</v>
      </c>
      <c r="B840" s="1" t="s">
        <v>1586</v>
      </c>
      <c r="C840" s="1" t="s">
        <v>1711</v>
      </c>
      <c r="D840" s="1" t="s">
        <v>1695</v>
      </c>
      <c r="E840" s="1" t="s">
        <v>1746</v>
      </c>
      <c r="F840" s="1" t="s">
        <v>1746</v>
      </c>
      <c r="H840" s="1" t="s">
        <v>1684</v>
      </c>
      <c r="I840" s="1" t="s">
        <v>1689</v>
      </c>
      <c r="J840" s="1" t="s">
        <v>1714</v>
      </c>
      <c r="K840" s="1" t="s">
        <v>1715</v>
      </c>
      <c r="L840" s="1" t="s">
        <v>1716</v>
      </c>
    </row>
    <row r="841" spans="1:12">
      <c r="A841" s="1" t="s">
        <v>1594</v>
      </c>
      <c r="B841" s="1" t="s">
        <v>1586</v>
      </c>
      <c r="C841" s="1" t="s">
        <v>1711</v>
      </c>
      <c r="D841" s="1" t="s">
        <v>1697</v>
      </c>
      <c r="E841" s="1" t="s">
        <v>1698</v>
      </c>
      <c r="F841" s="1" t="s">
        <v>1698</v>
      </c>
      <c r="H841" s="1" t="s">
        <v>1684</v>
      </c>
      <c r="I841" s="1" t="s">
        <v>1689</v>
      </c>
      <c r="J841" s="1" t="s">
        <v>1714</v>
      </c>
      <c r="K841" s="1" t="s">
        <v>1715</v>
      </c>
      <c r="L841" s="1" t="s">
        <v>1716</v>
      </c>
    </row>
    <row r="842" spans="1:12">
      <c r="A842" s="1" t="s">
        <v>1594</v>
      </c>
      <c r="B842" s="1" t="s">
        <v>1586</v>
      </c>
      <c r="C842" s="1" t="s">
        <v>1711</v>
      </c>
      <c r="D842" s="1" t="s">
        <v>1699</v>
      </c>
      <c r="E842" s="92" t="s">
        <v>1832</v>
      </c>
      <c r="F842" s="92" t="s">
        <v>1833</v>
      </c>
      <c r="H842" s="1" t="s">
        <v>1684</v>
      </c>
      <c r="I842" s="1" t="s">
        <v>1689</v>
      </c>
      <c r="J842" s="1" t="s">
        <v>1714</v>
      </c>
      <c r="K842" s="1" t="s">
        <v>1715</v>
      </c>
      <c r="L842" s="1" t="s">
        <v>1716</v>
      </c>
    </row>
    <row r="843" spans="1:12">
      <c r="A843" s="1" t="s">
        <v>1594</v>
      </c>
      <c r="B843" s="1" t="s">
        <v>1586</v>
      </c>
      <c r="C843" s="1" t="s">
        <v>1711</v>
      </c>
      <c r="D843" s="1" t="s">
        <v>1702</v>
      </c>
      <c r="E843" s="92" t="s">
        <v>1834</v>
      </c>
      <c r="F843" s="92" t="s">
        <v>1834</v>
      </c>
      <c r="H843" s="1" t="s">
        <v>1684</v>
      </c>
      <c r="I843" s="1" t="s">
        <v>1689</v>
      </c>
      <c r="J843" s="1" t="s">
        <v>1714</v>
      </c>
      <c r="K843" s="1" t="s">
        <v>1715</v>
      </c>
      <c r="L843" s="1" t="s">
        <v>1716</v>
      </c>
    </row>
    <row r="844" spans="1:12">
      <c r="A844" s="1" t="s">
        <v>1594</v>
      </c>
      <c r="B844" s="1" t="s">
        <v>1586</v>
      </c>
      <c r="C844" s="1" t="s">
        <v>1711</v>
      </c>
      <c r="D844" s="1" t="s">
        <v>1705</v>
      </c>
      <c r="E844" s="92" t="s">
        <v>1835</v>
      </c>
      <c r="F844" s="92" t="s">
        <v>1836</v>
      </c>
      <c r="H844" s="1" t="s">
        <v>1684</v>
      </c>
      <c r="I844" s="1" t="s">
        <v>1689</v>
      </c>
      <c r="J844" s="1" t="s">
        <v>1714</v>
      </c>
      <c r="K844" s="1" t="s">
        <v>1715</v>
      </c>
      <c r="L844" s="1" t="s">
        <v>1716</v>
      </c>
    </row>
    <row r="845" spans="1:12">
      <c r="A845" s="1" t="s">
        <v>1594</v>
      </c>
      <c r="B845" s="1" t="s">
        <v>1586</v>
      </c>
      <c r="C845" s="1" t="s">
        <v>1711</v>
      </c>
      <c r="D845" s="1" t="s">
        <v>1787</v>
      </c>
      <c r="E845" s="92" t="s">
        <v>2067</v>
      </c>
      <c r="F845" s="92" t="s">
        <v>2066</v>
      </c>
      <c r="G845" s="92" t="s">
        <v>2068</v>
      </c>
      <c r="H845" s="1" t="s">
        <v>1534</v>
      </c>
      <c r="I845" s="1" t="s">
        <v>1689</v>
      </c>
      <c r="J845" s="1" t="s">
        <v>1714</v>
      </c>
      <c r="K845" s="1" t="s">
        <v>1715</v>
      </c>
      <c r="L845" s="1" t="s">
        <v>1716</v>
      </c>
    </row>
    <row r="846" spans="1:12">
      <c r="A846" s="1" t="s">
        <v>1594</v>
      </c>
      <c r="B846" s="1" t="s">
        <v>1586</v>
      </c>
      <c r="C846" s="1" t="s">
        <v>1723</v>
      </c>
      <c r="D846" s="1" t="s">
        <v>218</v>
      </c>
      <c r="E846" s="92" t="s">
        <v>1822</v>
      </c>
      <c r="F846" s="92" t="s">
        <v>1822</v>
      </c>
      <c r="G846" s="92" t="s">
        <v>1822</v>
      </c>
      <c r="H846" s="1" t="s">
        <v>1684</v>
      </c>
      <c r="I846" s="1" t="s">
        <v>973</v>
      </c>
      <c r="J846" s="1" t="s">
        <v>1726</v>
      </c>
      <c r="K846" s="1" t="s">
        <v>1727</v>
      </c>
      <c r="L846" s="1" t="s">
        <v>1728</v>
      </c>
    </row>
    <row r="847" spans="1:12">
      <c r="A847" s="1" t="s">
        <v>1594</v>
      </c>
      <c r="B847" s="1" t="s">
        <v>1586</v>
      </c>
      <c r="C847" s="1" t="s">
        <v>1723</v>
      </c>
      <c r="D847" s="1" t="s">
        <v>1693</v>
      </c>
      <c r="E847" s="1" t="s">
        <v>1694</v>
      </c>
      <c r="F847" s="1" t="s">
        <v>1694</v>
      </c>
      <c r="H847" s="1" t="s">
        <v>1684</v>
      </c>
      <c r="I847" s="1" t="s">
        <v>973</v>
      </c>
      <c r="J847" s="1" t="s">
        <v>1726</v>
      </c>
      <c r="K847" s="1" t="s">
        <v>1727</v>
      </c>
      <c r="L847" s="1" t="s">
        <v>1728</v>
      </c>
    </row>
    <row r="848" spans="1:12">
      <c r="A848" s="1" t="s">
        <v>1594</v>
      </c>
      <c r="B848" s="1" t="s">
        <v>1586</v>
      </c>
      <c r="C848" s="1" t="s">
        <v>1723</v>
      </c>
      <c r="D848" s="1" t="s">
        <v>1695</v>
      </c>
      <c r="E848" s="1" t="s">
        <v>1694</v>
      </c>
      <c r="F848" s="1" t="s">
        <v>1694</v>
      </c>
      <c r="H848" s="1" t="s">
        <v>1684</v>
      </c>
      <c r="I848" s="1" t="s">
        <v>973</v>
      </c>
      <c r="J848" s="1" t="s">
        <v>1726</v>
      </c>
      <c r="K848" s="1" t="s">
        <v>1727</v>
      </c>
      <c r="L848" s="1" t="s">
        <v>1728</v>
      </c>
    </row>
    <row r="849" spans="1:12">
      <c r="A849" s="1" t="s">
        <v>1594</v>
      </c>
      <c r="B849" s="1" t="s">
        <v>1586</v>
      </c>
      <c r="C849" s="1" t="s">
        <v>1723</v>
      </c>
      <c r="D849" s="1" t="s">
        <v>1697</v>
      </c>
      <c r="E849" s="1" t="s">
        <v>1698</v>
      </c>
      <c r="F849" s="1" t="s">
        <v>1698</v>
      </c>
      <c r="H849" s="1" t="s">
        <v>1684</v>
      </c>
      <c r="I849" s="1" t="s">
        <v>973</v>
      </c>
      <c r="J849" s="1" t="s">
        <v>1726</v>
      </c>
      <c r="K849" s="1" t="s">
        <v>1727</v>
      </c>
      <c r="L849" s="1" t="s">
        <v>1728</v>
      </c>
    </row>
    <row r="850" spans="1:12">
      <c r="A850" s="1" t="s">
        <v>1594</v>
      </c>
      <c r="B850" s="1" t="s">
        <v>1586</v>
      </c>
      <c r="C850" s="1" t="s">
        <v>1729</v>
      </c>
      <c r="D850" s="1" t="s">
        <v>1708</v>
      </c>
      <c r="E850" s="1" t="s">
        <v>1730</v>
      </c>
      <c r="F850" s="1" t="s">
        <v>1730</v>
      </c>
      <c r="H850" s="1" t="s">
        <v>1684</v>
      </c>
      <c r="I850" s="1" t="s">
        <v>1731</v>
      </c>
      <c r="J850" s="1" t="s">
        <v>1732</v>
      </c>
      <c r="K850" s="1" t="s">
        <v>1733</v>
      </c>
      <c r="L850" s="1" t="s">
        <v>1734</v>
      </c>
    </row>
    <row r="851" spans="1:12">
      <c r="A851" s="1" t="s">
        <v>1596</v>
      </c>
      <c r="B851" s="1" t="s">
        <v>1586</v>
      </c>
      <c r="C851" s="1" t="s">
        <v>1680</v>
      </c>
      <c r="D851" s="1" t="s">
        <v>1681</v>
      </c>
      <c r="E851" s="92" t="s">
        <v>1772</v>
      </c>
      <c r="F851" s="92" t="s">
        <v>1773</v>
      </c>
      <c r="H851" s="1" t="s">
        <v>1684</v>
      </c>
    </row>
    <row r="852" spans="1:12">
      <c r="A852" s="1" t="s">
        <v>1596</v>
      </c>
      <c r="B852" s="1" t="s">
        <v>1586</v>
      </c>
      <c r="C852" s="1" t="s">
        <v>1680</v>
      </c>
      <c r="D852" s="1" t="s">
        <v>1685</v>
      </c>
      <c r="E852" s="1" t="s">
        <v>1526</v>
      </c>
      <c r="F852" s="1" t="s">
        <v>1526</v>
      </c>
      <c r="H852" s="1" t="s">
        <v>1684</v>
      </c>
    </row>
    <row r="853" spans="1:12">
      <c r="A853" s="1" t="s">
        <v>1596</v>
      </c>
      <c r="B853" s="1" t="s">
        <v>1586</v>
      </c>
      <c r="C853" s="1" t="s">
        <v>1686</v>
      </c>
      <c r="D853" s="1" t="s">
        <v>218</v>
      </c>
      <c r="E853" s="92" t="s">
        <v>2069</v>
      </c>
      <c r="F853" s="92" t="s">
        <v>2069</v>
      </c>
      <c r="G853" s="92" t="s">
        <v>1738</v>
      </c>
      <c r="H853" s="1" t="s">
        <v>1684</v>
      </c>
      <c r="I853" s="1" t="s">
        <v>1689</v>
      </c>
      <c r="J853" s="1" t="s">
        <v>1690</v>
      </c>
      <c r="K853" s="1" t="s">
        <v>1691</v>
      </c>
      <c r="L853" s="1" t="s">
        <v>1692</v>
      </c>
    </row>
    <row r="854" spans="1:12">
      <c r="A854" s="1" t="s">
        <v>1596</v>
      </c>
      <c r="B854" s="1" t="s">
        <v>1586</v>
      </c>
      <c r="C854" s="1" t="s">
        <v>1686</v>
      </c>
      <c r="D854" s="1" t="s">
        <v>1693</v>
      </c>
      <c r="E854" s="1" t="s">
        <v>1694</v>
      </c>
      <c r="F854" s="1" t="s">
        <v>1694</v>
      </c>
      <c r="H854" s="1" t="s">
        <v>1684</v>
      </c>
      <c r="I854" s="1" t="s">
        <v>1689</v>
      </c>
      <c r="J854" s="1" t="s">
        <v>1690</v>
      </c>
      <c r="K854" s="1" t="s">
        <v>1691</v>
      </c>
      <c r="L854" s="1" t="s">
        <v>1692</v>
      </c>
    </row>
    <row r="855" spans="1:12">
      <c r="A855" s="1" t="s">
        <v>1596</v>
      </c>
      <c r="B855" s="1" t="s">
        <v>1586</v>
      </c>
      <c r="C855" s="1" t="s">
        <v>1686</v>
      </c>
      <c r="D855" s="1" t="s">
        <v>1695</v>
      </c>
      <c r="E855" s="1" t="s">
        <v>1696</v>
      </c>
      <c r="F855" s="1" t="s">
        <v>1696</v>
      </c>
      <c r="H855" s="1" t="s">
        <v>1684</v>
      </c>
      <c r="I855" s="1" t="s">
        <v>1689</v>
      </c>
      <c r="J855" s="1" t="s">
        <v>1690</v>
      </c>
      <c r="K855" s="1" t="s">
        <v>1691</v>
      </c>
      <c r="L855" s="1" t="s">
        <v>1692</v>
      </c>
    </row>
    <row r="856" spans="1:12">
      <c r="A856" s="1" t="s">
        <v>1596</v>
      </c>
      <c r="B856" s="1" t="s">
        <v>1586</v>
      </c>
      <c r="C856" s="1" t="s">
        <v>1686</v>
      </c>
      <c r="D856" s="1" t="s">
        <v>1697</v>
      </c>
      <c r="E856" s="1" t="s">
        <v>1698</v>
      </c>
      <c r="F856" s="1" t="s">
        <v>1698</v>
      </c>
      <c r="H856" s="1" t="s">
        <v>1684</v>
      </c>
      <c r="I856" s="1" t="s">
        <v>1689</v>
      </c>
      <c r="J856" s="1" t="s">
        <v>1690</v>
      </c>
      <c r="K856" s="1" t="s">
        <v>1691</v>
      </c>
      <c r="L856" s="1" t="s">
        <v>1692</v>
      </c>
    </row>
    <row r="857" spans="1:12">
      <c r="A857" s="1" t="s">
        <v>1596</v>
      </c>
      <c r="B857" s="1" t="s">
        <v>1586</v>
      </c>
      <c r="C857" s="1" t="s">
        <v>1686</v>
      </c>
      <c r="D857" s="1" t="s">
        <v>1699</v>
      </c>
      <c r="E857" s="92" t="s">
        <v>1862</v>
      </c>
      <c r="F857" s="92" t="s">
        <v>1863</v>
      </c>
      <c r="H857" s="1" t="s">
        <v>1684</v>
      </c>
      <c r="I857" s="1" t="s">
        <v>1689</v>
      </c>
      <c r="J857" s="1" t="s">
        <v>1690</v>
      </c>
      <c r="K857" s="1" t="s">
        <v>1691</v>
      </c>
      <c r="L857" s="1" t="s">
        <v>1692</v>
      </c>
    </row>
    <row r="858" spans="1:12">
      <c r="A858" s="1" t="s">
        <v>1596</v>
      </c>
      <c r="B858" s="1" t="s">
        <v>1586</v>
      </c>
      <c r="C858" s="1" t="s">
        <v>1686</v>
      </c>
      <c r="D858" s="1" t="s">
        <v>1702</v>
      </c>
      <c r="E858" s="92" t="s">
        <v>1864</v>
      </c>
      <c r="F858" s="92" t="s">
        <v>1865</v>
      </c>
      <c r="H858" s="1" t="s">
        <v>1684</v>
      </c>
      <c r="I858" s="1" t="s">
        <v>1689</v>
      </c>
      <c r="J858" s="1" t="s">
        <v>1690</v>
      </c>
      <c r="K858" s="1" t="s">
        <v>1691</v>
      </c>
      <c r="L858" s="1" t="s">
        <v>1692</v>
      </c>
    </row>
    <row r="859" spans="1:12">
      <c r="A859" s="1" t="s">
        <v>1596</v>
      </c>
      <c r="B859" s="1" t="s">
        <v>1586</v>
      </c>
      <c r="C859" s="1" t="s">
        <v>1686</v>
      </c>
      <c r="D859" s="1" t="s">
        <v>1705</v>
      </c>
      <c r="E859" s="92" t="s">
        <v>1866</v>
      </c>
      <c r="F859" s="92" t="s">
        <v>1867</v>
      </c>
      <c r="H859" s="1" t="s">
        <v>1684</v>
      </c>
      <c r="I859" s="1" t="s">
        <v>1689</v>
      </c>
      <c r="J859" s="1" t="s">
        <v>1690</v>
      </c>
      <c r="K859" s="1" t="s">
        <v>1691</v>
      </c>
      <c r="L859" s="1" t="s">
        <v>1692</v>
      </c>
    </row>
    <row r="860" spans="1:12">
      <c r="A860" s="1" t="s">
        <v>1596</v>
      </c>
      <c r="B860" s="1" t="s">
        <v>1586</v>
      </c>
      <c r="C860" s="1" t="s">
        <v>1394</v>
      </c>
      <c r="D860" s="1" t="s">
        <v>1708</v>
      </c>
      <c r="E860" s="1" t="s">
        <v>1709</v>
      </c>
      <c r="F860" s="1" t="s">
        <v>1709</v>
      </c>
      <c r="H860" s="1" t="s">
        <v>1684</v>
      </c>
      <c r="I860" s="1" t="s">
        <v>973</v>
      </c>
      <c r="J860" s="1" t="s">
        <v>1710</v>
      </c>
      <c r="K860" s="1" t="s">
        <v>1691</v>
      </c>
      <c r="L860" s="1" t="s">
        <v>1692</v>
      </c>
    </row>
    <row r="861" spans="1:12">
      <c r="A861" s="1" t="s">
        <v>1596</v>
      </c>
      <c r="B861" s="1" t="s">
        <v>1586</v>
      </c>
      <c r="C861" s="1" t="s">
        <v>1711</v>
      </c>
      <c r="D861" s="1" t="s">
        <v>218</v>
      </c>
      <c r="E861" s="92" t="s">
        <v>2070</v>
      </c>
      <c r="F861" s="92" t="s">
        <v>2070</v>
      </c>
      <c r="G861" s="92" t="s">
        <v>1738</v>
      </c>
      <c r="H861" s="1" t="s">
        <v>1684</v>
      </c>
      <c r="I861" s="1" t="s">
        <v>1689</v>
      </c>
      <c r="J861" s="1" t="s">
        <v>1714</v>
      </c>
      <c r="K861" s="1" t="s">
        <v>1715</v>
      </c>
      <c r="L861" s="1" t="s">
        <v>1716</v>
      </c>
    </row>
    <row r="862" spans="1:12">
      <c r="A862" s="1" t="s">
        <v>1596</v>
      </c>
      <c r="B862" s="1" t="s">
        <v>1586</v>
      </c>
      <c r="C862" s="1" t="s">
        <v>1711</v>
      </c>
      <c r="D862" s="1" t="s">
        <v>1693</v>
      </c>
      <c r="E862" s="1" t="s">
        <v>1908</v>
      </c>
      <c r="F862" s="1" t="s">
        <v>1908</v>
      </c>
      <c r="H862" s="1" t="s">
        <v>1684</v>
      </c>
      <c r="I862" s="1" t="s">
        <v>1689</v>
      </c>
      <c r="J862" s="1" t="s">
        <v>1714</v>
      </c>
      <c r="K862" s="1" t="s">
        <v>1715</v>
      </c>
      <c r="L862" s="1" t="s">
        <v>1716</v>
      </c>
    </row>
    <row r="863" spans="1:12">
      <c r="A863" s="1" t="s">
        <v>1596</v>
      </c>
      <c r="B863" s="1" t="s">
        <v>1586</v>
      </c>
      <c r="C863" s="1" t="s">
        <v>1711</v>
      </c>
      <c r="D863" s="1" t="s">
        <v>1695</v>
      </c>
      <c r="E863" s="1" t="s">
        <v>1745</v>
      </c>
      <c r="F863" s="1" t="s">
        <v>1745</v>
      </c>
      <c r="H863" s="1" t="s">
        <v>1684</v>
      </c>
      <c r="I863" s="1" t="s">
        <v>1689</v>
      </c>
      <c r="J863" s="1" t="s">
        <v>1714</v>
      </c>
      <c r="K863" s="1" t="s">
        <v>1715</v>
      </c>
      <c r="L863" s="1" t="s">
        <v>1716</v>
      </c>
    </row>
    <row r="864" spans="1:12">
      <c r="A864" s="1" t="s">
        <v>1596</v>
      </c>
      <c r="B864" s="1" t="s">
        <v>1586</v>
      </c>
      <c r="C864" s="1" t="s">
        <v>1711</v>
      </c>
      <c r="D864" s="1" t="s">
        <v>1697</v>
      </c>
      <c r="E864" s="1" t="s">
        <v>1698</v>
      </c>
      <c r="F864" s="1" t="s">
        <v>1698</v>
      </c>
      <c r="H864" s="1" t="s">
        <v>1684</v>
      </c>
      <c r="I864" s="1" t="s">
        <v>1689</v>
      </c>
      <c r="J864" s="1" t="s">
        <v>1714</v>
      </c>
      <c r="K864" s="1" t="s">
        <v>1715</v>
      </c>
      <c r="L864" s="1" t="s">
        <v>1716</v>
      </c>
    </row>
    <row r="865" spans="1:12">
      <c r="A865" s="1" t="s">
        <v>1596</v>
      </c>
      <c r="B865" s="1" t="s">
        <v>1586</v>
      </c>
      <c r="C865" s="1" t="s">
        <v>1711</v>
      </c>
      <c r="D865" s="1" t="s">
        <v>1699</v>
      </c>
      <c r="E865" s="92" t="s">
        <v>1832</v>
      </c>
      <c r="F865" s="92" t="s">
        <v>1833</v>
      </c>
      <c r="H865" s="1" t="s">
        <v>1684</v>
      </c>
      <c r="I865" s="1" t="s">
        <v>1689</v>
      </c>
      <c r="J865" s="1" t="s">
        <v>1714</v>
      </c>
      <c r="K865" s="1" t="s">
        <v>1715</v>
      </c>
      <c r="L865" s="1" t="s">
        <v>1716</v>
      </c>
    </row>
    <row r="866" spans="1:12">
      <c r="A866" s="1" t="s">
        <v>1596</v>
      </c>
      <c r="B866" s="1" t="s">
        <v>1586</v>
      </c>
      <c r="C866" s="1" t="s">
        <v>1711</v>
      </c>
      <c r="D866" s="1" t="s">
        <v>1702</v>
      </c>
      <c r="E866" s="92" t="s">
        <v>2071</v>
      </c>
      <c r="F866" s="92" t="s">
        <v>2072</v>
      </c>
      <c r="H866" s="1" t="s">
        <v>1684</v>
      </c>
      <c r="I866" s="1" t="s">
        <v>1689</v>
      </c>
      <c r="J866" s="1" t="s">
        <v>1714</v>
      </c>
      <c r="K866" s="1" t="s">
        <v>1715</v>
      </c>
      <c r="L866" s="1" t="s">
        <v>1716</v>
      </c>
    </row>
    <row r="867" spans="1:12">
      <c r="A867" s="1" t="s">
        <v>1596</v>
      </c>
      <c r="B867" s="1" t="s">
        <v>1586</v>
      </c>
      <c r="C867" s="1" t="s">
        <v>1711</v>
      </c>
      <c r="D867" s="1" t="s">
        <v>1705</v>
      </c>
      <c r="E867" s="92" t="s">
        <v>2073</v>
      </c>
      <c r="F867" s="92" t="s">
        <v>1722</v>
      </c>
      <c r="H867" s="1" t="s">
        <v>1684</v>
      </c>
      <c r="I867" s="1" t="s">
        <v>1689</v>
      </c>
      <c r="J867" s="1" t="s">
        <v>1714</v>
      </c>
      <c r="K867" s="1" t="s">
        <v>1715</v>
      </c>
      <c r="L867" s="1" t="s">
        <v>1716</v>
      </c>
    </row>
    <row r="868" spans="1:12">
      <c r="A868" s="1" t="s">
        <v>1596</v>
      </c>
      <c r="B868" s="1" t="s">
        <v>1586</v>
      </c>
      <c r="C868" s="1" t="s">
        <v>1723</v>
      </c>
      <c r="D868" s="1" t="s">
        <v>218</v>
      </c>
      <c r="E868" s="92" t="s">
        <v>1985</v>
      </c>
      <c r="F868" s="92" t="s">
        <v>1985</v>
      </c>
      <c r="G868" s="92" t="s">
        <v>1822</v>
      </c>
      <c r="H868" s="1" t="s">
        <v>1684</v>
      </c>
      <c r="I868" s="1" t="s">
        <v>973</v>
      </c>
      <c r="J868" s="1" t="s">
        <v>1726</v>
      </c>
      <c r="K868" s="1" t="s">
        <v>1727</v>
      </c>
      <c r="L868" s="1" t="s">
        <v>1728</v>
      </c>
    </row>
    <row r="869" spans="1:12">
      <c r="A869" s="1" t="s">
        <v>1596</v>
      </c>
      <c r="B869" s="1" t="s">
        <v>1586</v>
      </c>
      <c r="C869" s="1" t="s">
        <v>1723</v>
      </c>
      <c r="D869" s="1" t="s">
        <v>1693</v>
      </c>
      <c r="E869" s="1" t="s">
        <v>1694</v>
      </c>
      <c r="F869" s="1" t="s">
        <v>1694</v>
      </c>
      <c r="H869" s="1" t="s">
        <v>1684</v>
      </c>
      <c r="I869" s="1" t="s">
        <v>973</v>
      </c>
      <c r="J869" s="1" t="s">
        <v>1726</v>
      </c>
      <c r="K869" s="1" t="s">
        <v>1727</v>
      </c>
      <c r="L869" s="1" t="s">
        <v>1728</v>
      </c>
    </row>
    <row r="870" spans="1:12">
      <c r="A870" s="1" t="s">
        <v>1596</v>
      </c>
      <c r="B870" s="1" t="s">
        <v>1586</v>
      </c>
      <c r="C870" s="1" t="s">
        <v>1723</v>
      </c>
      <c r="D870" s="1" t="s">
        <v>1695</v>
      </c>
      <c r="E870" s="1" t="s">
        <v>1982</v>
      </c>
      <c r="F870" s="1" t="s">
        <v>1982</v>
      </c>
      <c r="H870" s="1" t="s">
        <v>1684</v>
      </c>
      <c r="I870" s="1" t="s">
        <v>973</v>
      </c>
      <c r="J870" s="1" t="s">
        <v>1726</v>
      </c>
      <c r="K870" s="1" t="s">
        <v>1727</v>
      </c>
      <c r="L870" s="1" t="s">
        <v>1728</v>
      </c>
    </row>
    <row r="871" spans="1:12">
      <c r="A871" s="1" t="s">
        <v>1596</v>
      </c>
      <c r="B871" s="1" t="s">
        <v>1586</v>
      </c>
      <c r="C871" s="1" t="s">
        <v>1723</v>
      </c>
      <c r="D871" s="1" t="s">
        <v>1697</v>
      </c>
      <c r="E871" s="1" t="s">
        <v>1698</v>
      </c>
      <c r="F871" s="1" t="s">
        <v>1698</v>
      </c>
      <c r="H871" s="1" t="s">
        <v>1684</v>
      </c>
      <c r="I871" s="1" t="s">
        <v>973</v>
      </c>
      <c r="J871" s="1" t="s">
        <v>1726</v>
      </c>
      <c r="K871" s="1" t="s">
        <v>1727</v>
      </c>
      <c r="L871" s="1" t="s">
        <v>1728</v>
      </c>
    </row>
    <row r="872" spans="1:12">
      <c r="A872" s="1" t="s">
        <v>1596</v>
      </c>
      <c r="B872" s="1" t="s">
        <v>1586</v>
      </c>
      <c r="C872" s="1" t="s">
        <v>1729</v>
      </c>
      <c r="D872" s="1" t="s">
        <v>1708</v>
      </c>
      <c r="E872" s="1" t="s">
        <v>1730</v>
      </c>
      <c r="F872" s="1" t="s">
        <v>1730</v>
      </c>
      <c r="H872" s="1" t="s">
        <v>1684</v>
      </c>
      <c r="I872" s="1" t="s">
        <v>1731</v>
      </c>
      <c r="J872" s="1" t="s">
        <v>1732</v>
      </c>
      <c r="K872" s="1" t="s">
        <v>1733</v>
      </c>
      <c r="L872" s="1" t="s">
        <v>1734</v>
      </c>
    </row>
    <row r="873" spans="1:12">
      <c r="A873" s="1" t="s">
        <v>1598</v>
      </c>
      <c r="B873" s="1" t="s">
        <v>1586</v>
      </c>
      <c r="C873" s="1" t="s">
        <v>1680</v>
      </c>
      <c r="D873" s="1" t="s">
        <v>1681</v>
      </c>
      <c r="E873" s="92" t="s">
        <v>1772</v>
      </c>
      <c r="F873" s="92" t="s">
        <v>1773</v>
      </c>
      <c r="H873" s="1" t="s">
        <v>1684</v>
      </c>
    </row>
    <row r="874" spans="1:12">
      <c r="A874" s="1" t="s">
        <v>1598</v>
      </c>
      <c r="B874" s="1" t="s">
        <v>1586</v>
      </c>
      <c r="C874" s="1" t="s">
        <v>1680</v>
      </c>
      <c r="D874" s="1" t="s">
        <v>1685</v>
      </c>
      <c r="E874" s="1" t="s">
        <v>1526</v>
      </c>
      <c r="F874" s="1" t="s">
        <v>1526</v>
      </c>
      <c r="H874" s="1" t="s">
        <v>1684</v>
      </c>
    </row>
    <row r="875" spans="1:12">
      <c r="A875" s="1" t="s">
        <v>1598</v>
      </c>
      <c r="B875" s="1" t="s">
        <v>1586</v>
      </c>
      <c r="C875" s="1" t="s">
        <v>1686</v>
      </c>
      <c r="D875" s="1" t="s">
        <v>218</v>
      </c>
      <c r="E875" s="92" t="s">
        <v>2069</v>
      </c>
      <c r="F875" s="92" t="s">
        <v>2069</v>
      </c>
      <c r="G875" s="92" t="s">
        <v>1738</v>
      </c>
      <c r="H875" s="1" t="s">
        <v>1684</v>
      </c>
      <c r="I875" s="1" t="s">
        <v>1689</v>
      </c>
      <c r="J875" s="1" t="s">
        <v>1690</v>
      </c>
      <c r="K875" s="1" t="s">
        <v>1691</v>
      </c>
      <c r="L875" s="1" t="s">
        <v>1692</v>
      </c>
    </row>
    <row r="876" spans="1:12">
      <c r="A876" s="1" t="s">
        <v>1598</v>
      </c>
      <c r="B876" s="1" t="s">
        <v>1586</v>
      </c>
      <c r="C876" s="1" t="s">
        <v>1686</v>
      </c>
      <c r="D876" s="1" t="s">
        <v>1693</v>
      </c>
      <c r="E876" s="1" t="s">
        <v>1694</v>
      </c>
      <c r="F876" s="1" t="s">
        <v>1694</v>
      </c>
      <c r="H876" s="1" t="s">
        <v>1684</v>
      </c>
      <c r="I876" s="1" t="s">
        <v>1689</v>
      </c>
      <c r="J876" s="1" t="s">
        <v>1690</v>
      </c>
      <c r="K876" s="1" t="s">
        <v>1691</v>
      </c>
      <c r="L876" s="1" t="s">
        <v>1692</v>
      </c>
    </row>
    <row r="877" spans="1:12">
      <c r="A877" s="1" t="s">
        <v>1598</v>
      </c>
      <c r="B877" s="1" t="s">
        <v>1586</v>
      </c>
      <c r="C877" s="1" t="s">
        <v>1686</v>
      </c>
      <c r="D877" s="1" t="s">
        <v>1695</v>
      </c>
      <c r="E877" s="1" t="s">
        <v>1696</v>
      </c>
      <c r="F877" s="1" t="s">
        <v>1696</v>
      </c>
      <c r="H877" s="1" t="s">
        <v>1684</v>
      </c>
      <c r="I877" s="1" t="s">
        <v>1689</v>
      </c>
      <c r="J877" s="1" t="s">
        <v>1690</v>
      </c>
      <c r="K877" s="1" t="s">
        <v>1691</v>
      </c>
      <c r="L877" s="1" t="s">
        <v>1692</v>
      </c>
    </row>
    <row r="878" spans="1:12">
      <c r="A878" s="1" t="s">
        <v>1598</v>
      </c>
      <c r="B878" s="1" t="s">
        <v>1586</v>
      </c>
      <c r="C878" s="1" t="s">
        <v>1686</v>
      </c>
      <c r="D878" s="1" t="s">
        <v>1697</v>
      </c>
      <c r="E878" s="1" t="s">
        <v>1698</v>
      </c>
      <c r="F878" s="1" t="s">
        <v>1698</v>
      </c>
      <c r="H878" s="1" t="s">
        <v>1684</v>
      </c>
      <c r="I878" s="1" t="s">
        <v>1689</v>
      </c>
      <c r="J878" s="1" t="s">
        <v>1690</v>
      </c>
      <c r="K878" s="1" t="s">
        <v>1691</v>
      </c>
      <c r="L878" s="1" t="s">
        <v>1692</v>
      </c>
    </row>
    <row r="879" spans="1:12">
      <c r="A879" s="1" t="s">
        <v>1598</v>
      </c>
      <c r="B879" s="1" t="s">
        <v>1586</v>
      </c>
      <c r="C879" s="1" t="s">
        <v>1686</v>
      </c>
      <c r="D879" s="1" t="s">
        <v>1699</v>
      </c>
      <c r="E879" s="92" t="s">
        <v>1862</v>
      </c>
      <c r="F879" s="92" t="s">
        <v>1863</v>
      </c>
      <c r="H879" s="1" t="s">
        <v>1684</v>
      </c>
      <c r="I879" s="1" t="s">
        <v>1689</v>
      </c>
      <c r="J879" s="1" t="s">
        <v>1690</v>
      </c>
      <c r="K879" s="1" t="s">
        <v>1691</v>
      </c>
      <c r="L879" s="1" t="s">
        <v>1692</v>
      </c>
    </row>
    <row r="880" spans="1:12">
      <c r="A880" s="1" t="s">
        <v>1598</v>
      </c>
      <c r="B880" s="1" t="s">
        <v>1586</v>
      </c>
      <c r="C880" s="1" t="s">
        <v>1686</v>
      </c>
      <c r="D880" s="1" t="s">
        <v>1702</v>
      </c>
      <c r="E880" s="92" t="s">
        <v>1864</v>
      </c>
      <c r="F880" s="92" t="s">
        <v>1865</v>
      </c>
      <c r="H880" s="1" t="s">
        <v>1684</v>
      </c>
      <c r="I880" s="1" t="s">
        <v>1689</v>
      </c>
      <c r="J880" s="1" t="s">
        <v>1690</v>
      </c>
      <c r="K880" s="1" t="s">
        <v>1691</v>
      </c>
      <c r="L880" s="1" t="s">
        <v>1692</v>
      </c>
    </row>
    <row r="881" spans="1:12">
      <c r="A881" s="1" t="s">
        <v>1598</v>
      </c>
      <c r="B881" s="1" t="s">
        <v>1586</v>
      </c>
      <c r="C881" s="1" t="s">
        <v>1686</v>
      </c>
      <c r="D881" s="1" t="s">
        <v>1705</v>
      </c>
      <c r="E881" s="92" t="s">
        <v>1866</v>
      </c>
      <c r="F881" s="92" t="s">
        <v>1867</v>
      </c>
      <c r="H881" s="1" t="s">
        <v>1684</v>
      </c>
      <c r="I881" s="1" t="s">
        <v>1689</v>
      </c>
      <c r="J881" s="1" t="s">
        <v>1690</v>
      </c>
      <c r="K881" s="1" t="s">
        <v>1691</v>
      </c>
      <c r="L881" s="1" t="s">
        <v>1692</v>
      </c>
    </row>
    <row r="882" spans="1:12">
      <c r="A882" s="1" t="s">
        <v>1598</v>
      </c>
      <c r="B882" s="1" t="s">
        <v>1586</v>
      </c>
      <c r="C882" s="1" t="s">
        <v>1394</v>
      </c>
      <c r="D882" s="1" t="s">
        <v>1708</v>
      </c>
      <c r="E882" s="1" t="s">
        <v>1709</v>
      </c>
      <c r="F882" s="1" t="s">
        <v>1709</v>
      </c>
      <c r="H882" s="1" t="s">
        <v>1684</v>
      </c>
      <c r="I882" s="1" t="s">
        <v>973</v>
      </c>
      <c r="J882" s="1" t="s">
        <v>1710</v>
      </c>
      <c r="K882" s="1" t="s">
        <v>1691</v>
      </c>
      <c r="L882" s="1" t="s">
        <v>1692</v>
      </c>
    </row>
    <row r="883" spans="1:12">
      <c r="A883" s="1" t="s">
        <v>1598</v>
      </c>
      <c r="B883" s="1" t="s">
        <v>1586</v>
      </c>
      <c r="C883" s="1" t="s">
        <v>1711</v>
      </c>
      <c r="D883" s="1" t="s">
        <v>218</v>
      </c>
      <c r="E883" s="92" t="s">
        <v>2074</v>
      </c>
      <c r="F883" s="92" t="s">
        <v>2074</v>
      </c>
      <c r="G883" s="92" t="s">
        <v>1765</v>
      </c>
      <c r="H883" s="1" t="s">
        <v>1684</v>
      </c>
      <c r="I883" s="1" t="s">
        <v>1689</v>
      </c>
      <c r="J883" s="1" t="s">
        <v>1714</v>
      </c>
      <c r="K883" s="1" t="s">
        <v>1715</v>
      </c>
      <c r="L883" s="1" t="s">
        <v>1716</v>
      </c>
    </row>
    <row r="884" spans="1:12">
      <c r="A884" s="1" t="s">
        <v>1598</v>
      </c>
      <c r="B884" s="1" t="s">
        <v>1586</v>
      </c>
      <c r="C884" s="1" t="s">
        <v>1711</v>
      </c>
      <c r="D884" s="1" t="s">
        <v>1693</v>
      </c>
      <c r="E884" s="1" t="s">
        <v>1746</v>
      </c>
      <c r="F884" s="1" t="s">
        <v>1746</v>
      </c>
      <c r="H884" s="1" t="s">
        <v>1684</v>
      </c>
      <c r="I884" s="1" t="s">
        <v>1689</v>
      </c>
      <c r="J884" s="1" t="s">
        <v>1714</v>
      </c>
      <c r="K884" s="1" t="s">
        <v>1715</v>
      </c>
      <c r="L884" s="1" t="s">
        <v>1716</v>
      </c>
    </row>
    <row r="885" spans="1:12">
      <c r="A885" s="1" t="s">
        <v>1598</v>
      </c>
      <c r="B885" s="1" t="s">
        <v>1586</v>
      </c>
      <c r="C885" s="1" t="s">
        <v>1711</v>
      </c>
      <c r="D885" s="1" t="s">
        <v>1695</v>
      </c>
      <c r="E885" s="1" t="s">
        <v>1746</v>
      </c>
      <c r="F885" s="1" t="s">
        <v>1746</v>
      </c>
      <c r="H885" s="1" t="s">
        <v>1684</v>
      </c>
      <c r="I885" s="1" t="s">
        <v>1689</v>
      </c>
      <c r="J885" s="1" t="s">
        <v>1714</v>
      </c>
      <c r="K885" s="1" t="s">
        <v>1715</v>
      </c>
      <c r="L885" s="1" t="s">
        <v>1716</v>
      </c>
    </row>
    <row r="886" spans="1:12">
      <c r="A886" s="1" t="s">
        <v>1598</v>
      </c>
      <c r="B886" s="1" t="s">
        <v>1586</v>
      </c>
      <c r="C886" s="1" t="s">
        <v>1711</v>
      </c>
      <c r="D886" s="1" t="s">
        <v>1697</v>
      </c>
      <c r="E886" s="1" t="s">
        <v>1698</v>
      </c>
      <c r="F886" s="1" t="s">
        <v>1698</v>
      </c>
      <c r="H886" s="1" t="s">
        <v>1684</v>
      </c>
      <c r="I886" s="1" t="s">
        <v>1689</v>
      </c>
      <c r="J886" s="1" t="s">
        <v>1714</v>
      </c>
      <c r="K886" s="1" t="s">
        <v>1715</v>
      </c>
      <c r="L886" s="1" t="s">
        <v>1716</v>
      </c>
    </row>
    <row r="887" spans="1:12">
      <c r="A887" s="1" t="s">
        <v>1598</v>
      </c>
      <c r="B887" s="1" t="s">
        <v>1586</v>
      </c>
      <c r="C887" s="1" t="s">
        <v>1711</v>
      </c>
      <c r="D887" s="1" t="s">
        <v>1699</v>
      </c>
      <c r="E887" s="92" t="s">
        <v>1832</v>
      </c>
      <c r="F887" s="92" t="s">
        <v>1833</v>
      </c>
      <c r="H887" s="1" t="s">
        <v>1684</v>
      </c>
      <c r="I887" s="1" t="s">
        <v>1689</v>
      </c>
      <c r="J887" s="1" t="s">
        <v>1714</v>
      </c>
      <c r="K887" s="1" t="s">
        <v>1715</v>
      </c>
      <c r="L887" s="1" t="s">
        <v>1716</v>
      </c>
    </row>
    <row r="888" spans="1:12">
      <c r="A888" s="1" t="s">
        <v>1598</v>
      </c>
      <c r="B888" s="1" t="s">
        <v>1586</v>
      </c>
      <c r="C888" s="1" t="s">
        <v>1711</v>
      </c>
      <c r="D888" s="1" t="s">
        <v>1702</v>
      </c>
      <c r="E888" s="92" t="s">
        <v>2075</v>
      </c>
      <c r="F888" s="92" t="s">
        <v>2076</v>
      </c>
      <c r="H888" s="1" t="s">
        <v>1684</v>
      </c>
      <c r="I888" s="1" t="s">
        <v>1689</v>
      </c>
      <c r="J888" s="1" t="s">
        <v>1714</v>
      </c>
      <c r="K888" s="1" t="s">
        <v>1715</v>
      </c>
      <c r="L888" s="1" t="s">
        <v>1716</v>
      </c>
    </row>
    <row r="889" spans="1:12">
      <c r="A889" s="1" t="s">
        <v>1598</v>
      </c>
      <c r="B889" s="1" t="s">
        <v>1586</v>
      </c>
      <c r="C889" s="1" t="s">
        <v>1711</v>
      </c>
      <c r="D889" s="1" t="s">
        <v>1705</v>
      </c>
      <c r="E889" s="92" t="s">
        <v>2077</v>
      </c>
      <c r="F889" s="92" t="s">
        <v>1722</v>
      </c>
      <c r="H889" s="1" t="s">
        <v>1684</v>
      </c>
      <c r="I889" s="1" t="s">
        <v>1689</v>
      </c>
      <c r="J889" s="1" t="s">
        <v>1714</v>
      </c>
      <c r="K889" s="1" t="s">
        <v>1715</v>
      </c>
      <c r="L889" s="1" t="s">
        <v>1716</v>
      </c>
    </row>
    <row r="890" spans="1:12">
      <c r="A890" s="1" t="s">
        <v>1598</v>
      </c>
      <c r="B890" s="1" t="s">
        <v>1586</v>
      </c>
      <c r="C890" s="1" t="s">
        <v>1711</v>
      </c>
      <c r="D890" s="1" t="s">
        <v>1787</v>
      </c>
      <c r="E890" s="92" t="s">
        <v>2078</v>
      </c>
      <c r="F890" s="92" t="s">
        <v>2074</v>
      </c>
      <c r="G890" s="92" t="s">
        <v>2079</v>
      </c>
      <c r="H890" s="1" t="s">
        <v>1534</v>
      </c>
      <c r="I890" s="1" t="s">
        <v>1689</v>
      </c>
      <c r="J890" s="1" t="s">
        <v>1714</v>
      </c>
      <c r="K890" s="1" t="s">
        <v>1715</v>
      </c>
      <c r="L890" s="1" t="s">
        <v>1716</v>
      </c>
    </row>
    <row r="891" spans="1:12">
      <c r="A891" s="1" t="s">
        <v>1598</v>
      </c>
      <c r="B891" s="1" t="s">
        <v>1586</v>
      </c>
      <c r="C891" s="1" t="s">
        <v>1723</v>
      </c>
      <c r="D891" s="1" t="s">
        <v>218</v>
      </c>
      <c r="E891" s="92" t="s">
        <v>2061</v>
      </c>
      <c r="F891" s="92" t="s">
        <v>2061</v>
      </c>
      <c r="G891" s="92" t="s">
        <v>1822</v>
      </c>
      <c r="H891" s="1" t="s">
        <v>1684</v>
      </c>
      <c r="I891" s="1" t="s">
        <v>973</v>
      </c>
      <c r="J891" s="1" t="s">
        <v>1726</v>
      </c>
      <c r="K891" s="1" t="s">
        <v>1727</v>
      </c>
      <c r="L891" s="1" t="s">
        <v>1728</v>
      </c>
    </row>
    <row r="892" spans="1:12">
      <c r="A892" s="1" t="s">
        <v>1598</v>
      </c>
      <c r="B892" s="1" t="s">
        <v>1586</v>
      </c>
      <c r="C892" s="1" t="s">
        <v>1723</v>
      </c>
      <c r="D892" s="1" t="s">
        <v>1693</v>
      </c>
      <c r="E892" s="1" t="s">
        <v>1694</v>
      </c>
      <c r="F892" s="1" t="s">
        <v>1694</v>
      </c>
      <c r="H892" s="1" t="s">
        <v>1684</v>
      </c>
      <c r="I892" s="1" t="s">
        <v>973</v>
      </c>
      <c r="J892" s="1" t="s">
        <v>1726</v>
      </c>
      <c r="K892" s="1" t="s">
        <v>1727</v>
      </c>
      <c r="L892" s="1" t="s">
        <v>1728</v>
      </c>
    </row>
    <row r="893" spans="1:12">
      <c r="A893" s="1" t="s">
        <v>1598</v>
      </c>
      <c r="B893" s="1" t="s">
        <v>1586</v>
      </c>
      <c r="C893" s="1" t="s">
        <v>1723</v>
      </c>
      <c r="D893" s="1" t="s">
        <v>1695</v>
      </c>
      <c r="E893" s="1" t="s">
        <v>1993</v>
      </c>
      <c r="F893" s="1" t="s">
        <v>1993</v>
      </c>
      <c r="H893" s="1" t="s">
        <v>1684</v>
      </c>
      <c r="I893" s="1" t="s">
        <v>973</v>
      </c>
      <c r="J893" s="1" t="s">
        <v>1726</v>
      </c>
      <c r="K893" s="1" t="s">
        <v>1727</v>
      </c>
      <c r="L893" s="1" t="s">
        <v>1728</v>
      </c>
    </row>
    <row r="894" spans="1:12">
      <c r="A894" s="1" t="s">
        <v>1598</v>
      </c>
      <c r="B894" s="1" t="s">
        <v>1586</v>
      </c>
      <c r="C894" s="1" t="s">
        <v>1723</v>
      </c>
      <c r="D894" s="1" t="s">
        <v>1697</v>
      </c>
      <c r="E894" s="1" t="s">
        <v>1698</v>
      </c>
      <c r="F894" s="1" t="s">
        <v>1698</v>
      </c>
      <c r="H894" s="1" t="s">
        <v>1684</v>
      </c>
      <c r="I894" s="1" t="s">
        <v>973</v>
      </c>
      <c r="J894" s="1" t="s">
        <v>1726</v>
      </c>
      <c r="K894" s="1" t="s">
        <v>1727</v>
      </c>
      <c r="L894" s="1" t="s">
        <v>1728</v>
      </c>
    </row>
    <row r="895" spans="1:12">
      <c r="A895" s="1" t="s">
        <v>1598</v>
      </c>
      <c r="B895" s="1" t="s">
        <v>1586</v>
      </c>
      <c r="C895" s="1" t="s">
        <v>1729</v>
      </c>
      <c r="D895" s="1" t="s">
        <v>1708</v>
      </c>
      <c r="E895" s="1" t="s">
        <v>1730</v>
      </c>
      <c r="F895" s="1" t="s">
        <v>1730</v>
      </c>
      <c r="H895" s="1" t="s">
        <v>1684</v>
      </c>
      <c r="I895" s="1" t="s">
        <v>1731</v>
      </c>
      <c r="J895" s="1" t="s">
        <v>1732</v>
      </c>
      <c r="K895" s="1" t="s">
        <v>1733</v>
      </c>
      <c r="L895" s="1" t="s">
        <v>1734</v>
      </c>
    </row>
    <row r="896" spans="1:12">
      <c r="A896" s="1" t="s">
        <v>1600</v>
      </c>
      <c r="B896" s="1" t="s">
        <v>1586</v>
      </c>
      <c r="C896" s="1" t="s">
        <v>1680</v>
      </c>
      <c r="D896" s="1" t="s">
        <v>1681</v>
      </c>
      <c r="E896" s="92" t="s">
        <v>1983</v>
      </c>
      <c r="F896" s="92" t="s">
        <v>1984</v>
      </c>
      <c r="H896" s="1" t="s">
        <v>1684</v>
      </c>
    </row>
    <row r="897" spans="1:12">
      <c r="A897" s="1" t="s">
        <v>1600</v>
      </c>
      <c r="B897" s="1" t="s">
        <v>1586</v>
      </c>
      <c r="C897" s="1" t="s">
        <v>1680</v>
      </c>
      <c r="D897" s="1" t="s">
        <v>1685</v>
      </c>
      <c r="E897" s="1" t="s">
        <v>1526</v>
      </c>
      <c r="F897" s="1" t="s">
        <v>1526</v>
      </c>
      <c r="H897" s="1" t="s">
        <v>1684</v>
      </c>
    </row>
    <row r="898" spans="1:12">
      <c r="A898" s="1" t="s">
        <v>1600</v>
      </c>
      <c r="B898" s="1" t="s">
        <v>1586</v>
      </c>
      <c r="C898" s="1" t="s">
        <v>1686</v>
      </c>
      <c r="D898" s="1" t="s">
        <v>1708</v>
      </c>
      <c r="E898" s="1" t="s">
        <v>1709</v>
      </c>
      <c r="F898" s="1" t="s">
        <v>1709</v>
      </c>
      <c r="H898" s="1" t="s">
        <v>1684</v>
      </c>
      <c r="I898" s="1" t="s">
        <v>1689</v>
      </c>
      <c r="J898" s="1" t="s">
        <v>1690</v>
      </c>
      <c r="K898" s="1" t="s">
        <v>1691</v>
      </c>
      <c r="L898" s="1" t="s">
        <v>1692</v>
      </c>
    </row>
    <row r="899" spans="1:12">
      <c r="A899" s="1" t="s">
        <v>1600</v>
      </c>
      <c r="B899" s="1" t="s">
        <v>1586</v>
      </c>
      <c r="C899" s="1" t="s">
        <v>1394</v>
      </c>
      <c r="D899" s="1" t="s">
        <v>218</v>
      </c>
      <c r="E899" s="92" t="s">
        <v>1875</v>
      </c>
      <c r="F899" s="92" t="s">
        <v>1875</v>
      </c>
      <c r="G899" s="92" t="s">
        <v>1688</v>
      </c>
      <c r="H899" s="1" t="s">
        <v>1684</v>
      </c>
      <c r="I899" s="1" t="s">
        <v>973</v>
      </c>
      <c r="J899" s="1" t="s">
        <v>1710</v>
      </c>
      <c r="K899" s="1" t="s">
        <v>1691</v>
      </c>
      <c r="L899" s="1" t="s">
        <v>1692</v>
      </c>
    </row>
    <row r="900" spans="1:12">
      <c r="A900" s="1" t="s">
        <v>1600</v>
      </c>
      <c r="B900" s="1" t="s">
        <v>1586</v>
      </c>
      <c r="C900" s="1" t="s">
        <v>1394</v>
      </c>
      <c r="D900" s="1" t="s">
        <v>1693</v>
      </c>
      <c r="E900" s="1" t="s">
        <v>1694</v>
      </c>
      <c r="F900" s="1" t="s">
        <v>1694</v>
      </c>
      <c r="H900" s="1" t="s">
        <v>1684</v>
      </c>
      <c r="I900" s="1" t="s">
        <v>973</v>
      </c>
      <c r="J900" s="1" t="s">
        <v>1710</v>
      </c>
      <c r="K900" s="1" t="s">
        <v>1691</v>
      </c>
      <c r="L900" s="1" t="s">
        <v>1692</v>
      </c>
    </row>
    <row r="901" spans="1:12">
      <c r="A901" s="1" t="s">
        <v>1600</v>
      </c>
      <c r="B901" s="1" t="s">
        <v>1586</v>
      </c>
      <c r="C901" s="1" t="s">
        <v>1394</v>
      </c>
      <c r="D901" s="1" t="s">
        <v>1695</v>
      </c>
      <c r="E901" s="1" t="s">
        <v>1694</v>
      </c>
      <c r="F901" s="1" t="s">
        <v>1694</v>
      </c>
      <c r="H901" s="1" t="s">
        <v>1684</v>
      </c>
      <c r="I901" s="1" t="s">
        <v>973</v>
      </c>
      <c r="J901" s="1" t="s">
        <v>1710</v>
      </c>
      <c r="K901" s="1" t="s">
        <v>1691</v>
      </c>
      <c r="L901" s="1" t="s">
        <v>1692</v>
      </c>
    </row>
    <row r="902" spans="1:12">
      <c r="A902" s="1" t="s">
        <v>1600</v>
      </c>
      <c r="B902" s="1" t="s">
        <v>1586</v>
      </c>
      <c r="C902" s="1" t="s">
        <v>1394</v>
      </c>
      <c r="D902" s="1" t="s">
        <v>1697</v>
      </c>
      <c r="E902" s="1" t="s">
        <v>1698</v>
      </c>
      <c r="F902" s="1" t="s">
        <v>1698</v>
      </c>
      <c r="H902" s="1" t="s">
        <v>1684</v>
      </c>
      <c r="I902" s="1" t="s">
        <v>973</v>
      </c>
      <c r="J902" s="1" t="s">
        <v>1710</v>
      </c>
      <c r="K902" s="1" t="s">
        <v>1691</v>
      </c>
      <c r="L902" s="1" t="s">
        <v>1692</v>
      </c>
    </row>
    <row r="903" spans="1:12">
      <c r="A903" s="1" t="s">
        <v>1600</v>
      </c>
      <c r="B903" s="1" t="s">
        <v>1586</v>
      </c>
      <c r="C903" s="1" t="s">
        <v>1394</v>
      </c>
      <c r="D903" s="1" t="s">
        <v>1699</v>
      </c>
      <c r="E903" s="92" t="s">
        <v>2022</v>
      </c>
      <c r="F903" s="92" t="s">
        <v>2023</v>
      </c>
      <c r="H903" s="1" t="s">
        <v>1684</v>
      </c>
      <c r="I903" s="1" t="s">
        <v>973</v>
      </c>
      <c r="J903" s="1" t="s">
        <v>1710</v>
      </c>
      <c r="K903" s="1" t="s">
        <v>1691</v>
      </c>
      <c r="L903" s="1" t="s">
        <v>1692</v>
      </c>
    </row>
    <row r="904" spans="1:12">
      <c r="A904" s="1" t="s">
        <v>1600</v>
      </c>
      <c r="B904" s="1" t="s">
        <v>1586</v>
      </c>
      <c r="C904" s="1" t="s">
        <v>1394</v>
      </c>
      <c r="D904" s="1" t="s">
        <v>1702</v>
      </c>
      <c r="E904" s="92" t="s">
        <v>2024</v>
      </c>
      <c r="F904" s="92" t="s">
        <v>2025</v>
      </c>
      <c r="H904" s="1" t="s">
        <v>1684</v>
      </c>
      <c r="I904" s="1" t="s">
        <v>973</v>
      </c>
      <c r="J904" s="1" t="s">
        <v>1710</v>
      </c>
      <c r="K904" s="1" t="s">
        <v>1691</v>
      </c>
      <c r="L904" s="1" t="s">
        <v>1692</v>
      </c>
    </row>
    <row r="905" spans="1:12">
      <c r="A905" s="1" t="s">
        <v>1600</v>
      </c>
      <c r="B905" s="1" t="s">
        <v>1586</v>
      </c>
      <c r="C905" s="1" t="s">
        <v>1394</v>
      </c>
      <c r="D905" s="1" t="s">
        <v>1705</v>
      </c>
      <c r="E905" s="92" t="s">
        <v>2026</v>
      </c>
      <c r="F905" s="92" t="s">
        <v>1855</v>
      </c>
      <c r="H905" s="1" t="s">
        <v>1684</v>
      </c>
      <c r="I905" s="1" t="s">
        <v>973</v>
      </c>
      <c r="J905" s="1" t="s">
        <v>1710</v>
      </c>
      <c r="K905" s="1" t="s">
        <v>1691</v>
      </c>
      <c r="L905" s="1" t="s">
        <v>1692</v>
      </c>
    </row>
    <row r="906" spans="1:12">
      <c r="A906" s="1" t="s">
        <v>1600</v>
      </c>
      <c r="B906" s="1" t="s">
        <v>1586</v>
      </c>
      <c r="C906" s="1" t="s">
        <v>1711</v>
      </c>
      <c r="D906" s="1" t="s">
        <v>1708</v>
      </c>
      <c r="E906" s="1" t="s">
        <v>1709</v>
      </c>
      <c r="F906" s="1" t="s">
        <v>1709</v>
      </c>
      <c r="H906" s="1" t="s">
        <v>1684</v>
      </c>
      <c r="I906" s="1" t="s">
        <v>1689</v>
      </c>
      <c r="J906" s="1" t="s">
        <v>1714</v>
      </c>
      <c r="K906" s="1" t="s">
        <v>1715</v>
      </c>
      <c r="L906" s="1" t="s">
        <v>1716</v>
      </c>
    </row>
    <row r="907" spans="1:12">
      <c r="A907" s="1" t="s">
        <v>1600</v>
      </c>
      <c r="B907" s="1" t="s">
        <v>1586</v>
      </c>
      <c r="C907" s="1" t="s">
        <v>1723</v>
      </c>
      <c r="D907" s="1" t="s">
        <v>218</v>
      </c>
      <c r="E907" s="92" t="s">
        <v>1822</v>
      </c>
      <c r="F907" s="92" t="s">
        <v>1822</v>
      </c>
      <c r="G907" s="92" t="s">
        <v>1822</v>
      </c>
      <c r="H907" s="1" t="s">
        <v>1684</v>
      </c>
      <c r="I907" s="1" t="s">
        <v>973</v>
      </c>
      <c r="J907" s="1" t="s">
        <v>1726</v>
      </c>
      <c r="K907" s="1" t="s">
        <v>1727</v>
      </c>
      <c r="L907" s="1" t="s">
        <v>1728</v>
      </c>
    </row>
    <row r="908" spans="1:12">
      <c r="A908" s="1" t="s">
        <v>1600</v>
      </c>
      <c r="B908" s="1" t="s">
        <v>1586</v>
      </c>
      <c r="C908" s="1" t="s">
        <v>1723</v>
      </c>
      <c r="D908" s="1" t="s">
        <v>1693</v>
      </c>
      <c r="E908" s="1" t="s">
        <v>1694</v>
      </c>
      <c r="F908" s="1" t="s">
        <v>1694</v>
      </c>
      <c r="H908" s="1" t="s">
        <v>1684</v>
      </c>
      <c r="I908" s="1" t="s">
        <v>973</v>
      </c>
      <c r="J908" s="1" t="s">
        <v>1726</v>
      </c>
      <c r="K908" s="1" t="s">
        <v>1727</v>
      </c>
      <c r="L908" s="1" t="s">
        <v>1728</v>
      </c>
    </row>
    <row r="909" spans="1:12">
      <c r="A909" s="1" t="s">
        <v>1600</v>
      </c>
      <c r="B909" s="1" t="s">
        <v>1586</v>
      </c>
      <c r="C909" s="1" t="s">
        <v>1723</v>
      </c>
      <c r="D909" s="1" t="s">
        <v>1695</v>
      </c>
      <c r="E909" s="1" t="s">
        <v>1694</v>
      </c>
      <c r="F909" s="1" t="s">
        <v>1694</v>
      </c>
      <c r="H909" s="1" t="s">
        <v>1684</v>
      </c>
      <c r="I909" s="1" t="s">
        <v>973</v>
      </c>
      <c r="J909" s="1" t="s">
        <v>1726</v>
      </c>
      <c r="K909" s="1" t="s">
        <v>1727</v>
      </c>
      <c r="L909" s="1" t="s">
        <v>1728</v>
      </c>
    </row>
    <row r="910" spans="1:12">
      <c r="A910" s="1" t="s">
        <v>1600</v>
      </c>
      <c r="B910" s="1" t="s">
        <v>1586</v>
      </c>
      <c r="C910" s="1" t="s">
        <v>1723</v>
      </c>
      <c r="D910" s="1" t="s">
        <v>1697</v>
      </c>
      <c r="E910" s="1" t="s">
        <v>1698</v>
      </c>
      <c r="F910" s="1" t="s">
        <v>1698</v>
      </c>
      <c r="H910" s="1" t="s">
        <v>1684</v>
      </c>
      <c r="I910" s="1" t="s">
        <v>973</v>
      </c>
      <c r="J910" s="1" t="s">
        <v>1726</v>
      </c>
      <c r="K910" s="1" t="s">
        <v>1727</v>
      </c>
      <c r="L910" s="1" t="s">
        <v>1728</v>
      </c>
    </row>
    <row r="911" spans="1:12">
      <c r="A911" s="1" t="s">
        <v>1600</v>
      </c>
      <c r="B911" s="1" t="s">
        <v>1586</v>
      </c>
      <c r="C911" s="1" t="s">
        <v>1729</v>
      </c>
      <c r="D911" s="1" t="s">
        <v>1708</v>
      </c>
      <c r="E911" s="1" t="s">
        <v>1730</v>
      </c>
      <c r="F911" s="1" t="s">
        <v>1709</v>
      </c>
      <c r="H911" s="1" t="s">
        <v>1684</v>
      </c>
      <c r="I911" s="1" t="s">
        <v>1731</v>
      </c>
      <c r="J911" s="1" t="s">
        <v>1732</v>
      </c>
      <c r="K911" s="1" t="s">
        <v>1733</v>
      </c>
      <c r="L911" s="1" t="s">
        <v>1734</v>
      </c>
    </row>
    <row r="912" spans="1:12">
      <c r="A912" s="1" t="s">
        <v>1601</v>
      </c>
      <c r="B912" s="1" t="s">
        <v>1586</v>
      </c>
      <c r="C912" s="1" t="s">
        <v>1680</v>
      </c>
      <c r="D912" s="1" t="s">
        <v>1681</v>
      </c>
      <c r="E912" s="92" t="s">
        <v>2005</v>
      </c>
      <c r="F912" s="92" t="s">
        <v>2006</v>
      </c>
      <c r="H912" s="1" t="s">
        <v>1684</v>
      </c>
    </row>
    <row r="913" spans="1:12">
      <c r="A913" s="1" t="s">
        <v>1601</v>
      </c>
      <c r="B913" s="1" t="s">
        <v>1586</v>
      </c>
      <c r="C913" s="1" t="s">
        <v>1680</v>
      </c>
      <c r="D913" s="1" t="s">
        <v>1685</v>
      </c>
      <c r="E913" s="1" t="s">
        <v>1526</v>
      </c>
      <c r="F913" s="1" t="s">
        <v>1526</v>
      </c>
      <c r="H913" s="1" t="s">
        <v>1684</v>
      </c>
    </row>
    <row r="914" spans="1:12">
      <c r="A914" s="1" t="s">
        <v>1601</v>
      </c>
      <c r="B914" s="1" t="s">
        <v>1586</v>
      </c>
      <c r="C914" s="1" t="s">
        <v>1686</v>
      </c>
      <c r="D914" s="1" t="s">
        <v>1708</v>
      </c>
      <c r="E914" s="1" t="s">
        <v>1709</v>
      </c>
      <c r="F914" s="1" t="s">
        <v>1709</v>
      </c>
      <c r="H914" s="1" t="s">
        <v>1684</v>
      </c>
      <c r="I914" s="1" t="s">
        <v>1689</v>
      </c>
      <c r="J914" s="1" t="s">
        <v>1690</v>
      </c>
      <c r="K914" s="1" t="s">
        <v>1691</v>
      </c>
      <c r="L914" s="1" t="s">
        <v>1692</v>
      </c>
    </row>
    <row r="915" spans="1:12">
      <c r="A915" s="1" t="s">
        <v>1601</v>
      </c>
      <c r="B915" s="1" t="s">
        <v>1586</v>
      </c>
      <c r="C915" s="1" t="s">
        <v>1394</v>
      </c>
      <c r="D915" s="1" t="s">
        <v>218</v>
      </c>
      <c r="E915" s="92" t="s">
        <v>1822</v>
      </c>
      <c r="F915" s="92" t="s">
        <v>1822</v>
      </c>
      <c r="G915" s="92" t="s">
        <v>1765</v>
      </c>
      <c r="H915" s="1" t="s">
        <v>1684</v>
      </c>
      <c r="I915" s="1" t="s">
        <v>973</v>
      </c>
      <c r="J915" s="1" t="s">
        <v>1710</v>
      </c>
      <c r="K915" s="1" t="s">
        <v>1691</v>
      </c>
      <c r="L915" s="1" t="s">
        <v>1692</v>
      </c>
    </row>
    <row r="916" spans="1:12">
      <c r="A916" s="1" t="s">
        <v>1601</v>
      </c>
      <c r="B916" s="1" t="s">
        <v>1586</v>
      </c>
      <c r="C916" s="1" t="s">
        <v>1394</v>
      </c>
      <c r="D916" s="1" t="s">
        <v>1693</v>
      </c>
      <c r="E916" s="1" t="s">
        <v>1694</v>
      </c>
      <c r="F916" s="1" t="s">
        <v>1694</v>
      </c>
      <c r="H916" s="1" t="s">
        <v>1684</v>
      </c>
      <c r="I916" s="1" t="s">
        <v>973</v>
      </c>
      <c r="J916" s="1" t="s">
        <v>1710</v>
      </c>
      <c r="K916" s="1" t="s">
        <v>1691</v>
      </c>
      <c r="L916" s="1" t="s">
        <v>1692</v>
      </c>
    </row>
    <row r="917" spans="1:12">
      <c r="A917" s="1" t="s">
        <v>1601</v>
      </c>
      <c r="B917" s="1" t="s">
        <v>1586</v>
      </c>
      <c r="C917" s="1" t="s">
        <v>1394</v>
      </c>
      <c r="D917" s="1" t="s">
        <v>1695</v>
      </c>
      <c r="E917" s="1" t="s">
        <v>1694</v>
      </c>
      <c r="F917" s="1" t="s">
        <v>1694</v>
      </c>
      <c r="H917" s="1" t="s">
        <v>1684</v>
      </c>
      <c r="I917" s="1" t="s">
        <v>973</v>
      </c>
      <c r="J917" s="1" t="s">
        <v>1710</v>
      </c>
      <c r="K917" s="1" t="s">
        <v>1691</v>
      </c>
      <c r="L917" s="1" t="s">
        <v>1692</v>
      </c>
    </row>
    <row r="918" spans="1:12">
      <c r="A918" s="1" t="s">
        <v>1601</v>
      </c>
      <c r="B918" s="1" t="s">
        <v>1586</v>
      </c>
      <c r="C918" s="1" t="s">
        <v>1394</v>
      </c>
      <c r="D918" s="1" t="s">
        <v>1697</v>
      </c>
      <c r="E918" s="1" t="s">
        <v>1698</v>
      </c>
      <c r="F918" s="1" t="s">
        <v>1698</v>
      </c>
      <c r="H918" s="1" t="s">
        <v>1684</v>
      </c>
      <c r="I918" s="1" t="s">
        <v>973</v>
      </c>
      <c r="J918" s="1" t="s">
        <v>1710</v>
      </c>
      <c r="K918" s="1" t="s">
        <v>1691</v>
      </c>
      <c r="L918" s="1" t="s">
        <v>1692</v>
      </c>
    </row>
    <row r="919" spans="1:12">
      <c r="A919" s="1" t="s">
        <v>1601</v>
      </c>
      <c r="B919" s="1" t="s">
        <v>1586</v>
      </c>
      <c r="C919" s="1" t="s">
        <v>1394</v>
      </c>
      <c r="D919" s="1" t="s">
        <v>1699</v>
      </c>
      <c r="E919" s="92" t="s">
        <v>2037</v>
      </c>
      <c r="F919" s="92" t="s">
        <v>2038</v>
      </c>
      <c r="H919" s="1" t="s">
        <v>1684</v>
      </c>
      <c r="I919" s="1" t="s">
        <v>973</v>
      </c>
      <c r="J919" s="1" t="s">
        <v>1710</v>
      </c>
      <c r="K919" s="1" t="s">
        <v>1691</v>
      </c>
      <c r="L919" s="1" t="s">
        <v>1692</v>
      </c>
    </row>
    <row r="920" spans="1:12">
      <c r="A920" s="1" t="s">
        <v>1601</v>
      </c>
      <c r="B920" s="1" t="s">
        <v>1586</v>
      </c>
      <c r="C920" s="1" t="s">
        <v>1394</v>
      </c>
      <c r="D920" s="1" t="s">
        <v>1702</v>
      </c>
      <c r="E920" s="92" t="s">
        <v>2039</v>
      </c>
      <c r="F920" s="92" t="s">
        <v>2040</v>
      </c>
      <c r="H920" s="1" t="s">
        <v>1684</v>
      </c>
      <c r="I920" s="1" t="s">
        <v>973</v>
      </c>
      <c r="J920" s="1" t="s">
        <v>1710</v>
      </c>
      <c r="K920" s="1" t="s">
        <v>1691</v>
      </c>
      <c r="L920" s="1" t="s">
        <v>1692</v>
      </c>
    </row>
    <row r="921" spans="1:12">
      <c r="A921" s="1" t="s">
        <v>1601</v>
      </c>
      <c r="B921" s="1" t="s">
        <v>1586</v>
      </c>
      <c r="C921" s="1" t="s">
        <v>1394</v>
      </c>
      <c r="D921" s="1" t="s">
        <v>1705</v>
      </c>
      <c r="E921" s="92" t="s">
        <v>2041</v>
      </c>
      <c r="F921" s="92" t="s">
        <v>2042</v>
      </c>
      <c r="H921" s="1" t="s">
        <v>1684</v>
      </c>
      <c r="I921" s="1" t="s">
        <v>973</v>
      </c>
      <c r="J921" s="1" t="s">
        <v>1710</v>
      </c>
      <c r="K921" s="1" t="s">
        <v>1691</v>
      </c>
      <c r="L921" s="1" t="s">
        <v>1692</v>
      </c>
    </row>
    <row r="922" spans="1:12">
      <c r="A922" s="1" t="s">
        <v>1601</v>
      </c>
      <c r="B922" s="1" t="s">
        <v>1586</v>
      </c>
      <c r="C922" s="1" t="s">
        <v>1711</v>
      </c>
      <c r="D922" s="1" t="s">
        <v>1708</v>
      </c>
      <c r="E922" s="1" t="s">
        <v>1709</v>
      </c>
      <c r="F922" s="1" t="s">
        <v>1709</v>
      </c>
      <c r="H922" s="1" t="s">
        <v>1684</v>
      </c>
      <c r="I922" s="1" t="s">
        <v>1689</v>
      </c>
      <c r="J922" s="1" t="s">
        <v>1714</v>
      </c>
      <c r="K922" s="1" t="s">
        <v>1715</v>
      </c>
      <c r="L922" s="1" t="s">
        <v>1716</v>
      </c>
    </row>
    <row r="923" spans="1:12">
      <c r="A923" s="1" t="s">
        <v>1601</v>
      </c>
      <c r="B923" s="1" t="s">
        <v>1586</v>
      </c>
      <c r="C923" s="1" t="s">
        <v>1723</v>
      </c>
      <c r="D923" s="1" t="s">
        <v>218</v>
      </c>
      <c r="E923" s="92" t="s">
        <v>1822</v>
      </c>
      <c r="F923" s="92" t="s">
        <v>1822</v>
      </c>
      <c r="G923" s="92" t="s">
        <v>1822</v>
      </c>
      <c r="H923" s="1" t="s">
        <v>1684</v>
      </c>
      <c r="I923" s="1" t="s">
        <v>973</v>
      </c>
      <c r="J923" s="1" t="s">
        <v>1726</v>
      </c>
      <c r="K923" s="1" t="s">
        <v>1727</v>
      </c>
      <c r="L923" s="1" t="s">
        <v>1728</v>
      </c>
    </row>
    <row r="924" spans="1:12">
      <c r="A924" s="1" t="s">
        <v>1601</v>
      </c>
      <c r="B924" s="1" t="s">
        <v>1586</v>
      </c>
      <c r="C924" s="1" t="s">
        <v>1723</v>
      </c>
      <c r="D924" s="1" t="s">
        <v>1693</v>
      </c>
      <c r="E924" s="1" t="s">
        <v>1694</v>
      </c>
      <c r="F924" s="1" t="s">
        <v>1694</v>
      </c>
      <c r="H924" s="1" t="s">
        <v>1684</v>
      </c>
      <c r="I924" s="1" t="s">
        <v>973</v>
      </c>
      <c r="J924" s="1" t="s">
        <v>1726</v>
      </c>
      <c r="K924" s="1" t="s">
        <v>1727</v>
      </c>
      <c r="L924" s="1" t="s">
        <v>1728</v>
      </c>
    </row>
    <row r="925" spans="1:12">
      <c r="A925" s="1" t="s">
        <v>1601</v>
      </c>
      <c r="B925" s="1" t="s">
        <v>1586</v>
      </c>
      <c r="C925" s="1" t="s">
        <v>1723</v>
      </c>
      <c r="D925" s="1" t="s">
        <v>1695</v>
      </c>
      <c r="E925" s="1" t="s">
        <v>1694</v>
      </c>
      <c r="F925" s="1" t="s">
        <v>1694</v>
      </c>
      <c r="H925" s="1" t="s">
        <v>1684</v>
      </c>
      <c r="I925" s="1" t="s">
        <v>973</v>
      </c>
      <c r="J925" s="1" t="s">
        <v>1726</v>
      </c>
      <c r="K925" s="1" t="s">
        <v>1727</v>
      </c>
      <c r="L925" s="1" t="s">
        <v>1728</v>
      </c>
    </row>
    <row r="926" spans="1:12">
      <c r="A926" s="1" t="s">
        <v>1601</v>
      </c>
      <c r="B926" s="1" t="s">
        <v>1586</v>
      </c>
      <c r="C926" s="1" t="s">
        <v>1723</v>
      </c>
      <c r="D926" s="1" t="s">
        <v>1697</v>
      </c>
      <c r="E926" s="1" t="s">
        <v>1698</v>
      </c>
      <c r="F926" s="1" t="s">
        <v>1698</v>
      </c>
      <c r="H926" s="1" t="s">
        <v>1684</v>
      </c>
      <c r="I926" s="1" t="s">
        <v>973</v>
      </c>
      <c r="J926" s="1" t="s">
        <v>1726</v>
      </c>
      <c r="K926" s="1" t="s">
        <v>1727</v>
      </c>
      <c r="L926" s="1" t="s">
        <v>1728</v>
      </c>
    </row>
    <row r="927" spans="1:12">
      <c r="A927" s="1" t="s">
        <v>1601</v>
      </c>
      <c r="B927" s="1" t="s">
        <v>1586</v>
      </c>
      <c r="C927" s="1" t="s">
        <v>1729</v>
      </c>
      <c r="D927" s="1" t="s">
        <v>1708</v>
      </c>
      <c r="E927" s="1" t="s">
        <v>1730</v>
      </c>
      <c r="F927" s="1" t="s">
        <v>1709</v>
      </c>
      <c r="H927" s="1" t="s">
        <v>1684</v>
      </c>
      <c r="I927" s="1" t="s">
        <v>1731</v>
      </c>
      <c r="J927" s="1" t="s">
        <v>1732</v>
      </c>
      <c r="K927" s="1" t="s">
        <v>1733</v>
      </c>
      <c r="L927" s="1" t="s">
        <v>1734</v>
      </c>
    </row>
    <row r="928" spans="1:12">
      <c r="A928" s="1" t="s">
        <v>1602</v>
      </c>
      <c r="B928" s="1" t="s">
        <v>1603</v>
      </c>
      <c r="C928" s="1" t="s">
        <v>1680</v>
      </c>
      <c r="D928" s="1" t="s">
        <v>1681</v>
      </c>
      <c r="E928" s="92" t="s">
        <v>1682</v>
      </c>
      <c r="F928" s="92" t="s">
        <v>1683</v>
      </c>
      <c r="H928" s="1" t="s">
        <v>1684</v>
      </c>
    </row>
    <row r="929" spans="1:12">
      <c r="A929" s="1" t="s">
        <v>1602</v>
      </c>
      <c r="B929" s="1" t="s">
        <v>1603</v>
      </c>
      <c r="C929" s="1" t="s">
        <v>1680</v>
      </c>
      <c r="D929" s="1" t="s">
        <v>1685</v>
      </c>
      <c r="E929" s="1" t="s">
        <v>1526</v>
      </c>
      <c r="F929" s="1" t="s">
        <v>1526</v>
      </c>
      <c r="H929" s="1" t="s">
        <v>1684</v>
      </c>
    </row>
    <row r="930" spans="1:12">
      <c r="A930" s="1" t="s">
        <v>1602</v>
      </c>
      <c r="B930" s="1" t="s">
        <v>1603</v>
      </c>
      <c r="C930" s="1" t="s">
        <v>1686</v>
      </c>
      <c r="D930" s="1" t="s">
        <v>218</v>
      </c>
      <c r="E930" s="92" t="s">
        <v>2045</v>
      </c>
      <c r="F930" s="92" t="s">
        <v>2045</v>
      </c>
      <c r="G930" s="92" t="s">
        <v>1725</v>
      </c>
      <c r="H930" s="1" t="s">
        <v>1684</v>
      </c>
      <c r="I930" s="1" t="s">
        <v>1689</v>
      </c>
      <c r="J930" s="1" t="s">
        <v>1690</v>
      </c>
      <c r="K930" s="1" t="s">
        <v>1691</v>
      </c>
      <c r="L930" s="1" t="s">
        <v>1692</v>
      </c>
    </row>
    <row r="931" spans="1:12">
      <c r="A931" s="1" t="s">
        <v>1602</v>
      </c>
      <c r="B931" s="1" t="s">
        <v>1603</v>
      </c>
      <c r="C931" s="1" t="s">
        <v>1686</v>
      </c>
      <c r="D931" s="1" t="s">
        <v>1693</v>
      </c>
      <c r="E931" s="1" t="s">
        <v>1694</v>
      </c>
      <c r="F931" s="1" t="s">
        <v>1694</v>
      </c>
      <c r="H931" s="1" t="s">
        <v>1684</v>
      </c>
      <c r="I931" s="1" t="s">
        <v>1689</v>
      </c>
      <c r="J931" s="1" t="s">
        <v>1690</v>
      </c>
      <c r="K931" s="1" t="s">
        <v>1691</v>
      </c>
      <c r="L931" s="1" t="s">
        <v>1692</v>
      </c>
    </row>
    <row r="932" spans="1:12">
      <c r="A932" s="1" t="s">
        <v>1602</v>
      </c>
      <c r="B932" s="1" t="s">
        <v>1603</v>
      </c>
      <c r="C932" s="1" t="s">
        <v>1686</v>
      </c>
      <c r="D932" s="1" t="s">
        <v>1695</v>
      </c>
      <c r="E932" s="1" t="s">
        <v>1696</v>
      </c>
      <c r="F932" s="1" t="s">
        <v>1696</v>
      </c>
      <c r="H932" s="1" t="s">
        <v>1684</v>
      </c>
      <c r="I932" s="1" t="s">
        <v>1689</v>
      </c>
      <c r="J932" s="1" t="s">
        <v>1690</v>
      </c>
      <c r="K932" s="1" t="s">
        <v>1691</v>
      </c>
      <c r="L932" s="1" t="s">
        <v>1692</v>
      </c>
    </row>
    <row r="933" spans="1:12">
      <c r="A933" s="1" t="s">
        <v>1602</v>
      </c>
      <c r="B933" s="1" t="s">
        <v>1603</v>
      </c>
      <c r="C933" s="1" t="s">
        <v>1686</v>
      </c>
      <c r="D933" s="1" t="s">
        <v>1697</v>
      </c>
      <c r="E933" s="1" t="s">
        <v>1698</v>
      </c>
      <c r="F933" s="1" t="s">
        <v>1698</v>
      </c>
      <c r="H933" s="1" t="s">
        <v>1684</v>
      </c>
      <c r="I933" s="1" t="s">
        <v>1689</v>
      </c>
      <c r="J933" s="1" t="s">
        <v>1690</v>
      </c>
      <c r="K933" s="1" t="s">
        <v>1691</v>
      </c>
      <c r="L933" s="1" t="s">
        <v>1692</v>
      </c>
    </row>
    <row r="934" spans="1:12">
      <c r="A934" s="1" t="s">
        <v>1602</v>
      </c>
      <c r="B934" s="1" t="s">
        <v>1603</v>
      </c>
      <c r="C934" s="1" t="s">
        <v>1686</v>
      </c>
      <c r="D934" s="1" t="s">
        <v>1699</v>
      </c>
      <c r="E934" s="92" t="s">
        <v>1700</v>
      </c>
      <c r="F934" s="92" t="s">
        <v>1701</v>
      </c>
      <c r="H934" s="1" t="s">
        <v>1684</v>
      </c>
      <c r="I934" s="1" t="s">
        <v>1689</v>
      </c>
      <c r="J934" s="1" t="s">
        <v>1690</v>
      </c>
      <c r="K934" s="1" t="s">
        <v>1691</v>
      </c>
      <c r="L934" s="1" t="s">
        <v>1692</v>
      </c>
    </row>
    <row r="935" spans="1:12">
      <c r="A935" s="1" t="s">
        <v>1602</v>
      </c>
      <c r="B935" s="1" t="s">
        <v>1603</v>
      </c>
      <c r="C935" s="1" t="s">
        <v>1686</v>
      </c>
      <c r="D935" s="1" t="s">
        <v>1702</v>
      </c>
      <c r="E935" s="92" t="s">
        <v>1703</v>
      </c>
      <c r="F935" s="92" t="s">
        <v>1704</v>
      </c>
      <c r="H935" s="1" t="s">
        <v>1684</v>
      </c>
      <c r="I935" s="1" t="s">
        <v>1689</v>
      </c>
      <c r="J935" s="1" t="s">
        <v>1690</v>
      </c>
      <c r="K935" s="1" t="s">
        <v>1691</v>
      </c>
      <c r="L935" s="1" t="s">
        <v>1692</v>
      </c>
    </row>
    <row r="936" spans="1:12">
      <c r="A936" s="1" t="s">
        <v>1602</v>
      </c>
      <c r="B936" s="1" t="s">
        <v>1603</v>
      </c>
      <c r="C936" s="1" t="s">
        <v>1686</v>
      </c>
      <c r="D936" s="1" t="s">
        <v>1705</v>
      </c>
      <c r="E936" s="92" t="s">
        <v>1706</v>
      </c>
      <c r="F936" s="92" t="s">
        <v>1707</v>
      </c>
      <c r="H936" s="1" t="s">
        <v>1684</v>
      </c>
      <c r="I936" s="1" t="s">
        <v>1689</v>
      </c>
      <c r="J936" s="1" t="s">
        <v>1690</v>
      </c>
      <c r="K936" s="1" t="s">
        <v>1691</v>
      </c>
      <c r="L936" s="1" t="s">
        <v>1692</v>
      </c>
    </row>
    <row r="937" spans="1:12">
      <c r="A937" s="1" t="s">
        <v>1602</v>
      </c>
      <c r="B937" s="1" t="s">
        <v>1603</v>
      </c>
      <c r="C937" s="1" t="s">
        <v>1686</v>
      </c>
      <c r="D937" s="1" t="s">
        <v>1787</v>
      </c>
      <c r="E937" s="92" t="s">
        <v>2046</v>
      </c>
      <c r="F937" s="92" t="s">
        <v>2045</v>
      </c>
      <c r="G937" s="92" t="s">
        <v>2047</v>
      </c>
      <c r="H937" s="1" t="s">
        <v>1534</v>
      </c>
      <c r="I937" s="1" t="s">
        <v>1689</v>
      </c>
      <c r="J937" s="1" t="s">
        <v>1690</v>
      </c>
      <c r="K937" s="1" t="s">
        <v>1691</v>
      </c>
      <c r="L937" s="1" t="s">
        <v>1692</v>
      </c>
    </row>
    <row r="938" spans="1:12">
      <c r="A938" s="1" t="s">
        <v>1602</v>
      </c>
      <c r="B938" s="1" t="s">
        <v>1603</v>
      </c>
      <c r="C938" s="1" t="s">
        <v>1394</v>
      </c>
      <c r="D938" s="1" t="s">
        <v>1708</v>
      </c>
      <c r="E938" s="1" t="s">
        <v>1709</v>
      </c>
      <c r="F938" s="1" t="s">
        <v>1709</v>
      </c>
      <c r="H938" s="1" t="s">
        <v>1684</v>
      </c>
      <c r="I938" s="1" t="s">
        <v>973</v>
      </c>
      <c r="J938" s="1" t="s">
        <v>1710</v>
      </c>
      <c r="K938" s="1" t="s">
        <v>1691</v>
      </c>
      <c r="L938" s="1" t="s">
        <v>1692</v>
      </c>
    </row>
    <row r="939" spans="1:12">
      <c r="A939" s="1" t="s">
        <v>1602</v>
      </c>
      <c r="B939" s="1" t="s">
        <v>1603</v>
      </c>
      <c r="C939" s="1" t="s">
        <v>1711</v>
      </c>
      <c r="D939" s="1" t="s">
        <v>218</v>
      </c>
      <c r="E939" s="92" t="s">
        <v>2048</v>
      </c>
      <c r="F939" s="92" t="s">
        <v>2048</v>
      </c>
      <c r="G939" s="92" t="s">
        <v>1725</v>
      </c>
      <c r="H939" s="1" t="s">
        <v>1684</v>
      </c>
      <c r="I939" s="1" t="s">
        <v>1689</v>
      </c>
      <c r="J939" s="1" t="s">
        <v>1714</v>
      </c>
      <c r="K939" s="1" t="s">
        <v>1715</v>
      </c>
      <c r="L939" s="1" t="s">
        <v>1716</v>
      </c>
    </row>
    <row r="940" spans="1:12">
      <c r="A940" s="1" t="s">
        <v>1602</v>
      </c>
      <c r="B940" s="1" t="s">
        <v>1603</v>
      </c>
      <c r="C940" s="1" t="s">
        <v>1711</v>
      </c>
      <c r="D940" s="1" t="s">
        <v>1693</v>
      </c>
      <c r="E940" s="1" t="s">
        <v>1746</v>
      </c>
      <c r="F940" s="1" t="s">
        <v>1746</v>
      </c>
      <c r="H940" s="1" t="s">
        <v>1684</v>
      </c>
      <c r="I940" s="1" t="s">
        <v>1689</v>
      </c>
      <c r="J940" s="1" t="s">
        <v>1714</v>
      </c>
      <c r="K940" s="1" t="s">
        <v>1715</v>
      </c>
      <c r="L940" s="1" t="s">
        <v>1716</v>
      </c>
    </row>
    <row r="941" spans="1:12">
      <c r="A941" s="1" t="s">
        <v>1602</v>
      </c>
      <c r="B941" s="1" t="s">
        <v>1603</v>
      </c>
      <c r="C941" s="1" t="s">
        <v>1711</v>
      </c>
      <c r="D941" s="1" t="s">
        <v>1695</v>
      </c>
      <c r="E941" s="1" t="s">
        <v>1746</v>
      </c>
      <c r="F941" s="1" t="s">
        <v>1746</v>
      </c>
      <c r="H941" s="1" t="s">
        <v>1684</v>
      </c>
      <c r="I941" s="1" t="s">
        <v>1689</v>
      </c>
      <c r="J941" s="1" t="s">
        <v>1714</v>
      </c>
      <c r="K941" s="1" t="s">
        <v>1715</v>
      </c>
      <c r="L941" s="1" t="s">
        <v>1716</v>
      </c>
    </row>
    <row r="942" spans="1:12">
      <c r="A942" s="1" t="s">
        <v>1602</v>
      </c>
      <c r="B942" s="1" t="s">
        <v>1603</v>
      </c>
      <c r="C942" s="1" t="s">
        <v>1711</v>
      </c>
      <c r="D942" s="1" t="s">
        <v>1697</v>
      </c>
      <c r="E942" s="1" t="s">
        <v>1698</v>
      </c>
      <c r="F942" s="1" t="s">
        <v>1698</v>
      </c>
      <c r="H942" s="1" t="s">
        <v>1684</v>
      </c>
      <c r="I942" s="1" t="s">
        <v>1689</v>
      </c>
      <c r="J942" s="1" t="s">
        <v>1714</v>
      </c>
      <c r="K942" s="1" t="s">
        <v>1715</v>
      </c>
      <c r="L942" s="1" t="s">
        <v>1716</v>
      </c>
    </row>
    <row r="943" spans="1:12">
      <c r="A943" s="1" t="s">
        <v>1602</v>
      </c>
      <c r="B943" s="1" t="s">
        <v>1603</v>
      </c>
      <c r="C943" s="1" t="s">
        <v>1711</v>
      </c>
      <c r="D943" s="1" t="s">
        <v>1699</v>
      </c>
      <c r="E943" s="92" t="s">
        <v>1717</v>
      </c>
      <c r="F943" s="92" t="s">
        <v>1718</v>
      </c>
      <c r="H943" s="1" t="s">
        <v>1684</v>
      </c>
      <c r="I943" s="1" t="s">
        <v>1689</v>
      </c>
      <c r="J943" s="1" t="s">
        <v>1714</v>
      </c>
      <c r="K943" s="1" t="s">
        <v>1715</v>
      </c>
      <c r="L943" s="1" t="s">
        <v>1716</v>
      </c>
    </row>
    <row r="944" spans="1:12">
      <c r="A944" s="1" t="s">
        <v>1602</v>
      </c>
      <c r="B944" s="1" t="s">
        <v>1603</v>
      </c>
      <c r="C944" s="1" t="s">
        <v>1711</v>
      </c>
      <c r="D944" s="1" t="s">
        <v>1702</v>
      </c>
      <c r="E944" s="92" t="s">
        <v>1719</v>
      </c>
      <c r="F944" s="92" t="s">
        <v>1720</v>
      </c>
      <c r="H944" s="1" t="s">
        <v>1684</v>
      </c>
      <c r="I944" s="1" t="s">
        <v>1689</v>
      </c>
      <c r="J944" s="1" t="s">
        <v>1714</v>
      </c>
      <c r="K944" s="1" t="s">
        <v>1715</v>
      </c>
      <c r="L944" s="1" t="s">
        <v>1716</v>
      </c>
    </row>
    <row r="945" spans="1:12">
      <c r="A945" s="1" t="s">
        <v>1602</v>
      </c>
      <c r="B945" s="1" t="s">
        <v>1603</v>
      </c>
      <c r="C945" s="1" t="s">
        <v>1711</v>
      </c>
      <c r="D945" s="1" t="s">
        <v>1705</v>
      </c>
      <c r="E945" s="92" t="s">
        <v>1721</v>
      </c>
      <c r="F945" s="92" t="s">
        <v>1722</v>
      </c>
      <c r="H945" s="1" t="s">
        <v>1684</v>
      </c>
      <c r="I945" s="1" t="s">
        <v>1689</v>
      </c>
      <c r="J945" s="1" t="s">
        <v>1714</v>
      </c>
      <c r="K945" s="1" t="s">
        <v>1715</v>
      </c>
      <c r="L945" s="1" t="s">
        <v>1716</v>
      </c>
    </row>
    <row r="946" spans="1:12">
      <c r="A946" s="1" t="s">
        <v>1602</v>
      </c>
      <c r="B946" s="1" t="s">
        <v>1603</v>
      </c>
      <c r="C946" s="1" t="s">
        <v>1711</v>
      </c>
      <c r="D946" s="1" t="s">
        <v>1787</v>
      </c>
      <c r="E946" s="92" t="s">
        <v>2049</v>
      </c>
      <c r="F946" s="92" t="s">
        <v>2048</v>
      </c>
      <c r="G946" s="92" t="s">
        <v>2050</v>
      </c>
      <c r="H946" s="1" t="s">
        <v>1534</v>
      </c>
      <c r="I946" s="1" t="s">
        <v>1689</v>
      </c>
      <c r="J946" s="1" t="s">
        <v>1714</v>
      </c>
      <c r="K946" s="1" t="s">
        <v>1715</v>
      </c>
      <c r="L946" s="1" t="s">
        <v>1716</v>
      </c>
    </row>
    <row r="947" spans="1:12">
      <c r="A947" s="1" t="s">
        <v>1602</v>
      </c>
      <c r="B947" s="1" t="s">
        <v>1603</v>
      </c>
      <c r="C947" s="1" t="s">
        <v>1723</v>
      </c>
      <c r="D947" s="1" t="s">
        <v>218</v>
      </c>
      <c r="E947" s="92" t="s">
        <v>1724</v>
      </c>
      <c r="F947" s="92" t="s">
        <v>1724</v>
      </c>
      <c r="G947" s="92" t="s">
        <v>1725</v>
      </c>
      <c r="H947" s="1" t="s">
        <v>1684</v>
      </c>
      <c r="I947" s="1" t="s">
        <v>973</v>
      </c>
      <c r="J947" s="1" t="s">
        <v>1726</v>
      </c>
      <c r="K947" s="1" t="s">
        <v>1727</v>
      </c>
      <c r="L947" s="1" t="s">
        <v>1728</v>
      </c>
    </row>
    <row r="948" spans="1:12">
      <c r="A948" s="1" t="s">
        <v>1602</v>
      </c>
      <c r="B948" s="1" t="s">
        <v>1603</v>
      </c>
      <c r="C948" s="1" t="s">
        <v>1723</v>
      </c>
      <c r="D948" s="1" t="s">
        <v>1693</v>
      </c>
      <c r="E948" s="1" t="s">
        <v>1694</v>
      </c>
      <c r="F948" s="1" t="s">
        <v>1694</v>
      </c>
      <c r="H948" s="1" t="s">
        <v>1684</v>
      </c>
      <c r="I948" s="1" t="s">
        <v>973</v>
      </c>
      <c r="J948" s="1" t="s">
        <v>1726</v>
      </c>
      <c r="K948" s="1" t="s">
        <v>1727</v>
      </c>
      <c r="L948" s="1" t="s">
        <v>1728</v>
      </c>
    </row>
    <row r="949" spans="1:12">
      <c r="A949" s="1" t="s">
        <v>1602</v>
      </c>
      <c r="B949" s="1" t="s">
        <v>1603</v>
      </c>
      <c r="C949" s="1" t="s">
        <v>1723</v>
      </c>
      <c r="D949" s="1" t="s">
        <v>1695</v>
      </c>
      <c r="E949" s="1" t="s">
        <v>1694</v>
      </c>
      <c r="F949" s="1" t="s">
        <v>1694</v>
      </c>
      <c r="H949" s="1" t="s">
        <v>1684</v>
      </c>
      <c r="I949" s="1" t="s">
        <v>973</v>
      </c>
      <c r="J949" s="1" t="s">
        <v>1726</v>
      </c>
      <c r="K949" s="1" t="s">
        <v>1727</v>
      </c>
      <c r="L949" s="1" t="s">
        <v>1728</v>
      </c>
    </row>
    <row r="950" spans="1:12">
      <c r="A950" s="1" t="s">
        <v>1602</v>
      </c>
      <c r="B950" s="1" t="s">
        <v>1603</v>
      </c>
      <c r="C950" s="1" t="s">
        <v>1723</v>
      </c>
      <c r="D950" s="1" t="s">
        <v>1697</v>
      </c>
      <c r="E950" s="1" t="s">
        <v>1698</v>
      </c>
      <c r="F950" s="1" t="s">
        <v>1698</v>
      </c>
      <c r="H950" s="1" t="s">
        <v>1684</v>
      </c>
      <c r="I950" s="1" t="s">
        <v>973</v>
      </c>
      <c r="J950" s="1" t="s">
        <v>1726</v>
      </c>
      <c r="K950" s="1" t="s">
        <v>1727</v>
      </c>
      <c r="L950" s="1" t="s">
        <v>1728</v>
      </c>
    </row>
    <row r="951" spans="1:12">
      <c r="A951" s="1" t="s">
        <v>1602</v>
      </c>
      <c r="B951" s="1" t="s">
        <v>1603</v>
      </c>
      <c r="C951" s="1" t="s">
        <v>1729</v>
      </c>
      <c r="D951" s="1" t="s">
        <v>218</v>
      </c>
      <c r="E951" s="92" t="s">
        <v>1822</v>
      </c>
      <c r="F951" s="92" t="s">
        <v>1822</v>
      </c>
      <c r="G951" s="92" t="s">
        <v>1822</v>
      </c>
      <c r="H951" s="1" t="s">
        <v>1684</v>
      </c>
      <c r="I951" s="1" t="s">
        <v>1731</v>
      </c>
      <c r="J951" s="1" t="s">
        <v>1732</v>
      </c>
      <c r="K951" s="1" t="s">
        <v>1733</v>
      </c>
      <c r="L951" s="1" t="s">
        <v>1734</v>
      </c>
    </row>
    <row r="952" spans="1:12">
      <c r="A952" s="1" t="s">
        <v>1602</v>
      </c>
      <c r="B952" s="1" t="s">
        <v>1603</v>
      </c>
      <c r="C952" s="1" t="s">
        <v>1729</v>
      </c>
      <c r="D952" s="1" t="s">
        <v>1695</v>
      </c>
      <c r="E952" s="1" t="s">
        <v>1694</v>
      </c>
      <c r="F952" s="1" t="s">
        <v>1694</v>
      </c>
      <c r="H952" s="1" t="s">
        <v>1684</v>
      </c>
      <c r="I952" s="1" t="s">
        <v>1731</v>
      </c>
      <c r="J952" s="1" t="s">
        <v>1732</v>
      </c>
      <c r="K952" s="1" t="s">
        <v>1733</v>
      </c>
      <c r="L952" s="1" t="s">
        <v>1734</v>
      </c>
    </row>
    <row r="953" spans="1:12">
      <c r="A953" s="1" t="s">
        <v>1602</v>
      </c>
      <c r="B953" s="1" t="s">
        <v>1603</v>
      </c>
      <c r="C953" s="1" t="s">
        <v>1729</v>
      </c>
      <c r="D953" s="1" t="s">
        <v>1697</v>
      </c>
      <c r="E953" s="1" t="s">
        <v>1698</v>
      </c>
      <c r="F953" s="1" t="s">
        <v>1698</v>
      </c>
      <c r="H953" s="1" t="s">
        <v>1684</v>
      </c>
      <c r="I953" s="1" t="s">
        <v>1731</v>
      </c>
      <c r="J953" s="1" t="s">
        <v>1732</v>
      </c>
      <c r="K953" s="1" t="s">
        <v>1733</v>
      </c>
      <c r="L953" s="1" t="s">
        <v>1734</v>
      </c>
    </row>
    <row r="954" spans="1:12">
      <c r="A954" s="1" t="s">
        <v>1604</v>
      </c>
      <c r="B954" s="1" t="s">
        <v>1603</v>
      </c>
      <c r="C954" s="1" t="s">
        <v>1680</v>
      </c>
      <c r="D954" s="1" t="s">
        <v>1681</v>
      </c>
      <c r="E954" s="92" t="s">
        <v>1752</v>
      </c>
      <c r="F954" s="92" t="s">
        <v>1753</v>
      </c>
      <c r="H954" s="1" t="s">
        <v>1684</v>
      </c>
    </row>
    <row r="955" spans="1:12">
      <c r="A955" s="1" t="s">
        <v>1604</v>
      </c>
      <c r="B955" s="1" t="s">
        <v>1603</v>
      </c>
      <c r="C955" s="1" t="s">
        <v>1680</v>
      </c>
      <c r="D955" s="1" t="s">
        <v>1685</v>
      </c>
      <c r="E955" s="1" t="s">
        <v>1526</v>
      </c>
      <c r="F955" s="1" t="s">
        <v>1526</v>
      </c>
      <c r="H955" s="1" t="s">
        <v>1684</v>
      </c>
    </row>
    <row r="956" spans="1:12">
      <c r="A956" s="1" t="s">
        <v>1604</v>
      </c>
      <c r="B956" s="1" t="s">
        <v>1603</v>
      </c>
      <c r="C956" s="1" t="s">
        <v>1686</v>
      </c>
      <c r="D956" s="1" t="s">
        <v>218</v>
      </c>
      <c r="E956" s="92" t="s">
        <v>2080</v>
      </c>
      <c r="F956" s="92" t="s">
        <v>2080</v>
      </c>
      <c r="G956" s="92" t="s">
        <v>1755</v>
      </c>
      <c r="H956" s="1" t="s">
        <v>1684</v>
      </c>
      <c r="I956" s="1" t="s">
        <v>1689</v>
      </c>
      <c r="J956" s="1" t="s">
        <v>1690</v>
      </c>
      <c r="K956" s="1" t="s">
        <v>1691</v>
      </c>
      <c r="L956" s="1" t="s">
        <v>1692</v>
      </c>
    </row>
    <row r="957" spans="1:12">
      <c r="A957" s="1" t="s">
        <v>1604</v>
      </c>
      <c r="B957" s="1" t="s">
        <v>1603</v>
      </c>
      <c r="C957" s="1" t="s">
        <v>1686</v>
      </c>
      <c r="D957" s="1" t="s">
        <v>1693</v>
      </c>
      <c r="E957" s="1" t="s">
        <v>1694</v>
      </c>
      <c r="F957" s="1" t="s">
        <v>1694</v>
      </c>
      <c r="H957" s="1" t="s">
        <v>1684</v>
      </c>
      <c r="I957" s="1" t="s">
        <v>1689</v>
      </c>
      <c r="J957" s="1" t="s">
        <v>1690</v>
      </c>
      <c r="K957" s="1" t="s">
        <v>1691</v>
      </c>
      <c r="L957" s="1" t="s">
        <v>1692</v>
      </c>
    </row>
    <row r="958" spans="1:12">
      <c r="A958" s="1" t="s">
        <v>1604</v>
      </c>
      <c r="B958" s="1" t="s">
        <v>1603</v>
      </c>
      <c r="C958" s="1" t="s">
        <v>1686</v>
      </c>
      <c r="D958" s="1" t="s">
        <v>1695</v>
      </c>
      <c r="E958" s="1" t="s">
        <v>1696</v>
      </c>
      <c r="F958" s="1" t="s">
        <v>1696</v>
      </c>
      <c r="H958" s="1" t="s">
        <v>1684</v>
      </c>
      <c r="I958" s="1" t="s">
        <v>1689</v>
      </c>
      <c r="J958" s="1" t="s">
        <v>1690</v>
      </c>
      <c r="K958" s="1" t="s">
        <v>1691</v>
      </c>
      <c r="L958" s="1" t="s">
        <v>1692</v>
      </c>
    </row>
    <row r="959" spans="1:12">
      <c r="A959" s="1" t="s">
        <v>1604</v>
      </c>
      <c r="B959" s="1" t="s">
        <v>1603</v>
      </c>
      <c r="C959" s="1" t="s">
        <v>1686</v>
      </c>
      <c r="D959" s="1" t="s">
        <v>1697</v>
      </c>
      <c r="E959" s="1" t="s">
        <v>1698</v>
      </c>
      <c r="F959" s="1" t="s">
        <v>1698</v>
      </c>
      <c r="H959" s="1" t="s">
        <v>1684</v>
      </c>
      <c r="I959" s="1" t="s">
        <v>1689</v>
      </c>
      <c r="J959" s="1" t="s">
        <v>1690</v>
      </c>
      <c r="K959" s="1" t="s">
        <v>1691</v>
      </c>
      <c r="L959" s="1" t="s">
        <v>1692</v>
      </c>
    </row>
    <row r="960" spans="1:12">
      <c r="A960" s="1" t="s">
        <v>1604</v>
      </c>
      <c r="B960" s="1" t="s">
        <v>1603</v>
      </c>
      <c r="C960" s="1" t="s">
        <v>1686</v>
      </c>
      <c r="D960" s="1" t="s">
        <v>1699</v>
      </c>
      <c r="E960" s="92" t="s">
        <v>1758</v>
      </c>
      <c r="F960" s="92" t="s">
        <v>1759</v>
      </c>
      <c r="H960" s="1" t="s">
        <v>1684</v>
      </c>
      <c r="I960" s="1" t="s">
        <v>1689</v>
      </c>
      <c r="J960" s="1" t="s">
        <v>1690</v>
      </c>
      <c r="K960" s="1" t="s">
        <v>1691</v>
      </c>
      <c r="L960" s="1" t="s">
        <v>1692</v>
      </c>
    </row>
    <row r="961" spans="1:12">
      <c r="A961" s="1" t="s">
        <v>1604</v>
      </c>
      <c r="B961" s="1" t="s">
        <v>1603</v>
      </c>
      <c r="C961" s="1" t="s">
        <v>1686</v>
      </c>
      <c r="D961" s="1" t="s">
        <v>1702</v>
      </c>
      <c r="E961" s="92" t="s">
        <v>1760</v>
      </c>
      <c r="F961" s="92" t="s">
        <v>1761</v>
      </c>
      <c r="H961" s="1" t="s">
        <v>1684</v>
      </c>
      <c r="I961" s="1" t="s">
        <v>1689</v>
      </c>
      <c r="J961" s="1" t="s">
        <v>1690</v>
      </c>
      <c r="K961" s="1" t="s">
        <v>1691</v>
      </c>
      <c r="L961" s="1" t="s">
        <v>1692</v>
      </c>
    </row>
    <row r="962" spans="1:12">
      <c r="A962" s="1" t="s">
        <v>1604</v>
      </c>
      <c r="B962" s="1" t="s">
        <v>1603</v>
      </c>
      <c r="C962" s="1" t="s">
        <v>1686</v>
      </c>
      <c r="D962" s="1" t="s">
        <v>1705</v>
      </c>
      <c r="E962" s="92" t="s">
        <v>1762</v>
      </c>
      <c r="F962" s="92" t="s">
        <v>1763</v>
      </c>
      <c r="H962" s="1" t="s">
        <v>1684</v>
      </c>
      <c r="I962" s="1" t="s">
        <v>1689</v>
      </c>
      <c r="J962" s="1" t="s">
        <v>1690</v>
      </c>
      <c r="K962" s="1" t="s">
        <v>1691</v>
      </c>
      <c r="L962" s="1" t="s">
        <v>1692</v>
      </c>
    </row>
    <row r="963" spans="1:12">
      <c r="A963" s="1" t="s">
        <v>1604</v>
      </c>
      <c r="B963" s="1" t="s">
        <v>1603</v>
      </c>
      <c r="C963" s="1" t="s">
        <v>1394</v>
      </c>
      <c r="D963" s="1" t="s">
        <v>1708</v>
      </c>
      <c r="E963" s="1" t="s">
        <v>1709</v>
      </c>
      <c r="F963" s="1" t="s">
        <v>1709</v>
      </c>
      <c r="H963" s="1" t="s">
        <v>1684</v>
      </c>
      <c r="I963" s="1" t="s">
        <v>973</v>
      </c>
      <c r="J963" s="1" t="s">
        <v>1710</v>
      </c>
      <c r="K963" s="1" t="s">
        <v>1691</v>
      </c>
      <c r="L963" s="1" t="s">
        <v>1692</v>
      </c>
    </row>
    <row r="964" spans="1:12">
      <c r="A964" s="1" t="s">
        <v>1604</v>
      </c>
      <c r="B964" s="1" t="s">
        <v>1603</v>
      </c>
      <c r="C964" s="1" t="s">
        <v>1711</v>
      </c>
      <c r="D964" s="1" t="s">
        <v>218</v>
      </c>
      <c r="E964" s="92" t="s">
        <v>2081</v>
      </c>
      <c r="F964" s="92" t="s">
        <v>2081</v>
      </c>
      <c r="G964" s="92" t="s">
        <v>1765</v>
      </c>
      <c r="H964" s="1" t="s">
        <v>1684</v>
      </c>
      <c r="I964" s="1" t="s">
        <v>1689</v>
      </c>
      <c r="J964" s="1" t="s">
        <v>1714</v>
      </c>
      <c r="K964" s="1" t="s">
        <v>1715</v>
      </c>
      <c r="L964" s="1" t="s">
        <v>1716</v>
      </c>
    </row>
    <row r="965" spans="1:12">
      <c r="A965" s="1" t="s">
        <v>1604</v>
      </c>
      <c r="B965" s="1" t="s">
        <v>1603</v>
      </c>
      <c r="C965" s="1" t="s">
        <v>1711</v>
      </c>
      <c r="D965" s="1" t="s">
        <v>1693</v>
      </c>
      <c r="E965" s="1" t="s">
        <v>1745</v>
      </c>
      <c r="F965" s="1" t="s">
        <v>1745</v>
      </c>
      <c r="H965" s="1" t="s">
        <v>1684</v>
      </c>
      <c r="I965" s="1" t="s">
        <v>1689</v>
      </c>
      <c r="J965" s="1" t="s">
        <v>1714</v>
      </c>
      <c r="K965" s="1" t="s">
        <v>1715</v>
      </c>
      <c r="L965" s="1" t="s">
        <v>1716</v>
      </c>
    </row>
    <row r="966" spans="1:12">
      <c r="A966" s="1" t="s">
        <v>1604</v>
      </c>
      <c r="B966" s="1" t="s">
        <v>1603</v>
      </c>
      <c r="C966" s="1" t="s">
        <v>1711</v>
      </c>
      <c r="D966" s="1" t="s">
        <v>1695</v>
      </c>
      <c r="E966" s="1" t="s">
        <v>1746</v>
      </c>
      <c r="F966" s="1" t="s">
        <v>1746</v>
      </c>
      <c r="H966" s="1" t="s">
        <v>1684</v>
      </c>
      <c r="I966" s="1" t="s">
        <v>1689</v>
      </c>
      <c r="J966" s="1" t="s">
        <v>1714</v>
      </c>
      <c r="K966" s="1" t="s">
        <v>1715</v>
      </c>
      <c r="L966" s="1" t="s">
        <v>1716</v>
      </c>
    </row>
    <row r="967" spans="1:12">
      <c r="A967" s="1" t="s">
        <v>1604</v>
      </c>
      <c r="B967" s="1" t="s">
        <v>1603</v>
      </c>
      <c r="C967" s="1" t="s">
        <v>1711</v>
      </c>
      <c r="D967" s="1" t="s">
        <v>1697</v>
      </c>
      <c r="E967" s="1" t="s">
        <v>1698</v>
      </c>
      <c r="F967" s="1" t="s">
        <v>1698</v>
      </c>
      <c r="H967" s="1" t="s">
        <v>1684</v>
      </c>
      <c r="I967" s="1" t="s">
        <v>1689</v>
      </c>
      <c r="J967" s="1" t="s">
        <v>1714</v>
      </c>
      <c r="K967" s="1" t="s">
        <v>1715</v>
      </c>
      <c r="L967" s="1" t="s">
        <v>1716</v>
      </c>
    </row>
    <row r="968" spans="1:12">
      <c r="A968" s="1" t="s">
        <v>1604</v>
      </c>
      <c r="B968" s="1" t="s">
        <v>1603</v>
      </c>
      <c r="C968" s="1" t="s">
        <v>1711</v>
      </c>
      <c r="D968" s="1" t="s">
        <v>1699</v>
      </c>
      <c r="E968" s="92" t="s">
        <v>1717</v>
      </c>
      <c r="F968" s="92" t="s">
        <v>1718</v>
      </c>
      <c r="H968" s="1" t="s">
        <v>1684</v>
      </c>
      <c r="I968" s="1" t="s">
        <v>1689</v>
      </c>
      <c r="J968" s="1" t="s">
        <v>1714</v>
      </c>
      <c r="K968" s="1" t="s">
        <v>1715</v>
      </c>
      <c r="L968" s="1" t="s">
        <v>1716</v>
      </c>
    </row>
    <row r="969" spans="1:12">
      <c r="A969" s="1" t="s">
        <v>1604</v>
      </c>
      <c r="B969" s="1" t="s">
        <v>1603</v>
      </c>
      <c r="C969" s="1" t="s">
        <v>1711</v>
      </c>
      <c r="D969" s="1" t="s">
        <v>1702</v>
      </c>
      <c r="E969" s="92" t="s">
        <v>1767</v>
      </c>
      <c r="F969" s="92" t="s">
        <v>1768</v>
      </c>
      <c r="H969" s="1" t="s">
        <v>1684</v>
      </c>
      <c r="I969" s="1" t="s">
        <v>1689</v>
      </c>
      <c r="J969" s="1" t="s">
        <v>1714</v>
      </c>
      <c r="K969" s="1" t="s">
        <v>1715</v>
      </c>
      <c r="L969" s="1" t="s">
        <v>1716</v>
      </c>
    </row>
    <row r="970" spans="1:12">
      <c r="A970" s="1" t="s">
        <v>1604</v>
      </c>
      <c r="B970" s="1" t="s">
        <v>1603</v>
      </c>
      <c r="C970" s="1" t="s">
        <v>1711</v>
      </c>
      <c r="D970" s="1" t="s">
        <v>1705</v>
      </c>
      <c r="E970" s="92" t="s">
        <v>1769</v>
      </c>
      <c r="F970" s="92" t="s">
        <v>1770</v>
      </c>
      <c r="H970" s="1" t="s">
        <v>1684</v>
      </c>
      <c r="I970" s="1" t="s">
        <v>1689</v>
      </c>
      <c r="J970" s="1" t="s">
        <v>1714</v>
      </c>
      <c r="K970" s="1" t="s">
        <v>1715</v>
      </c>
      <c r="L970" s="1" t="s">
        <v>1716</v>
      </c>
    </row>
    <row r="971" spans="1:12">
      <c r="A971" s="1" t="s">
        <v>1604</v>
      </c>
      <c r="B971" s="1" t="s">
        <v>1603</v>
      </c>
      <c r="C971" s="1" t="s">
        <v>1723</v>
      </c>
      <c r="D971" s="1" t="s">
        <v>218</v>
      </c>
      <c r="E971" s="92" t="s">
        <v>1771</v>
      </c>
      <c r="F971" s="92" t="s">
        <v>1771</v>
      </c>
      <c r="G971" s="92" t="s">
        <v>1755</v>
      </c>
      <c r="H971" s="1" t="s">
        <v>1684</v>
      </c>
      <c r="I971" s="1" t="s">
        <v>973</v>
      </c>
      <c r="J971" s="1" t="s">
        <v>1726</v>
      </c>
      <c r="K971" s="1" t="s">
        <v>1727</v>
      </c>
      <c r="L971" s="1" t="s">
        <v>1728</v>
      </c>
    </row>
    <row r="972" spans="1:12">
      <c r="A972" s="1" t="s">
        <v>1604</v>
      </c>
      <c r="B972" s="1" t="s">
        <v>1603</v>
      </c>
      <c r="C972" s="1" t="s">
        <v>1723</v>
      </c>
      <c r="D972" s="1" t="s">
        <v>1693</v>
      </c>
      <c r="E972" s="1" t="s">
        <v>1694</v>
      </c>
      <c r="F972" s="1" t="s">
        <v>1694</v>
      </c>
      <c r="H972" s="1" t="s">
        <v>1684</v>
      </c>
      <c r="I972" s="1" t="s">
        <v>973</v>
      </c>
      <c r="J972" s="1" t="s">
        <v>1726</v>
      </c>
      <c r="K972" s="1" t="s">
        <v>1727</v>
      </c>
      <c r="L972" s="1" t="s">
        <v>1728</v>
      </c>
    </row>
    <row r="973" spans="1:12">
      <c r="A973" s="1" t="s">
        <v>1604</v>
      </c>
      <c r="B973" s="1" t="s">
        <v>1603</v>
      </c>
      <c r="C973" s="1" t="s">
        <v>1723</v>
      </c>
      <c r="D973" s="1" t="s">
        <v>1695</v>
      </c>
      <c r="E973" s="1" t="s">
        <v>1694</v>
      </c>
      <c r="F973" s="1" t="s">
        <v>1694</v>
      </c>
      <c r="H973" s="1" t="s">
        <v>1684</v>
      </c>
      <c r="I973" s="1" t="s">
        <v>973</v>
      </c>
      <c r="J973" s="1" t="s">
        <v>1726</v>
      </c>
      <c r="K973" s="1" t="s">
        <v>1727</v>
      </c>
      <c r="L973" s="1" t="s">
        <v>1728</v>
      </c>
    </row>
    <row r="974" spans="1:12">
      <c r="A974" s="1" t="s">
        <v>1604</v>
      </c>
      <c r="B974" s="1" t="s">
        <v>1603</v>
      </c>
      <c r="C974" s="1" t="s">
        <v>1723</v>
      </c>
      <c r="D974" s="1" t="s">
        <v>1697</v>
      </c>
      <c r="E974" s="1" t="s">
        <v>1698</v>
      </c>
      <c r="F974" s="1" t="s">
        <v>1698</v>
      </c>
      <c r="H974" s="1" t="s">
        <v>1684</v>
      </c>
      <c r="I974" s="1" t="s">
        <v>973</v>
      </c>
      <c r="J974" s="1" t="s">
        <v>1726</v>
      </c>
      <c r="K974" s="1" t="s">
        <v>1727</v>
      </c>
      <c r="L974" s="1" t="s">
        <v>1728</v>
      </c>
    </row>
    <row r="975" spans="1:12">
      <c r="A975" s="1" t="s">
        <v>1604</v>
      </c>
      <c r="B975" s="1" t="s">
        <v>1603</v>
      </c>
      <c r="C975" s="1" t="s">
        <v>1729</v>
      </c>
      <c r="D975" s="1" t="s">
        <v>218</v>
      </c>
      <c r="E975" s="92" t="s">
        <v>1985</v>
      </c>
      <c r="F975" s="92" t="s">
        <v>1985</v>
      </c>
      <c r="G975" s="92" t="s">
        <v>1822</v>
      </c>
      <c r="H975" s="1" t="s">
        <v>1684</v>
      </c>
      <c r="I975" s="1" t="s">
        <v>1731</v>
      </c>
      <c r="J975" s="1" t="s">
        <v>1732</v>
      </c>
      <c r="K975" s="1" t="s">
        <v>1733</v>
      </c>
      <c r="L975" s="1" t="s">
        <v>1734</v>
      </c>
    </row>
    <row r="976" spans="1:12">
      <c r="A976" s="1" t="s">
        <v>1604</v>
      </c>
      <c r="B976" s="1" t="s">
        <v>1603</v>
      </c>
      <c r="C976" s="1" t="s">
        <v>1729</v>
      </c>
      <c r="D976" s="1" t="s">
        <v>1695</v>
      </c>
      <c r="E976" s="1" t="s">
        <v>1122</v>
      </c>
      <c r="F976" s="1" t="s">
        <v>1122</v>
      </c>
      <c r="H976" s="1" t="s">
        <v>1684</v>
      </c>
      <c r="I976" s="1" t="s">
        <v>1731</v>
      </c>
      <c r="J976" s="1" t="s">
        <v>1732</v>
      </c>
      <c r="K976" s="1" t="s">
        <v>1733</v>
      </c>
      <c r="L976" s="1" t="s">
        <v>1734</v>
      </c>
    </row>
    <row r="977" spans="1:12">
      <c r="A977" s="1" t="s">
        <v>1604</v>
      </c>
      <c r="B977" s="1" t="s">
        <v>1603</v>
      </c>
      <c r="C977" s="1" t="s">
        <v>1729</v>
      </c>
      <c r="D977" s="1" t="s">
        <v>1697</v>
      </c>
      <c r="E977" s="1" t="s">
        <v>1698</v>
      </c>
      <c r="F977" s="1" t="s">
        <v>1698</v>
      </c>
      <c r="H977" s="1" t="s">
        <v>1684</v>
      </c>
      <c r="I977" s="1" t="s">
        <v>1731</v>
      </c>
      <c r="J977" s="1" t="s">
        <v>1732</v>
      </c>
      <c r="K977" s="1" t="s">
        <v>1733</v>
      </c>
      <c r="L977" s="1" t="s">
        <v>1734</v>
      </c>
    </row>
    <row r="978" spans="1:12">
      <c r="A978" s="1" t="s">
        <v>1606</v>
      </c>
      <c r="B978" s="1" t="s">
        <v>1603</v>
      </c>
      <c r="C978" s="1" t="s">
        <v>1680</v>
      </c>
      <c r="D978" s="1" t="s">
        <v>1681</v>
      </c>
      <c r="E978" s="92" t="s">
        <v>1772</v>
      </c>
      <c r="F978" s="92" t="s">
        <v>1773</v>
      </c>
      <c r="H978" s="1" t="s">
        <v>1684</v>
      </c>
    </row>
    <row r="979" spans="1:12">
      <c r="A979" s="1" t="s">
        <v>1606</v>
      </c>
      <c r="B979" s="1" t="s">
        <v>1603</v>
      </c>
      <c r="C979" s="1" t="s">
        <v>1680</v>
      </c>
      <c r="D979" s="1" t="s">
        <v>1685</v>
      </c>
      <c r="E979" s="1" t="s">
        <v>1526</v>
      </c>
      <c r="F979" s="1" t="s">
        <v>1526</v>
      </c>
      <c r="H979" s="1" t="s">
        <v>1684</v>
      </c>
    </row>
    <row r="980" spans="1:12">
      <c r="A980" s="1" t="s">
        <v>1606</v>
      </c>
      <c r="B980" s="1" t="s">
        <v>1603</v>
      </c>
      <c r="C980" s="1" t="s">
        <v>1686</v>
      </c>
      <c r="D980" s="1" t="s">
        <v>218</v>
      </c>
      <c r="E980" s="92" t="s">
        <v>2082</v>
      </c>
      <c r="F980" s="92" t="s">
        <v>2082</v>
      </c>
      <c r="G980" s="92" t="s">
        <v>1713</v>
      </c>
      <c r="H980" s="1" t="s">
        <v>1684</v>
      </c>
      <c r="I980" s="1" t="s">
        <v>1689</v>
      </c>
      <c r="J980" s="1" t="s">
        <v>1690</v>
      </c>
      <c r="K980" s="1" t="s">
        <v>1691</v>
      </c>
      <c r="L980" s="1" t="s">
        <v>1692</v>
      </c>
    </row>
    <row r="981" spans="1:12">
      <c r="A981" s="1" t="s">
        <v>1606</v>
      </c>
      <c r="B981" s="1" t="s">
        <v>1603</v>
      </c>
      <c r="C981" s="1" t="s">
        <v>1686</v>
      </c>
      <c r="D981" s="1" t="s">
        <v>1693</v>
      </c>
      <c r="E981" s="1" t="s">
        <v>1694</v>
      </c>
      <c r="F981" s="1" t="s">
        <v>1694</v>
      </c>
      <c r="H981" s="1" t="s">
        <v>1684</v>
      </c>
      <c r="I981" s="1" t="s">
        <v>1689</v>
      </c>
      <c r="J981" s="1" t="s">
        <v>1690</v>
      </c>
      <c r="K981" s="1" t="s">
        <v>1691</v>
      </c>
      <c r="L981" s="1" t="s">
        <v>1692</v>
      </c>
    </row>
    <row r="982" spans="1:12">
      <c r="A982" s="1" t="s">
        <v>1606</v>
      </c>
      <c r="B982" s="1" t="s">
        <v>1603</v>
      </c>
      <c r="C982" s="1" t="s">
        <v>1686</v>
      </c>
      <c r="D982" s="1" t="s">
        <v>1695</v>
      </c>
      <c r="E982" s="1" t="s">
        <v>1696</v>
      </c>
      <c r="F982" s="1" t="s">
        <v>1696</v>
      </c>
      <c r="H982" s="1" t="s">
        <v>1684</v>
      </c>
      <c r="I982" s="1" t="s">
        <v>1689</v>
      </c>
      <c r="J982" s="1" t="s">
        <v>1690</v>
      </c>
      <c r="K982" s="1" t="s">
        <v>1691</v>
      </c>
      <c r="L982" s="1" t="s">
        <v>1692</v>
      </c>
    </row>
    <row r="983" spans="1:12">
      <c r="A983" s="1" t="s">
        <v>1606</v>
      </c>
      <c r="B983" s="1" t="s">
        <v>1603</v>
      </c>
      <c r="C983" s="1" t="s">
        <v>1686</v>
      </c>
      <c r="D983" s="1" t="s">
        <v>1697</v>
      </c>
      <c r="E983" s="1" t="s">
        <v>1698</v>
      </c>
      <c r="F983" s="1" t="s">
        <v>1698</v>
      </c>
      <c r="H983" s="1" t="s">
        <v>1684</v>
      </c>
      <c r="I983" s="1" t="s">
        <v>1689</v>
      </c>
      <c r="J983" s="1" t="s">
        <v>1690</v>
      </c>
      <c r="K983" s="1" t="s">
        <v>1691</v>
      </c>
      <c r="L983" s="1" t="s">
        <v>1692</v>
      </c>
    </row>
    <row r="984" spans="1:12">
      <c r="A984" s="1" t="s">
        <v>1606</v>
      </c>
      <c r="B984" s="1" t="s">
        <v>1603</v>
      </c>
      <c r="C984" s="1" t="s">
        <v>1686</v>
      </c>
      <c r="D984" s="1" t="s">
        <v>1699</v>
      </c>
      <c r="E984" s="92" t="s">
        <v>1776</v>
      </c>
      <c r="F984" s="92" t="s">
        <v>1777</v>
      </c>
      <c r="H984" s="1" t="s">
        <v>1684</v>
      </c>
      <c r="I984" s="1" t="s">
        <v>1689</v>
      </c>
      <c r="J984" s="1" t="s">
        <v>1690</v>
      </c>
      <c r="K984" s="1" t="s">
        <v>1691</v>
      </c>
      <c r="L984" s="1" t="s">
        <v>1692</v>
      </c>
    </row>
    <row r="985" spans="1:12">
      <c r="A985" s="1" t="s">
        <v>1606</v>
      </c>
      <c r="B985" s="1" t="s">
        <v>1603</v>
      </c>
      <c r="C985" s="1" t="s">
        <v>1686</v>
      </c>
      <c r="D985" s="1" t="s">
        <v>1702</v>
      </c>
      <c r="E985" s="92" t="s">
        <v>1778</v>
      </c>
      <c r="F985" s="92" t="s">
        <v>1779</v>
      </c>
      <c r="H985" s="1" t="s">
        <v>1684</v>
      </c>
      <c r="I985" s="1" t="s">
        <v>1689</v>
      </c>
      <c r="J985" s="1" t="s">
        <v>1690</v>
      </c>
      <c r="K985" s="1" t="s">
        <v>1691</v>
      </c>
      <c r="L985" s="1" t="s">
        <v>1692</v>
      </c>
    </row>
    <row r="986" spans="1:12">
      <c r="A986" s="1" t="s">
        <v>1606</v>
      </c>
      <c r="B986" s="1" t="s">
        <v>1603</v>
      </c>
      <c r="C986" s="1" t="s">
        <v>1686</v>
      </c>
      <c r="D986" s="1" t="s">
        <v>1705</v>
      </c>
      <c r="E986" s="92" t="s">
        <v>1780</v>
      </c>
      <c r="F986" s="92" t="s">
        <v>1781</v>
      </c>
      <c r="H986" s="1" t="s">
        <v>1684</v>
      </c>
      <c r="I986" s="1" t="s">
        <v>1689</v>
      </c>
      <c r="J986" s="1" t="s">
        <v>1690</v>
      </c>
      <c r="K986" s="1" t="s">
        <v>1691</v>
      </c>
      <c r="L986" s="1" t="s">
        <v>1692</v>
      </c>
    </row>
    <row r="987" spans="1:12">
      <c r="A987" s="1" t="s">
        <v>1606</v>
      </c>
      <c r="B987" s="1" t="s">
        <v>1603</v>
      </c>
      <c r="C987" s="1" t="s">
        <v>1394</v>
      </c>
      <c r="D987" s="1" t="s">
        <v>1708</v>
      </c>
      <c r="E987" s="1" t="s">
        <v>1709</v>
      </c>
      <c r="F987" s="1" t="s">
        <v>1709</v>
      </c>
      <c r="H987" s="1" t="s">
        <v>1684</v>
      </c>
      <c r="I987" s="1" t="s">
        <v>973</v>
      </c>
      <c r="J987" s="1" t="s">
        <v>1710</v>
      </c>
      <c r="K987" s="1" t="s">
        <v>1691</v>
      </c>
      <c r="L987" s="1" t="s">
        <v>1692</v>
      </c>
    </row>
    <row r="988" spans="1:12">
      <c r="A988" s="1" t="s">
        <v>1606</v>
      </c>
      <c r="B988" s="1" t="s">
        <v>1603</v>
      </c>
      <c r="C988" s="1" t="s">
        <v>1711</v>
      </c>
      <c r="D988" s="1" t="s">
        <v>218</v>
      </c>
      <c r="E988" s="92" t="s">
        <v>2083</v>
      </c>
      <c r="F988" s="92" t="s">
        <v>2083</v>
      </c>
      <c r="G988" s="92" t="s">
        <v>1875</v>
      </c>
      <c r="H988" s="1" t="s">
        <v>1684</v>
      </c>
      <c r="I988" s="1" t="s">
        <v>1689</v>
      </c>
      <c r="J988" s="1" t="s">
        <v>1714</v>
      </c>
      <c r="K988" s="1" t="s">
        <v>1715</v>
      </c>
      <c r="L988" s="1" t="s">
        <v>1716</v>
      </c>
    </row>
    <row r="989" spans="1:12">
      <c r="A989" s="1" t="s">
        <v>1606</v>
      </c>
      <c r="B989" s="1" t="s">
        <v>1603</v>
      </c>
      <c r="C989" s="1" t="s">
        <v>1711</v>
      </c>
      <c r="D989" s="1" t="s">
        <v>1693</v>
      </c>
      <c r="E989" s="1" t="s">
        <v>1694</v>
      </c>
      <c r="F989" s="1" t="s">
        <v>1694</v>
      </c>
      <c r="H989" s="1" t="s">
        <v>1684</v>
      </c>
      <c r="I989" s="1" t="s">
        <v>1689</v>
      </c>
      <c r="J989" s="1" t="s">
        <v>1714</v>
      </c>
      <c r="K989" s="1" t="s">
        <v>1715</v>
      </c>
      <c r="L989" s="1" t="s">
        <v>1716</v>
      </c>
    </row>
    <row r="990" spans="1:12">
      <c r="A990" s="1" t="s">
        <v>1606</v>
      </c>
      <c r="B990" s="1" t="s">
        <v>1603</v>
      </c>
      <c r="C990" s="1" t="s">
        <v>1711</v>
      </c>
      <c r="D990" s="1" t="s">
        <v>1695</v>
      </c>
      <c r="E990" s="1" t="s">
        <v>1694</v>
      </c>
      <c r="F990" s="1" t="s">
        <v>1694</v>
      </c>
      <c r="H990" s="1" t="s">
        <v>1684</v>
      </c>
      <c r="I990" s="1" t="s">
        <v>1689</v>
      </c>
      <c r="J990" s="1" t="s">
        <v>1714</v>
      </c>
      <c r="K990" s="1" t="s">
        <v>1715</v>
      </c>
      <c r="L990" s="1" t="s">
        <v>1716</v>
      </c>
    </row>
    <row r="991" spans="1:12">
      <c r="A991" s="1" t="s">
        <v>1606</v>
      </c>
      <c r="B991" s="1" t="s">
        <v>1603</v>
      </c>
      <c r="C991" s="1" t="s">
        <v>1711</v>
      </c>
      <c r="D991" s="1" t="s">
        <v>1697</v>
      </c>
      <c r="E991" s="1" t="s">
        <v>1698</v>
      </c>
      <c r="F991" s="1" t="s">
        <v>1698</v>
      </c>
      <c r="H991" s="1" t="s">
        <v>1684</v>
      </c>
      <c r="I991" s="1" t="s">
        <v>1689</v>
      </c>
      <c r="J991" s="1" t="s">
        <v>1714</v>
      </c>
      <c r="K991" s="1" t="s">
        <v>1715</v>
      </c>
      <c r="L991" s="1" t="s">
        <v>1716</v>
      </c>
    </row>
    <row r="992" spans="1:12">
      <c r="A992" s="1" t="s">
        <v>1606</v>
      </c>
      <c r="B992" s="1" t="s">
        <v>1603</v>
      </c>
      <c r="C992" s="1" t="s">
        <v>1711</v>
      </c>
      <c r="D992" s="1" t="s">
        <v>1699</v>
      </c>
      <c r="E992" s="92" t="s">
        <v>1717</v>
      </c>
      <c r="F992" s="92" t="s">
        <v>1718</v>
      </c>
      <c r="H992" s="1" t="s">
        <v>1684</v>
      </c>
      <c r="I992" s="1" t="s">
        <v>1689</v>
      </c>
      <c r="J992" s="1" t="s">
        <v>1714</v>
      </c>
      <c r="K992" s="1" t="s">
        <v>1715</v>
      </c>
      <c r="L992" s="1" t="s">
        <v>1716</v>
      </c>
    </row>
    <row r="993" spans="1:12">
      <c r="A993" s="1" t="s">
        <v>1606</v>
      </c>
      <c r="B993" s="1" t="s">
        <v>1603</v>
      </c>
      <c r="C993" s="1" t="s">
        <v>1711</v>
      </c>
      <c r="D993" s="1" t="s">
        <v>1702</v>
      </c>
      <c r="E993" s="92" t="s">
        <v>1783</v>
      </c>
      <c r="F993" s="92" t="s">
        <v>1784</v>
      </c>
      <c r="H993" s="1" t="s">
        <v>1684</v>
      </c>
      <c r="I993" s="1" t="s">
        <v>1689</v>
      </c>
      <c r="J993" s="1" t="s">
        <v>1714</v>
      </c>
      <c r="K993" s="1" t="s">
        <v>1715</v>
      </c>
      <c r="L993" s="1" t="s">
        <v>1716</v>
      </c>
    </row>
    <row r="994" spans="1:12">
      <c r="A994" s="1" t="s">
        <v>1606</v>
      </c>
      <c r="B994" s="1" t="s">
        <v>1603</v>
      </c>
      <c r="C994" s="1" t="s">
        <v>1711</v>
      </c>
      <c r="D994" s="1" t="s">
        <v>1705</v>
      </c>
      <c r="E994" s="92" t="s">
        <v>1785</v>
      </c>
      <c r="F994" s="92" t="s">
        <v>1786</v>
      </c>
      <c r="H994" s="1" t="s">
        <v>1684</v>
      </c>
      <c r="I994" s="1" t="s">
        <v>1689</v>
      </c>
      <c r="J994" s="1" t="s">
        <v>1714</v>
      </c>
      <c r="K994" s="1" t="s">
        <v>1715</v>
      </c>
      <c r="L994" s="1" t="s">
        <v>1716</v>
      </c>
    </row>
    <row r="995" spans="1:12">
      <c r="A995" s="1" t="s">
        <v>1606</v>
      </c>
      <c r="B995" s="1" t="s">
        <v>1603</v>
      </c>
      <c r="C995" s="1" t="s">
        <v>1723</v>
      </c>
      <c r="D995" s="1" t="s">
        <v>218</v>
      </c>
      <c r="E995" s="92" t="s">
        <v>1790</v>
      </c>
      <c r="F995" s="92" t="s">
        <v>1790</v>
      </c>
      <c r="G995" s="92" t="s">
        <v>1791</v>
      </c>
      <c r="H995" s="1" t="s">
        <v>1684</v>
      </c>
      <c r="I995" s="1" t="s">
        <v>973</v>
      </c>
      <c r="J995" s="1" t="s">
        <v>1726</v>
      </c>
      <c r="K995" s="1" t="s">
        <v>1727</v>
      </c>
      <c r="L995" s="1" t="s">
        <v>1728</v>
      </c>
    </row>
    <row r="996" spans="1:12">
      <c r="A996" s="1" t="s">
        <v>1606</v>
      </c>
      <c r="B996" s="1" t="s">
        <v>1603</v>
      </c>
      <c r="C996" s="1" t="s">
        <v>1723</v>
      </c>
      <c r="D996" s="1" t="s">
        <v>1693</v>
      </c>
      <c r="E996" s="1" t="s">
        <v>1694</v>
      </c>
      <c r="F996" s="1" t="s">
        <v>1694</v>
      </c>
      <c r="H996" s="1" t="s">
        <v>1684</v>
      </c>
      <c r="I996" s="1" t="s">
        <v>973</v>
      </c>
      <c r="J996" s="1" t="s">
        <v>1726</v>
      </c>
      <c r="K996" s="1" t="s">
        <v>1727</v>
      </c>
      <c r="L996" s="1" t="s">
        <v>1728</v>
      </c>
    </row>
    <row r="997" spans="1:12">
      <c r="A997" s="1" t="s">
        <v>1606</v>
      </c>
      <c r="B997" s="1" t="s">
        <v>1603</v>
      </c>
      <c r="C997" s="1" t="s">
        <v>1723</v>
      </c>
      <c r="D997" s="1" t="s">
        <v>1695</v>
      </c>
      <c r="E997" s="1" t="s">
        <v>1694</v>
      </c>
      <c r="F997" s="1" t="s">
        <v>1694</v>
      </c>
      <c r="H997" s="1" t="s">
        <v>1684</v>
      </c>
      <c r="I997" s="1" t="s">
        <v>973</v>
      </c>
      <c r="J997" s="1" t="s">
        <v>1726</v>
      </c>
      <c r="K997" s="1" t="s">
        <v>1727</v>
      </c>
      <c r="L997" s="1" t="s">
        <v>1728</v>
      </c>
    </row>
    <row r="998" spans="1:12">
      <c r="A998" s="1" t="s">
        <v>1606</v>
      </c>
      <c r="B998" s="1" t="s">
        <v>1603</v>
      </c>
      <c r="C998" s="1" t="s">
        <v>1723</v>
      </c>
      <c r="D998" s="1" t="s">
        <v>1697</v>
      </c>
      <c r="E998" s="1" t="s">
        <v>1698</v>
      </c>
      <c r="F998" s="1" t="s">
        <v>1698</v>
      </c>
      <c r="H998" s="1" t="s">
        <v>1684</v>
      </c>
      <c r="I998" s="1" t="s">
        <v>973</v>
      </c>
      <c r="J998" s="1" t="s">
        <v>1726</v>
      </c>
      <c r="K998" s="1" t="s">
        <v>1727</v>
      </c>
      <c r="L998" s="1" t="s">
        <v>1728</v>
      </c>
    </row>
    <row r="999" spans="1:12">
      <c r="A999" s="1" t="s">
        <v>1606</v>
      </c>
      <c r="B999" s="1" t="s">
        <v>1603</v>
      </c>
      <c r="C999" s="1" t="s">
        <v>1729</v>
      </c>
      <c r="D999" s="1" t="s">
        <v>218</v>
      </c>
      <c r="E999" s="92" t="s">
        <v>2061</v>
      </c>
      <c r="F999" s="92" t="s">
        <v>2061</v>
      </c>
      <c r="G999" s="92" t="s">
        <v>1822</v>
      </c>
      <c r="H999" s="1" t="s">
        <v>1684</v>
      </c>
      <c r="I999" s="1" t="s">
        <v>1731</v>
      </c>
      <c r="J999" s="1" t="s">
        <v>1732</v>
      </c>
      <c r="K999" s="1" t="s">
        <v>1733</v>
      </c>
      <c r="L999" s="1" t="s">
        <v>1734</v>
      </c>
    </row>
    <row r="1000" spans="1:12">
      <c r="A1000" s="1" t="s">
        <v>1606</v>
      </c>
      <c r="B1000" s="1" t="s">
        <v>1603</v>
      </c>
      <c r="C1000" s="1" t="s">
        <v>1729</v>
      </c>
      <c r="D1000" s="1" t="s">
        <v>1695</v>
      </c>
      <c r="E1000" s="1" t="s">
        <v>2084</v>
      </c>
      <c r="F1000" s="1" t="s">
        <v>2084</v>
      </c>
      <c r="H1000" s="1" t="s">
        <v>1684</v>
      </c>
      <c r="I1000" s="1" t="s">
        <v>1731</v>
      </c>
      <c r="J1000" s="1" t="s">
        <v>1732</v>
      </c>
      <c r="K1000" s="1" t="s">
        <v>1733</v>
      </c>
      <c r="L1000" s="1" t="s">
        <v>1734</v>
      </c>
    </row>
    <row r="1001" spans="1:12">
      <c r="A1001" s="1" t="s">
        <v>1606</v>
      </c>
      <c r="B1001" s="1" t="s">
        <v>1603</v>
      </c>
      <c r="C1001" s="1" t="s">
        <v>1729</v>
      </c>
      <c r="D1001" s="1" t="s">
        <v>1697</v>
      </c>
      <c r="E1001" s="1" t="s">
        <v>1698</v>
      </c>
      <c r="F1001" s="1" t="s">
        <v>1698</v>
      </c>
      <c r="H1001" s="1" t="s">
        <v>1684</v>
      </c>
      <c r="I1001" s="1" t="s">
        <v>1731</v>
      </c>
      <c r="J1001" s="1" t="s">
        <v>1732</v>
      </c>
      <c r="K1001" s="1" t="s">
        <v>1733</v>
      </c>
      <c r="L1001" s="1" t="s">
        <v>1734</v>
      </c>
    </row>
    <row r="1002" spans="1:12">
      <c r="A1002" s="1" t="s">
        <v>1608</v>
      </c>
      <c r="B1002" s="1" t="s">
        <v>1603</v>
      </c>
      <c r="C1002" s="1" t="s">
        <v>1680</v>
      </c>
      <c r="D1002" s="1" t="s">
        <v>1681</v>
      </c>
      <c r="E1002" s="92" t="s">
        <v>1792</v>
      </c>
      <c r="F1002" s="92" t="s">
        <v>1793</v>
      </c>
      <c r="H1002" s="1" t="s">
        <v>1684</v>
      </c>
    </row>
    <row r="1003" spans="1:12">
      <c r="A1003" s="1" t="s">
        <v>1608</v>
      </c>
      <c r="B1003" s="1" t="s">
        <v>1603</v>
      </c>
      <c r="C1003" s="1" t="s">
        <v>1680</v>
      </c>
      <c r="D1003" s="1" t="s">
        <v>1685</v>
      </c>
      <c r="E1003" s="1" t="s">
        <v>1526</v>
      </c>
      <c r="F1003" s="1" t="s">
        <v>1526</v>
      </c>
      <c r="H1003" s="1" t="s">
        <v>1684</v>
      </c>
    </row>
    <row r="1004" spans="1:12">
      <c r="A1004" s="1" t="s">
        <v>1608</v>
      </c>
      <c r="B1004" s="1" t="s">
        <v>1603</v>
      </c>
      <c r="C1004" s="1" t="s">
        <v>1686</v>
      </c>
      <c r="D1004" s="1" t="s">
        <v>218</v>
      </c>
      <c r="E1004" s="92" t="s">
        <v>2085</v>
      </c>
      <c r="F1004" s="92" t="s">
        <v>2085</v>
      </c>
      <c r="G1004" s="92" t="s">
        <v>1765</v>
      </c>
      <c r="H1004" s="1" t="s">
        <v>1684</v>
      </c>
      <c r="I1004" s="1" t="s">
        <v>1689</v>
      </c>
      <c r="J1004" s="1" t="s">
        <v>1690</v>
      </c>
      <c r="K1004" s="1" t="s">
        <v>1691</v>
      </c>
      <c r="L1004" s="1" t="s">
        <v>1692</v>
      </c>
    </row>
    <row r="1005" spans="1:12">
      <c r="A1005" s="1" t="s">
        <v>1608</v>
      </c>
      <c r="B1005" s="1" t="s">
        <v>1603</v>
      </c>
      <c r="C1005" s="1" t="s">
        <v>1686</v>
      </c>
      <c r="D1005" s="1" t="s">
        <v>1693</v>
      </c>
      <c r="E1005" s="1" t="s">
        <v>1694</v>
      </c>
      <c r="F1005" s="1" t="s">
        <v>1694</v>
      </c>
      <c r="H1005" s="1" t="s">
        <v>1684</v>
      </c>
      <c r="I1005" s="1" t="s">
        <v>1689</v>
      </c>
      <c r="J1005" s="1" t="s">
        <v>1690</v>
      </c>
      <c r="K1005" s="1" t="s">
        <v>1691</v>
      </c>
      <c r="L1005" s="1" t="s">
        <v>1692</v>
      </c>
    </row>
    <row r="1006" spans="1:12">
      <c r="A1006" s="1" t="s">
        <v>1608</v>
      </c>
      <c r="B1006" s="1" t="s">
        <v>1603</v>
      </c>
      <c r="C1006" s="1" t="s">
        <v>1686</v>
      </c>
      <c r="D1006" s="1" t="s">
        <v>1695</v>
      </c>
      <c r="E1006" s="1" t="s">
        <v>1849</v>
      </c>
      <c r="F1006" s="1" t="s">
        <v>1849</v>
      </c>
      <c r="H1006" s="1" t="s">
        <v>1684</v>
      </c>
      <c r="I1006" s="1" t="s">
        <v>1689</v>
      </c>
      <c r="J1006" s="1" t="s">
        <v>1690</v>
      </c>
      <c r="K1006" s="1" t="s">
        <v>1691</v>
      </c>
      <c r="L1006" s="1" t="s">
        <v>1692</v>
      </c>
    </row>
    <row r="1007" spans="1:12">
      <c r="A1007" s="1" t="s">
        <v>1608</v>
      </c>
      <c r="B1007" s="1" t="s">
        <v>1603</v>
      </c>
      <c r="C1007" s="1" t="s">
        <v>1686</v>
      </c>
      <c r="D1007" s="1" t="s">
        <v>1697</v>
      </c>
      <c r="E1007" s="1" t="s">
        <v>1698</v>
      </c>
      <c r="F1007" s="1" t="s">
        <v>1698</v>
      </c>
      <c r="H1007" s="1" t="s">
        <v>1684</v>
      </c>
      <c r="I1007" s="1" t="s">
        <v>1689</v>
      </c>
      <c r="J1007" s="1" t="s">
        <v>1690</v>
      </c>
      <c r="K1007" s="1" t="s">
        <v>1691</v>
      </c>
      <c r="L1007" s="1" t="s">
        <v>1692</v>
      </c>
    </row>
    <row r="1008" spans="1:12">
      <c r="A1008" s="1" t="s">
        <v>1608</v>
      </c>
      <c r="B1008" s="1" t="s">
        <v>1603</v>
      </c>
      <c r="C1008" s="1" t="s">
        <v>1686</v>
      </c>
      <c r="D1008" s="1" t="s">
        <v>1699</v>
      </c>
      <c r="E1008" s="92" t="s">
        <v>1795</v>
      </c>
      <c r="F1008" s="92" t="s">
        <v>1796</v>
      </c>
      <c r="H1008" s="1" t="s">
        <v>1684</v>
      </c>
      <c r="I1008" s="1" t="s">
        <v>1689</v>
      </c>
      <c r="J1008" s="1" t="s">
        <v>1690</v>
      </c>
      <c r="K1008" s="1" t="s">
        <v>1691</v>
      </c>
      <c r="L1008" s="1" t="s">
        <v>1692</v>
      </c>
    </row>
    <row r="1009" spans="1:12">
      <c r="A1009" s="1" t="s">
        <v>1608</v>
      </c>
      <c r="B1009" s="1" t="s">
        <v>1603</v>
      </c>
      <c r="C1009" s="1" t="s">
        <v>1686</v>
      </c>
      <c r="D1009" s="1" t="s">
        <v>1702</v>
      </c>
      <c r="E1009" s="92" t="s">
        <v>1797</v>
      </c>
      <c r="F1009" s="92" t="s">
        <v>1798</v>
      </c>
      <c r="H1009" s="1" t="s">
        <v>1684</v>
      </c>
      <c r="I1009" s="1" t="s">
        <v>1689</v>
      </c>
      <c r="J1009" s="1" t="s">
        <v>1690</v>
      </c>
      <c r="K1009" s="1" t="s">
        <v>1691</v>
      </c>
      <c r="L1009" s="1" t="s">
        <v>1692</v>
      </c>
    </row>
    <row r="1010" spans="1:12">
      <c r="A1010" s="1" t="s">
        <v>1608</v>
      </c>
      <c r="B1010" s="1" t="s">
        <v>1603</v>
      </c>
      <c r="C1010" s="1" t="s">
        <v>1686</v>
      </c>
      <c r="D1010" s="1" t="s">
        <v>1705</v>
      </c>
      <c r="E1010" s="92" t="s">
        <v>1799</v>
      </c>
      <c r="F1010" s="92" t="s">
        <v>1800</v>
      </c>
      <c r="H1010" s="1" t="s">
        <v>1684</v>
      </c>
      <c r="I1010" s="1" t="s">
        <v>1689</v>
      </c>
      <c r="J1010" s="1" t="s">
        <v>1690</v>
      </c>
      <c r="K1010" s="1" t="s">
        <v>1691</v>
      </c>
      <c r="L1010" s="1" t="s">
        <v>1692</v>
      </c>
    </row>
    <row r="1011" spans="1:12">
      <c r="A1011" s="1" t="s">
        <v>1608</v>
      </c>
      <c r="B1011" s="1" t="s">
        <v>1603</v>
      </c>
      <c r="C1011" s="1" t="s">
        <v>1394</v>
      </c>
      <c r="D1011" s="1" t="s">
        <v>1708</v>
      </c>
      <c r="E1011" s="1" t="s">
        <v>1709</v>
      </c>
      <c r="F1011" s="1" t="s">
        <v>1709</v>
      </c>
      <c r="H1011" s="1" t="s">
        <v>1684</v>
      </c>
      <c r="I1011" s="1" t="s">
        <v>973</v>
      </c>
      <c r="J1011" s="1" t="s">
        <v>1710</v>
      </c>
      <c r="K1011" s="1" t="s">
        <v>1691</v>
      </c>
      <c r="L1011" s="1" t="s">
        <v>1692</v>
      </c>
    </row>
    <row r="1012" spans="1:12">
      <c r="A1012" s="1" t="s">
        <v>1608</v>
      </c>
      <c r="B1012" s="1" t="s">
        <v>1603</v>
      </c>
      <c r="C1012" s="1" t="s">
        <v>1711</v>
      </c>
      <c r="D1012" s="1" t="s">
        <v>218</v>
      </c>
      <c r="E1012" s="92" t="s">
        <v>2086</v>
      </c>
      <c r="F1012" s="92" t="s">
        <v>2086</v>
      </c>
      <c r="G1012" s="92" t="s">
        <v>1775</v>
      </c>
      <c r="H1012" s="1" t="s">
        <v>1684</v>
      </c>
      <c r="I1012" s="1" t="s">
        <v>1689</v>
      </c>
      <c r="J1012" s="1" t="s">
        <v>1714</v>
      </c>
      <c r="K1012" s="1" t="s">
        <v>1715</v>
      </c>
      <c r="L1012" s="1" t="s">
        <v>1716</v>
      </c>
    </row>
    <row r="1013" spans="1:12">
      <c r="A1013" s="1" t="s">
        <v>1608</v>
      </c>
      <c r="B1013" s="1" t="s">
        <v>1603</v>
      </c>
      <c r="C1013" s="1" t="s">
        <v>1711</v>
      </c>
      <c r="D1013" s="1" t="s">
        <v>1693</v>
      </c>
      <c r="E1013" s="1" t="s">
        <v>1766</v>
      </c>
      <c r="F1013" s="1" t="s">
        <v>1766</v>
      </c>
      <c r="H1013" s="1" t="s">
        <v>1684</v>
      </c>
      <c r="I1013" s="1" t="s">
        <v>1689</v>
      </c>
      <c r="J1013" s="1" t="s">
        <v>1714</v>
      </c>
      <c r="K1013" s="1" t="s">
        <v>1715</v>
      </c>
      <c r="L1013" s="1" t="s">
        <v>1716</v>
      </c>
    </row>
    <row r="1014" spans="1:12">
      <c r="A1014" s="1" t="s">
        <v>1608</v>
      </c>
      <c r="B1014" s="1" t="s">
        <v>1603</v>
      </c>
      <c r="C1014" s="1" t="s">
        <v>1711</v>
      </c>
      <c r="D1014" s="1" t="s">
        <v>1695</v>
      </c>
      <c r="E1014" s="1" t="s">
        <v>1757</v>
      </c>
      <c r="F1014" s="1" t="s">
        <v>1757</v>
      </c>
      <c r="H1014" s="1" t="s">
        <v>1684</v>
      </c>
      <c r="I1014" s="1" t="s">
        <v>1689</v>
      </c>
      <c r="J1014" s="1" t="s">
        <v>1714</v>
      </c>
      <c r="K1014" s="1" t="s">
        <v>1715</v>
      </c>
      <c r="L1014" s="1" t="s">
        <v>1716</v>
      </c>
    </row>
    <row r="1015" spans="1:12">
      <c r="A1015" s="1" t="s">
        <v>1608</v>
      </c>
      <c r="B1015" s="1" t="s">
        <v>1603</v>
      </c>
      <c r="C1015" s="1" t="s">
        <v>1711</v>
      </c>
      <c r="D1015" s="1" t="s">
        <v>1697</v>
      </c>
      <c r="E1015" s="1" t="s">
        <v>1698</v>
      </c>
      <c r="F1015" s="1" t="s">
        <v>1698</v>
      </c>
      <c r="H1015" s="1" t="s">
        <v>1684</v>
      </c>
      <c r="I1015" s="1" t="s">
        <v>1689</v>
      </c>
      <c r="J1015" s="1" t="s">
        <v>1714</v>
      </c>
      <c r="K1015" s="1" t="s">
        <v>1715</v>
      </c>
      <c r="L1015" s="1" t="s">
        <v>1716</v>
      </c>
    </row>
    <row r="1016" spans="1:12">
      <c r="A1016" s="1" t="s">
        <v>1608</v>
      </c>
      <c r="B1016" s="1" t="s">
        <v>1603</v>
      </c>
      <c r="C1016" s="1" t="s">
        <v>1711</v>
      </c>
      <c r="D1016" s="1" t="s">
        <v>1699</v>
      </c>
      <c r="E1016" s="92" t="s">
        <v>1717</v>
      </c>
      <c r="F1016" s="92" t="s">
        <v>1718</v>
      </c>
      <c r="H1016" s="1" t="s">
        <v>1684</v>
      </c>
      <c r="I1016" s="1" t="s">
        <v>1689</v>
      </c>
      <c r="J1016" s="1" t="s">
        <v>1714</v>
      </c>
      <c r="K1016" s="1" t="s">
        <v>1715</v>
      </c>
      <c r="L1016" s="1" t="s">
        <v>1716</v>
      </c>
    </row>
    <row r="1017" spans="1:12">
      <c r="A1017" s="1" t="s">
        <v>1608</v>
      </c>
      <c r="B1017" s="1" t="s">
        <v>1603</v>
      </c>
      <c r="C1017" s="1" t="s">
        <v>1711</v>
      </c>
      <c r="D1017" s="1" t="s">
        <v>1702</v>
      </c>
      <c r="E1017" s="92" t="s">
        <v>1803</v>
      </c>
      <c r="F1017" s="92" t="s">
        <v>1804</v>
      </c>
      <c r="H1017" s="1" t="s">
        <v>1684</v>
      </c>
      <c r="I1017" s="1" t="s">
        <v>1689</v>
      </c>
      <c r="J1017" s="1" t="s">
        <v>1714</v>
      </c>
      <c r="K1017" s="1" t="s">
        <v>1715</v>
      </c>
      <c r="L1017" s="1" t="s">
        <v>1716</v>
      </c>
    </row>
    <row r="1018" spans="1:12">
      <c r="A1018" s="1" t="s">
        <v>1608</v>
      </c>
      <c r="B1018" s="1" t="s">
        <v>1603</v>
      </c>
      <c r="C1018" s="1" t="s">
        <v>1711</v>
      </c>
      <c r="D1018" s="1" t="s">
        <v>1705</v>
      </c>
      <c r="E1018" s="92" t="s">
        <v>1805</v>
      </c>
      <c r="F1018" s="92" t="s">
        <v>1786</v>
      </c>
      <c r="H1018" s="1" t="s">
        <v>1684</v>
      </c>
      <c r="I1018" s="1" t="s">
        <v>1689</v>
      </c>
      <c r="J1018" s="1" t="s">
        <v>1714</v>
      </c>
      <c r="K1018" s="1" t="s">
        <v>1715</v>
      </c>
      <c r="L1018" s="1" t="s">
        <v>1716</v>
      </c>
    </row>
    <row r="1019" spans="1:12">
      <c r="A1019" s="1" t="s">
        <v>1608</v>
      </c>
      <c r="B1019" s="1" t="s">
        <v>1603</v>
      </c>
      <c r="C1019" s="1" t="s">
        <v>1723</v>
      </c>
      <c r="D1019" s="1" t="s">
        <v>218</v>
      </c>
      <c r="E1019" s="92" t="s">
        <v>1808</v>
      </c>
      <c r="F1019" s="92" t="s">
        <v>1808</v>
      </c>
      <c r="G1019" s="92" t="s">
        <v>1791</v>
      </c>
      <c r="H1019" s="1" t="s">
        <v>1684</v>
      </c>
      <c r="I1019" s="1" t="s">
        <v>973</v>
      </c>
      <c r="J1019" s="1" t="s">
        <v>1726</v>
      </c>
      <c r="K1019" s="1" t="s">
        <v>1727</v>
      </c>
      <c r="L1019" s="1" t="s">
        <v>1728</v>
      </c>
    </row>
    <row r="1020" spans="1:12">
      <c r="A1020" s="1" t="s">
        <v>1608</v>
      </c>
      <c r="B1020" s="1" t="s">
        <v>1603</v>
      </c>
      <c r="C1020" s="1" t="s">
        <v>1723</v>
      </c>
      <c r="D1020" s="1" t="s">
        <v>1693</v>
      </c>
      <c r="E1020" s="1" t="s">
        <v>1694</v>
      </c>
      <c r="F1020" s="1" t="s">
        <v>1694</v>
      </c>
      <c r="H1020" s="1" t="s">
        <v>1684</v>
      </c>
      <c r="I1020" s="1" t="s">
        <v>973</v>
      </c>
      <c r="J1020" s="1" t="s">
        <v>1726</v>
      </c>
      <c r="K1020" s="1" t="s">
        <v>1727</v>
      </c>
      <c r="L1020" s="1" t="s">
        <v>1728</v>
      </c>
    </row>
    <row r="1021" spans="1:12">
      <c r="A1021" s="1" t="s">
        <v>1608</v>
      </c>
      <c r="B1021" s="1" t="s">
        <v>1603</v>
      </c>
      <c r="C1021" s="1" t="s">
        <v>1723</v>
      </c>
      <c r="D1021" s="1" t="s">
        <v>1695</v>
      </c>
      <c r="E1021" s="1" t="s">
        <v>1694</v>
      </c>
      <c r="F1021" s="1" t="s">
        <v>1694</v>
      </c>
      <c r="H1021" s="1" t="s">
        <v>1684</v>
      </c>
      <c r="I1021" s="1" t="s">
        <v>973</v>
      </c>
      <c r="J1021" s="1" t="s">
        <v>1726</v>
      </c>
      <c r="K1021" s="1" t="s">
        <v>1727</v>
      </c>
      <c r="L1021" s="1" t="s">
        <v>1728</v>
      </c>
    </row>
    <row r="1022" spans="1:12">
      <c r="A1022" s="1" t="s">
        <v>1608</v>
      </c>
      <c r="B1022" s="1" t="s">
        <v>1603</v>
      </c>
      <c r="C1022" s="1" t="s">
        <v>1723</v>
      </c>
      <c r="D1022" s="1" t="s">
        <v>1697</v>
      </c>
      <c r="E1022" s="1" t="s">
        <v>1698</v>
      </c>
      <c r="F1022" s="1" t="s">
        <v>1698</v>
      </c>
      <c r="H1022" s="1" t="s">
        <v>1684</v>
      </c>
      <c r="I1022" s="1" t="s">
        <v>973</v>
      </c>
      <c r="J1022" s="1" t="s">
        <v>1726</v>
      </c>
      <c r="K1022" s="1" t="s">
        <v>1727</v>
      </c>
      <c r="L1022" s="1" t="s">
        <v>1728</v>
      </c>
    </row>
    <row r="1023" spans="1:12">
      <c r="A1023" s="1" t="s">
        <v>1608</v>
      </c>
      <c r="B1023" s="1" t="s">
        <v>1603</v>
      </c>
      <c r="C1023" s="1" t="s">
        <v>1729</v>
      </c>
      <c r="D1023" s="1" t="s">
        <v>218</v>
      </c>
      <c r="E1023" s="92" t="s">
        <v>1822</v>
      </c>
      <c r="F1023" s="92" t="s">
        <v>1822</v>
      </c>
      <c r="G1023" s="92" t="s">
        <v>1822</v>
      </c>
      <c r="H1023" s="1" t="s">
        <v>1684</v>
      </c>
      <c r="I1023" s="1" t="s">
        <v>1731</v>
      </c>
      <c r="J1023" s="1" t="s">
        <v>1732</v>
      </c>
      <c r="K1023" s="1" t="s">
        <v>1733</v>
      </c>
      <c r="L1023" s="1" t="s">
        <v>1734</v>
      </c>
    </row>
    <row r="1024" spans="1:12">
      <c r="A1024" s="1" t="s">
        <v>1608</v>
      </c>
      <c r="B1024" s="1" t="s">
        <v>1603</v>
      </c>
      <c r="C1024" s="1" t="s">
        <v>1729</v>
      </c>
      <c r="D1024" s="1" t="s">
        <v>1695</v>
      </c>
      <c r="E1024" s="1" t="s">
        <v>1694</v>
      </c>
      <c r="F1024" s="1" t="s">
        <v>1694</v>
      </c>
      <c r="H1024" s="1" t="s">
        <v>1684</v>
      </c>
      <c r="I1024" s="1" t="s">
        <v>1731</v>
      </c>
      <c r="J1024" s="1" t="s">
        <v>1732</v>
      </c>
      <c r="K1024" s="1" t="s">
        <v>1733</v>
      </c>
      <c r="L1024" s="1" t="s">
        <v>1734</v>
      </c>
    </row>
    <row r="1025" spans="1:12">
      <c r="A1025" s="1" t="s">
        <v>1608</v>
      </c>
      <c r="B1025" s="1" t="s">
        <v>1603</v>
      </c>
      <c r="C1025" s="1" t="s">
        <v>1729</v>
      </c>
      <c r="D1025" s="1" t="s">
        <v>1697</v>
      </c>
      <c r="E1025" s="1" t="s">
        <v>1698</v>
      </c>
      <c r="F1025" s="1" t="s">
        <v>1698</v>
      </c>
      <c r="H1025" s="1" t="s">
        <v>1684</v>
      </c>
      <c r="I1025" s="1" t="s">
        <v>1731</v>
      </c>
      <c r="J1025" s="1" t="s">
        <v>1732</v>
      </c>
      <c r="K1025" s="1" t="s">
        <v>1733</v>
      </c>
      <c r="L1025" s="1" t="s">
        <v>1734</v>
      </c>
    </row>
    <row r="1026" spans="1:12">
      <c r="A1026" s="1" t="s">
        <v>1610</v>
      </c>
      <c r="B1026" s="1" t="s">
        <v>1603</v>
      </c>
      <c r="C1026" s="1" t="s">
        <v>1680</v>
      </c>
      <c r="D1026" s="1" t="s">
        <v>1681</v>
      </c>
      <c r="E1026" s="92" t="s">
        <v>1927</v>
      </c>
      <c r="F1026" s="92" t="s">
        <v>1928</v>
      </c>
      <c r="H1026" s="1" t="s">
        <v>1684</v>
      </c>
    </row>
    <row r="1027" spans="1:12">
      <c r="A1027" s="1" t="s">
        <v>1610</v>
      </c>
      <c r="B1027" s="1" t="s">
        <v>1603</v>
      </c>
      <c r="C1027" s="1" t="s">
        <v>1680</v>
      </c>
      <c r="D1027" s="1" t="s">
        <v>1685</v>
      </c>
      <c r="E1027" s="1" t="s">
        <v>1526</v>
      </c>
      <c r="F1027" s="1" t="s">
        <v>1526</v>
      </c>
      <c r="H1027" s="1" t="s">
        <v>1684</v>
      </c>
    </row>
    <row r="1028" spans="1:12">
      <c r="A1028" s="1" t="s">
        <v>1610</v>
      </c>
      <c r="B1028" s="1" t="s">
        <v>1603</v>
      </c>
      <c r="C1028" s="1" t="s">
        <v>1686</v>
      </c>
      <c r="D1028" s="1" t="s">
        <v>218</v>
      </c>
      <c r="E1028" s="92" t="s">
        <v>2087</v>
      </c>
      <c r="F1028" s="92" t="s">
        <v>2087</v>
      </c>
      <c r="G1028" s="92" t="s">
        <v>1822</v>
      </c>
      <c r="H1028" s="1" t="s">
        <v>1684</v>
      </c>
      <c r="I1028" s="1" t="s">
        <v>1689</v>
      </c>
      <c r="J1028" s="1" t="s">
        <v>1690</v>
      </c>
      <c r="K1028" s="1" t="s">
        <v>1691</v>
      </c>
      <c r="L1028" s="1" t="s">
        <v>1692</v>
      </c>
    </row>
    <row r="1029" spans="1:12">
      <c r="A1029" s="1" t="s">
        <v>1610</v>
      </c>
      <c r="B1029" s="1" t="s">
        <v>1603</v>
      </c>
      <c r="C1029" s="1" t="s">
        <v>1686</v>
      </c>
      <c r="D1029" s="1" t="s">
        <v>1693</v>
      </c>
      <c r="E1029" s="1" t="s">
        <v>1756</v>
      </c>
      <c r="F1029" s="1" t="s">
        <v>1756</v>
      </c>
      <c r="H1029" s="1" t="s">
        <v>1684</v>
      </c>
      <c r="I1029" s="1" t="s">
        <v>1689</v>
      </c>
      <c r="J1029" s="1" t="s">
        <v>1690</v>
      </c>
      <c r="K1029" s="1" t="s">
        <v>1691</v>
      </c>
      <c r="L1029" s="1" t="s">
        <v>1692</v>
      </c>
    </row>
    <row r="1030" spans="1:12">
      <c r="A1030" s="1" t="s">
        <v>1610</v>
      </c>
      <c r="B1030" s="1" t="s">
        <v>1603</v>
      </c>
      <c r="C1030" s="1" t="s">
        <v>1686</v>
      </c>
      <c r="D1030" s="1" t="s">
        <v>1695</v>
      </c>
      <c r="E1030" s="1" t="s">
        <v>1757</v>
      </c>
      <c r="F1030" s="1" t="s">
        <v>1757</v>
      </c>
      <c r="H1030" s="1" t="s">
        <v>1684</v>
      </c>
      <c r="I1030" s="1" t="s">
        <v>1689</v>
      </c>
      <c r="J1030" s="1" t="s">
        <v>1690</v>
      </c>
      <c r="K1030" s="1" t="s">
        <v>1691</v>
      </c>
      <c r="L1030" s="1" t="s">
        <v>1692</v>
      </c>
    </row>
    <row r="1031" spans="1:12">
      <c r="A1031" s="1" t="s">
        <v>1610</v>
      </c>
      <c r="B1031" s="1" t="s">
        <v>1603</v>
      </c>
      <c r="C1031" s="1" t="s">
        <v>1686</v>
      </c>
      <c r="D1031" s="1" t="s">
        <v>1697</v>
      </c>
      <c r="E1031" s="1" t="s">
        <v>1698</v>
      </c>
      <c r="F1031" s="1" t="s">
        <v>1698</v>
      </c>
      <c r="H1031" s="1" t="s">
        <v>1684</v>
      </c>
      <c r="I1031" s="1" t="s">
        <v>1689</v>
      </c>
      <c r="J1031" s="1" t="s">
        <v>1690</v>
      </c>
      <c r="K1031" s="1" t="s">
        <v>1691</v>
      </c>
      <c r="L1031" s="1" t="s">
        <v>1692</v>
      </c>
    </row>
    <row r="1032" spans="1:12">
      <c r="A1032" s="1" t="s">
        <v>1610</v>
      </c>
      <c r="B1032" s="1" t="s">
        <v>1603</v>
      </c>
      <c r="C1032" s="1" t="s">
        <v>1686</v>
      </c>
      <c r="D1032" s="1" t="s">
        <v>1699</v>
      </c>
      <c r="E1032" s="92" t="s">
        <v>1930</v>
      </c>
      <c r="F1032" s="92" t="s">
        <v>1931</v>
      </c>
      <c r="H1032" s="1" t="s">
        <v>1684</v>
      </c>
      <c r="I1032" s="1" t="s">
        <v>1689</v>
      </c>
      <c r="J1032" s="1" t="s">
        <v>1690</v>
      </c>
      <c r="K1032" s="1" t="s">
        <v>1691</v>
      </c>
      <c r="L1032" s="1" t="s">
        <v>1692</v>
      </c>
    </row>
    <row r="1033" spans="1:12">
      <c r="A1033" s="1" t="s">
        <v>1610</v>
      </c>
      <c r="B1033" s="1" t="s">
        <v>1603</v>
      </c>
      <c r="C1033" s="1" t="s">
        <v>1686</v>
      </c>
      <c r="D1033" s="1" t="s">
        <v>1702</v>
      </c>
      <c r="E1033" s="92" t="s">
        <v>1932</v>
      </c>
      <c r="F1033" s="92" t="s">
        <v>1933</v>
      </c>
      <c r="H1033" s="1" t="s">
        <v>1684</v>
      </c>
      <c r="I1033" s="1" t="s">
        <v>1689</v>
      </c>
      <c r="J1033" s="1" t="s">
        <v>1690</v>
      </c>
      <c r="K1033" s="1" t="s">
        <v>1691</v>
      </c>
      <c r="L1033" s="1" t="s">
        <v>1692</v>
      </c>
    </row>
    <row r="1034" spans="1:12">
      <c r="A1034" s="1" t="s">
        <v>1610</v>
      </c>
      <c r="B1034" s="1" t="s">
        <v>1603</v>
      </c>
      <c r="C1034" s="1" t="s">
        <v>1686</v>
      </c>
      <c r="D1034" s="1" t="s">
        <v>1705</v>
      </c>
      <c r="E1034" s="92" t="s">
        <v>1934</v>
      </c>
      <c r="F1034" s="92" t="s">
        <v>1935</v>
      </c>
      <c r="H1034" s="1" t="s">
        <v>1684</v>
      </c>
      <c r="I1034" s="1" t="s">
        <v>1689</v>
      </c>
      <c r="J1034" s="1" t="s">
        <v>1690</v>
      </c>
      <c r="K1034" s="1" t="s">
        <v>1691</v>
      </c>
      <c r="L1034" s="1" t="s">
        <v>1692</v>
      </c>
    </row>
    <row r="1035" spans="1:12">
      <c r="A1035" s="1" t="s">
        <v>1610</v>
      </c>
      <c r="B1035" s="1" t="s">
        <v>1603</v>
      </c>
      <c r="C1035" s="1" t="s">
        <v>1394</v>
      </c>
      <c r="D1035" s="1" t="s">
        <v>1708</v>
      </c>
      <c r="E1035" s="1" t="s">
        <v>1709</v>
      </c>
      <c r="F1035" s="1" t="s">
        <v>1709</v>
      </c>
      <c r="H1035" s="1" t="s">
        <v>1684</v>
      </c>
      <c r="I1035" s="1" t="s">
        <v>973</v>
      </c>
      <c r="J1035" s="1" t="s">
        <v>1710</v>
      </c>
      <c r="K1035" s="1" t="s">
        <v>1691</v>
      </c>
      <c r="L1035" s="1" t="s">
        <v>1692</v>
      </c>
    </row>
    <row r="1036" spans="1:12">
      <c r="A1036" s="1" t="s">
        <v>1610</v>
      </c>
      <c r="B1036" s="1" t="s">
        <v>1603</v>
      </c>
      <c r="C1036" s="1" t="s">
        <v>1711</v>
      </c>
      <c r="D1036" s="1" t="s">
        <v>218</v>
      </c>
      <c r="E1036" s="92" t="s">
        <v>1611</v>
      </c>
      <c r="F1036" s="92" t="s">
        <v>1611</v>
      </c>
      <c r="G1036" s="92" t="s">
        <v>1822</v>
      </c>
      <c r="H1036" s="1" t="s">
        <v>1684</v>
      </c>
      <c r="I1036" s="1" t="s">
        <v>1689</v>
      </c>
      <c r="J1036" s="1" t="s">
        <v>1714</v>
      </c>
      <c r="K1036" s="1" t="s">
        <v>1715</v>
      </c>
      <c r="L1036" s="1" t="s">
        <v>1716</v>
      </c>
    </row>
    <row r="1037" spans="1:12">
      <c r="A1037" s="1" t="s">
        <v>1610</v>
      </c>
      <c r="B1037" s="1" t="s">
        <v>1603</v>
      </c>
      <c r="C1037" s="1" t="s">
        <v>1711</v>
      </c>
      <c r="D1037" s="1" t="s">
        <v>1693</v>
      </c>
      <c r="E1037" s="1" t="s">
        <v>1802</v>
      </c>
      <c r="F1037" s="1" t="s">
        <v>1802</v>
      </c>
      <c r="H1037" s="1" t="s">
        <v>1684</v>
      </c>
      <c r="I1037" s="1" t="s">
        <v>1689</v>
      </c>
      <c r="J1037" s="1" t="s">
        <v>1714</v>
      </c>
      <c r="K1037" s="1" t="s">
        <v>1715</v>
      </c>
      <c r="L1037" s="1" t="s">
        <v>1716</v>
      </c>
    </row>
    <row r="1038" spans="1:12">
      <c r="A1038" s="1" t="s">
        <v>1610</v>
      </c>
      <c r="B1038" s="1" t="s">
        <v>1603</v>
      </c>
      <c r="C1038" s="1" t="s">
        <v>1711</v>
      </c>
      <c r="D1038" s="1" t="s">
        <v>1695</v>
      </c>
      <c r="E1038" s="1" t="s">
        <v>1757</v>
      </c>
      <c r="F1038" s="1" t="s">
        <v>1757</v>
      </c>
      <c r="H1038" s="1" t="s">
        <v>1684</v>
      </c>
      <c r="I1038" s="1" t="s">
        <v>1689</v>
      </c>
      <c r="J1038" s="1" t="s">
        <v>1714</v>
      </c>
      <c r="K1038" s="1" t="s">
        <v>1715</v>
      </c>
      <c r="L1038" s="1" t="s">
        <v>1716</v>
      </c>
    </row>
    <row r="1039" spans="1:12">
      <c r="A1039" s="1" t="s">
        <v>1610</v>
      </c>
      <c r="B1039" s="1" t="s">
        <v>1603</v>
      </c>
      <c r="C1039" s="1" t="s">
        <v>1711</v>
      </c>
      <c r="D1039" s="1" t="s">
        <v>1697</v>
      </c>
      <c r="E1039" s="1" t="s">
        <v>1698</v>
      </c>
      <c r="F1039" s="1" t="s">
        <v>1698</v>
      </c>
      <c r="H1039" s="1" t="s">
        <v>1684</v>
      </c>
      <c r="I1039" s="1" t="s">
        <v>1689</v>
      </c>
      <c r="J1039" s="1" t="s">
        <v>1714</v>
      </c>
      <c r="K1039" s="1" t="s">
        <v>1715</v>
      </c>
      <c r="L1039" s="1" t="s">
        <v>1716</v>
      </c>
    </row>
    <row r="1040" spans="1:12">
      <c r="A1040" s="1" t="s">
        <v>1610</v>
      </c>
      <c r="B1040" s="1" t="s">
        <v>1603</v>
      </c>
      <c r="C1040" s="1" t="s">
        <v>1711</v>
      </c>
      <c r="D1040" s="1" t="s">
        <v>1699</v>
      </c>
      <c r="E1040" s="92" t="s">
        <v>1717</v>
      </c>
      <c r="F1040" s="92" t="s">
        <v>1718</v>
      </c>
      <c r="H1040" s="1" t="s">
        <v>1684</v>
      </c>
      <c r="I1040" s="1" t="s">
        <v>1689</v>
      </c>
      <c r="J1040" s="1" t="s">
        <v>1714</v>
      </c>
      <c r="K1040" s="1" t="s">
        <v>1715</v>
      </c>
      <c r="L1040" s="1" t="s">
        <v>1716</v>
      </c>
    </row>
    <row r="1041" spans="1:12">
      <c r="A1041" s="1" t="s">
        <v>1610</v>
      </c>
      <c r="B1041" s="1" t="s">
        <v>1603</v>
      </c>
      <c r="C1041" s="1" t="s">
        <v>1711</v>
      </c>
      <c r="D1041" s="1" t="s">
        <v>1702</v>
      </c>
      <c r="E1041" s="92" t="s">
        <v>2088</v>
      </c>
      <c r="F1041" s="92" t="s">
        <v>2089</v>
      </c>
      <c r="H1041" s="1" t="s">
        <v>1684</v>
      </c>
      <c r="I1041" s="1" t="s">
        <v>1689</v>
      </c>
      <c r="J1041" s="1" t="s">
        <v>1714</v>
      </c>
      <c r="K1041" s="1" t="s">
        <v>1715</v>
      </c>
      <c r="L1041" s="1" t="s">
        <v>1716</v>
      </c>
    </row>
    <row r="1042" spans="1:12">
      <c r="A1042" s="1" t="s">
        <v>1610</v>
      </c>
      <c r="B1042" s="1" t="s">
        <v>1603</v>
      </c>
      <c r="C1042" s="1" t="s">
        <v>1711</v>
      </c>
      <c r="D1042" s="1" t="s">
        <v>1705</v>
      </c>
      <c r="E1042" s="92" t="s">
        <v>2090</v>
      </c>
      <c r="F1042" s="92" t="s">
        <v>1980</v>
      </c>
      <c r="H1042" s="1" t="s">
        <v>1684</v>
      </c>
      <c r="I1042" s="1" t="s">
        <v>1689</v>
      </c>
      <c r="J1042" s="1" t="s">
        <v>1714</v>
      </c>
      <c r="K1042" s="1" t="s">
        <v>1715</v>
      </c>
      <c r="L1042" s="1" t="s">
        <v>1716</v>
      </c>
    </row>
    <row r="1043" spans="1:12">
      <c r="A1043" s="1" t="s">
        <v>1610</v>
      </c>
      <c r="B1043" s="1" t="s">
        <v>1603</v>
      </c>
      <c r="C1043" s="1" t="s">
        <v>1711</v>
      </c>
      <c r="D1043" s="1" t="s">
        <v>1787</v>
      </c>
      <c r="E1043" s="92" t="s">
        <v>2091</v>
      </c>
      <c r="F1043" s="92" t="s">
        <v>1611</v>
      </c>
      <c r="G1043" s="92" t="s">
        <v>2092</v>
      </c>
      <c r="H1043" s="1" t="s">
        <v>1534</v>
      </c>
      <c r="I1043" s="1" t="s">
        <v>1689</v>
      </c>
      <c r="J1043" s="1" t="s">
        <v>1714</v>
      </c>
      <c r="K1043" s="1" t="s">
        <v>1715</v>
      </c>
      <c r="L1043" s="1" t="s">
        <v>1716</v>
      </c>
    </row>
    <row r="1044" spans="1:12">
      <c r="A1044" s="1" t="s">
        <v>1610</v>
      </c>
      <c r="B1044" s="1" t="s">
        <v>1603</v>
      </c>
      <c r="C1044" s="1" t="s">
        <v>1723</v>
      </c>
      <c r="D1044" s="1" t="s">
        <v>218</v>
      </c>
      <c r="E1044" s="92" t="s">
        <v>2093</v>
      </c>
      <c r="F1044" s="92" t="s">
        <v>2093</v>
      </c>
      <c r="G1044" s="92" t="s">
        <v>1775</v>
      </c>
      <c r="H1044" s="1" t="s">
        <v>1684</v>
      </c>
      <c r="I1044" s="1" t="s">
        <v>973</v>
      </c>
      <c r="J1044" s="1" t="s">
        <v>1726</v>
      </c>
      <c r="K1044" s="1" t="s">
        <v>1727</v>
      </c>
      <c r="L1044" s="1" t="s">
        <v>1728</v>
      </c>
    </row>
    <row r="1045" spans="1:12">
      <c r="A1045" s="1" t="s">
        <v>1610</v>
      </c>
      <c r="B1045" s="1" t="s">
        <v>1603</v>
      </c>
      <c r="C1045" s="1" t="s">
        <v>1723</v>
      </c>
      <c r="D1045" s="1" t="s">
        <v>1693</v>
      </c>
      <c r="E1045" s="1" t="s">
        <v>1694</v>
      </c>
      <c r="F1045" s="1" t="s">
        <v>1694</v>
      </c>
      <c r="H1045" s="1" t="s">
        <v>1684</v>
      </c>
      <c r="I1045" s="1" t="s">
        <v>973</v>
      </c>
      <c r="J1045" s="1" t="s">
        <v>1726</v>
      </c>
      <c r="K1045" s="1" t="s">
        <v>1727</v>
      </c>
      <c r="L1045" s="1" t="s">
        <v>1728</v>
      </c>
    </row>
    <row r="1046" spans="1:12">
      <c r="A1046" s="1" t="s">
        <v>1610</v>
      </c>
      <c r="B1046" s="1" t="s">
        <v>1603</v>
      </c>
      <c r="C1046" s="1" t="s">
        <v>1723</v>
      </c>
      <c r="D1046" s="1" t="s">
        <v>1695</v>
      </c>
      <c r="E1046" s="1" t="s">
        <v>1694</v>
      </c>
      <c r="F1046" s="1" t="s">
        <v>1694</v>
      </c>
      <c r="H1046" s="1" t="s">
        <v>1684</v>
      </c>
      <c r="I1046" s="1" t="s">
        <v>973</v>
      </c>
      <c r="J1046" s="1" t="s">
        <v>1726</v>
      </c>
      <c r="K1046" s="1" t="s">
        <v>1727</v>
      </c>
      <c r="L1046" s="1" t="s">
        <v>1728</v>
      </c>
    </row>
    <row r="1047" spans="1:12">
      <c r="A1047" s="1" t="s">
        <v>1610</v>
      </c>
      <c r="B1047" s="1" t="s">
        <v>1603</v>
      </c>
      <c r="C1047" s="1" t="s">
        <v>1723</v>
      </c>
      <c r="D1047" s="1" t="s">
        <v>1697</v>
      </c>
      <c r="E1047" s="1" t="s">
        <v>1698</v>
      </c>
      <c r="F1047" s="1" t="s">
        <v>1698</v>
      </c>
      <c r="H1047" s="1" t="s">
        <v>1684</v>
      </c>
      <c r="I1047" s="1" t="s">
        <v>973</v>
      </c>
      <c r="J1047" s="1" t="s">
        <v>1726</v>
      </c>
      <c r="K1047" s="1" t="s">
        <v>1727</v>
      </c>
      <c r="L1047" s="1" t="s">
        <v>1728</v>
      </c>
    </row>
    <row r="1048" spans="1:12">
      <c r="A1048" s="1" t="s">
        <v>1610</v>
      </c>
      <c r="B1048" s="1" t="s">
        <v>1603</v>
      </c>
      <c r="C1048" s="1" t="s">
        <v>1729</v>
      </c>
      <c r="D1048" s="1" t="s">
        <v>218</v>
      </c>
      <c r="E1048" s="92" t="s">
        <v>1822</v>
      </c>
      <c r="F1048" s="92" t="s">
        <v>1822</v>
      </c>
      <c r="G1048" s="92" t="s">
        <v>1822</v>
      </c>
      <c r="H1048" s="1" t="s">
        <v>1684</v>
      </c>
      <c r="I1048" s="1" t="s">
        <v>1731</v>
      </c>
      <c r="J1048" s="1" t="s">
        <v>1732</v>
      </c>
      <c r="K1048" s="1" t="s">
        <v>1733</v>
      </c>
      <c r="L1048" s="1" t="s">
        <v>1734</v>
      </c>
    </row>
    <row r="1049" spans="1:12">
      <c r="A1049" s="1" t="s">
        <v>1610</v>
      </c>
      <c r="B1049" s="1" t="s">
        <v>1603</v>
      </c>
      <c r="C1049" s="1" t="s">
        <v>1729</v>
      </c>
      <c r="D1049" s="1" t="s">
        <v>1695</v>
      </c>
      <c r="E1049" s="1" t="s">
        <v>1694</v>
      </c>
      <c r="F1049" s="1" t="s">
        <v>1694</v>
      </c>
      <c r="H1049" s="1" t="s">
        <v>1684</v>
      </c>
      <c r="I1049" s="1" t="s">
        <v>1731</v>
      </c>
      <c r="J1049" s="1" t="s">
        <v>1732</v>
      </c>
      <c r="K1049" s="1" t="s">
        <v>1733</v>
      </c>
      <c r="L1049" s="1" t="s">
        <v>1734</v>
      </c>
    </row>
    <row r="1050" spans="1:12">
      <c r="A1050" s="1" t="s">
        <v>1610</v>
      </c>
      <c r="B1050" s="1" t="s">
        <v>1603</v>
      </c>
      <c r="C1050" s="1" t="s">
        <v>1729</v>
      </c>
      <c r="D1050" s="1" t="s">
        <v>1697</v>
      </c>
      <c r="E1050" s="1" t="s">
        <v>1698</v>
      </c>
      <c r="F1050" s="1" t="s">
        <v>1698</v>
      </c>
      <c r="H1050" s="1" t="s">
        <v>1684</v>
      </c>
      <c r="I1050" s="1" t="s">
        <v>1731</v>
      </c>
      <c r="J1050" s="1" t="s">
        <v>1732</v>
      </c>
      <c r="K1050" s="1" t="s">
        <v>1733</v>
      </c>
      <c r="L1050" s="1" t="s">
        <v>1734</v>
      </c>
    </row>
    <row r="1051" spans="1:12">
      <c r="A1051" s="1" t="s">
        <v>1612</v>
      </c>
      <c r="B1051" s="1" t="s">
        <v>1603</v>
      </c>
      <c r="C1051" s="1" t="s">
        <v>1680</v>
      </c>
      <c r="D1051" s="1" t="s">
        <v>1681</v>
      </c>
      <c r="E1051" s="92" t="s">
        <v>1682</v>
      </c>
      <c r="F1051" s="92" t="s">
        <v>1683</v>
      </c>
      <c r="H1051" s="1" t="s">
        <v>1684</v>
      </c>
    </row>
    <row r="1052" spans="1:12">
      <c r="A1052" s="1" t="s">
        <v>1612</v>
      </c>
      <c r="B1052" s="1" t="s">
        <v>1603</v>
      </c>
      <c r="C1052" s="1" t="s">
        <v>1680</v>
      </c>
      <c r="D1052" s="1" t="s">
        <v>1685</v>
      </c>
      <c r="E1052" s="1" t="s">
        <v>1526</v>
      </c>
      <c r="F1052" s="1" t="s">
        <v>1526</v>
      </c>
      <c r="H1052" s="1" t="s">
        <v>1684</v>
      </c>
    </row>
    <row r="1053" spans="1:12">
      <c r="A1053" s="1" t="s">
        <v>1612</v>
      </c>
      <c r="B1053" s="1" t="s">
        <v>1603</v>
      </c>
      <c r="C1053" s="1" t="s">
        <v>1686</v>
      </c>
      <c r="D1053" s="1" t="s">
        <v>218</v>
      </c>
      <c r="E1053" s="92" t="s">
        <v>2063</v>
      </c>
      <c r="F1053" s="92" t="s">
        <v>2063</v>
      </c>
      <c r="G1053" s="92" t="s">
        <v>1713</v>
      </c>
      <c r="H1053" s="1" t="s">
        <v>1684</v>
      </c>
      <c r="I1053" s="1" t="s">
        <v>1689</v>
      </c>
      <c r="J1053" s="1" t="s">
        <v>1690</v>
      </c>
      <c r="K1053" s="1" t="s">
        <v>1691</v>
      </c>
      <c r="L1053" s="1" t="s">
        <v>1692</v>
      </c>
    </row>
    <row r="1054" spans="1:12">
      <c r="A1054" s="1" t="s">
        <v>1612</v>
      </c>
      <c r="B1054" s="1" t="s">
        <v>1603</v>
      </c>
      <c r="C1054" s="1" t="s">
        <v>1686</v>
      </c>
      <c r="D1054" s="1" t="s">
        <v>1693</v>
      </c>
      <c r="E1054" s="1" t="s">
        <v>1694</v>
      </c>
      <c r="F1054" s="1" t="s">
        <v>1694</v>
      </c>
      <c r="H1054" s="1" t="s">
        <v>1684</v>
      </c>
      <c r="I1054" s="1" t="s">
        <v>1689</v>
      </c>
      <c r="J1054" s="1" t="s">
        <v>1690</v>
      </c>
      <c r="K1054" s="1" t="s">
        <v>1691</v>
      </c>
      <c r="L1054" s="1" t="s">
        <v>1692</v>
      </c>
    </row>
    <row r="1055" spans="1:12">
      <c r="A1055" s="1" t="s">
        <v>1612</v>
      </c>
      <c r="B1055" s="1" t="s">
        <v>1603</v>
      </c>
      <c r="C1055" s="1" t="s">
        <v>1686</v>
      </c>
      <c r="D1055" s="1" t="s">
        <v>1695</v>
      </c>
      <c r="E1055" s="1" t="s">
        <v>1696</v>
      </c>
      <c r="F1055" s="1" t="s">
        <v>1696</v>
      </c>
      <c r="H1055" s="1" t="s">
        <v>1684</v>
      </c>
      <c r="I1055" s="1" t="s">
        <v>1689</v>
      </c>
      <c r="J1055" s="1" t="s">
        <v>1690</v>
      </c>
      <c r="K1055" s="1" t="s">
        <v>1691</v>
      </c>
      <c r="L1055" s="1" t="s">
        <v>1692</v>
      </c>
    </row>
    <row r="1056" spans="1:12">
      <c r="A1056" s="1" t="s">
        <v>1612</v>
      </c>
      <c r="B1056" s="1" t="s">
        <v>1603</v>
      </c>
      <c r="C1056" s="1" t="s">
        <v>1686</v>
      </c>
      <c r="D1056" s="1" t="s">
        <v>1697</v>
      </c>
      <c r="E1056" s="1" t="s">
        <v>1698</v>
      </c>
      <c r="F1056" s="1" t="s">
        <v>1698</v>
      </c>
      <c r="H1056" s="1" t="s">
        <v>1684</v>
      </c>
      <c r="I1056" s="1" t="s">
        <v>1689</v>
      </c>
      <c r="J1056" s="1" t="s">
        <v>1690</v>
      </c>
      <c r="K1056" s="1" t="s">
        <v>1691</v>
      </c>
      <c r="L1056" s="1" t="s">
        <v>1692</v>
      </c>
    </row>
    <row r="1057" spans="1:12">
      <c r="A1057" s="1" t="s">
        <v>1612</v>
      </c>
      <c r="B1057" s="1" t="s">
        <v>1603</v>
      </c>
      <c r="C1057" s="1" t="s">
        <v>1686</v>
      </c>
      <c r="D1057" s="1" t="s">
        <v>1699</v>
      </c>
      <c r="E1057" s="92" t="s">
        <v>1824</v>
      </c>
      <c r="F1057" s="92" t="s">
        <v>1825</v>
      </c>
      <c r="H1057" s="1" t="s">
        <v>1684</v>
      </c>
      <c r="I1057" s="1" t="s">
        <v>1689</v>
      </c>
      <c r="J1057" s="1" t="s">
        <v>1690</v>
      </c>
      <c r="K1057" s="1" t="s">
        <v>1691</v>
      </c>
      <c r="L1057" s="1" t="s">
        <v>1692</v>
      </c>
    </row>
    <row r="1058" spans="1:12">
      <c r="A1058" s="1" t="s">
        <v>1612</v>
      </c>
      <c r="B1058" s="1" t="s">
        <v>1603</v>
      </c>
      <c r="C1058" s="1" t="s">
        <v>1686</v>
      </c>
      <c r="D1058" s="1" t="s">
        <v>1702</v>
      </c>
      <c r="E1058" s="92" t="s">
        <v>1826</v>
      </c>
      <c r="F1058" s="92" t="s">
        <v>1827</v>
      </c>
      <c r="H1058" s="1" t="s">
        <v>1684</v>
      </c>
      <c r="I1058" s="1" t="s">
        <v>1689</v>
      </c>
      <c r="J1058" s="1" t="s">
        <v>1690</v>
      </c>
      <c r="K1058" s="1" t="s">
        <v>1691</v>
      </c>
      <c r="L1058" s="1" t="s">
        <v>1692</v>
      </c>
    </row>
    <row r="1059" spans="1:12">
      <c r="A1059" s="1" t="s">
        <v>1612</v>
      </c>
      <c r="B1059" s="1" t="s">
        <v>1603</v>
      </c>
      <c r="C1059" s="1" t="s">
        <v>1686</v>
      </c>
      <c r="D1059" s="1" t="s">
        <v>1705</v>
      </c>
      <c r="E1059" s="92" t="s">
        <v>1828</v>
      </c>
      <c r="F1059" s="92" t="s">
        <v>1829</v>
      </c>
      <c r="H1059" s="1" t="s">
        <v>1684</v>
      </c>
      <c r="I1059" s="1" t="s">
        <v>1689</v>
      </c>
      <c r="J1059" s="1" t="s">
        <v>1690</v>
      </c>
      <c r="K1059" s="1" t="s">
        <v>1691</v>
      </c>
      <c r="L1059" s="1" t="s">
        <v>1692</v>
      </c>
    </row>
    <row r="1060" spans="1:12">
      <c r="A1060" s="1" t="s">
        <v>1612</v>
      </c>
      <c r="B1060" s="1" t="s">
        <v>1603</v>
      </c>
      <c r="C1060" s="1" t="s">
        <v>1686</v>
      </c>
      <c r="D1060" s="1" t="s">
        <v>1787</v>
      </c>
      <c r="E1060" s="92" t="s">
        <v>2064</v>
      </c>
      <c r="F1060" s="92" t="s">
        <v>2063</v>
      </c>
      <c r="G1060" s="92" t="s">
        <v>2065</v>
      </c>
      <c r="H1060" s="1" t="s">
        <v>1534</v>
      </c>
      <c r="I1060" s="1" t="s">
        <v>1689</v>
      </c>
      <c r="J1060" s="1" t="s">
        <v>1690</v>
      </c>
      <c r="K1060" s="1" t="s">
        <v>1691</v>
      </c>
      <c r="L1060" s="1" t="s">
        <v>1692</v>
      </c>
    </row>
    <row r="1061" spans="1:12">
      <c r="A1061" s="1" t="s">
        <v>1612</v>
      </c>
      <c r="B1061" s="1" t="s">
        <v>1603</v>
      </c>
      <c r="C1061" s="1" t="s">
        <v>1394</v>
      </c>
      <c r="D1061" s="1" t="s">
        <v>1708</v>
      </c>
      <c r="E1061" s="1" t="s">
        <v>1709</v>
      </c>
      <c r="F1061" s="1" t="s">
        <v>1709</v>
      </c>
      <c r="H1061" s="1" t="s">
        <v>1684</v>
      </c>
      <c r="I1061" s="1" t="s">
        <v>973</v>
      </c>
      <c r="J1061" s="1" t="s">
        <v>1710</v>
      </c>
      <c r="K1061" s="1" t="s">
        <v>1691</v>
      </c>
      <c r="L1061" s="1" t="s">
        <v>1692</v>
      </c>
    </row>
    <row r="1062" spans="1:12">
      <c r="A1062" s="1" t="s">
        <v>1612</v>
      </c>
      <c r="B1062" s="1" t="s">
        <v>1603</v>
      </c>
      <c r="C1062" s="1" t="s">
        <v>1711</v>
      </c>
      <c r="D1062" s="1" t="s">
        <v>218</v>
      </c>
      <c r="E1062" s="92" t="s">
        <v>2066</v>
      </c>
      <c r="F1062" s="92" t="s">
        <v>2066</v>
      </c>
      <c r="G1062" s="92" t="s">
        <v>1791</v>
      </c>
      <c r="H1062" s="1" t="s">
        <v>1684</v>
      </c>
      <c r="I1062" s="1" t="s">
        <v>1689</v>
      </c>
      <c r="J1062" s="1" t="s">
        <v>1714</v>
      </c>
      <c r="K1062" s="1" t="s">
        <v>1715</v>
      </c>
      <c r="L1062" s="1" t="s">
        <v>1716</v>
      </c>
    </row>
    <row r="1063" spans="1:12">
      <c r="A1063" s="1" t="s">
        <v>1612</v>
      </c>
      <c r="B1063" s="1" t="s">
        <v>1603</v>
      </c>
      <c r="C1063" s="1" t="s">
        <v>1711</v>
      </c>
      <c r="D1063" s="1" t="s">
        <v>1693</v>
      </c>
      <c r="E1063" s="1" t="s">
        <v>1746</v>
      </c>
      <c r="F1063" s="1" t="s">
        <v>1746</v>
      </c>
      <c r="H1063" s="1" t="s">
        <v>1684</v>
      </c>
      <c r="I1063" s="1" t="s">
        <v>1689</v>
      </c>
      <c r="J1063" s="1" t="s">
        <v>1714</v>
      </c>
      <c r="K1063" s="1" t="s">
        <v>1715</v>
      </c>
      <c r="L1063" s="1" t="s">
        <v>1716</v>
      </c>
    </row>
    <row r="1064" spans="1:12">
      <c r="A1064" s="1" t="s">
        <v>1612</v>
      </c>
      <c r="B1064" s="1" t="s">
        <v>1603</v>
      </c>
      <c r="C1064" s="1" t="s">
        <v>1711</v>
      </c>
      <c r="D1064" s="1" t="s">
        <v>1695</v>
      </c>
      <c r="E1064" s="1" t="s">
        <v>1746</v>
      </c>
      <c r="F1064" s="1" t="s">
        <v>1746</v>
      </c>
      <c r="H1064" s="1" t="s">
        <v>1684</v>
      </c>
      <c r="I1064" s="1" t="s">
        <v>1689</v>
      </c>
      <c r="J1064" s="1" t="s">
        <v>1714</v>
      </c>
      <c r="K1064" s="1" t="s">
        <v>1715</v>
      </c>
      <c r="L1064" s="1" t="s">
        <v>1716</v>
      </c>
    </row>
    <row r="1065" spans="1:12">
      <c r="A1065" s="1" t="s">
        <v>1612</v>
      </c>
      <c r="B1065" s="1" t="s">
        <v>1603</v>
      </c>
      <c r="C1065" s="1" t="s">
        <v>1711</v>
      </c>
      <c r="D1065" s="1" t="s">
        <v>1697</v>
      </c>
      <c r="E1065" s="1" t="s">
        <v>1698</v>
      </c>
      <c r="F1065" s="1" t="s">
        <v>1698</v>
      </c>
      <c r="H1065" s="1" t="s">
        <v>1684</v>
      </c>
      <c r="I1065" s="1" t="s">
        <v>1689</v>
      </c>
      <c r="J1065" s="1" t="s">
        <v>1714</v>
      </c>
      <c r="K1065" s="1" t="s">
        <v>1715</v>
      </c>
      <c r="L1065" s="1" t="s">
        <v>1716</v>
      </c>
    </row>
    <row r="1066" spans="1:12">
      <c r="A1066" s="1" t="s">
        <v>1612</v>
      </c>
      <c r="B1066" s="1" t="s">
        <v>1603</v>
      </c>
      <c r="C1066" s="1" t="s">
        <v>1711</v>
      </c>
      <c r="D1066" s="1" t="s">
        <v>1699</v>
      </c>
      <c r="E1066" s="92" t="s">
        <v>1832</v>
      </c>
      <c r="F1066" s="92" t="s">
        <v>1833</v>
      </c>
      <c r="H1066" s="1" t="s">
        <v>1684</v>
      </c>
      <c r="I1066" s="1" t="s">
        <v>1689</v>
      </c>
      <c r="J1066" s="1" t="s">
        <v>1714</v>
      </c>
      <c r="K1066" s="1" t="s">
        <v>1715</v>
      </c>
      <c r="L1066" s="1" t="s">
        <v>1716</v>
      </c>
    </row>
    <row r="1067" spans="1:12">
      <c r="A1067" s="1" t="s">
        <v>1612</v>
      </c>
      <c r="B1067" s="1" t="s">
        <v>1603</v>
      </c>
      <c r="C1067" s="1" t="s">
        <v>1711</v>
      </c>
      <c r="D1067" s="1" t="s">
        <v>1702</v>
      </c>
      <c r="E1067" s="92" t="s">
        <v>1834</v>
      </c>
      <c r="F1067" s="92" t="s">
        <v>1834</v>
      </c>
      <c r="H1067" s="1" t="s">
        <v>1684</v>
      </c>
      <c r="I1067" s="1" t="s">
        <v>1689</v>
      </c>
      <c r="J1067" s="1" t="s">
        <v>1714</v>
      </c>
      <c r="K1067" s="1" t="s">
        <v>1715</v>
      </c>
      <c r="L1067" s="1" t="s">
        <v>1716</v>
      </c>
    </row>
    <row r="1068" spans="1:12">
      <c r="A1068" s="1" t="s">
        <v>1612</v>
      </c>
      <c r="B1068" s="1" t="s">
        <v>1603</v>
      </c>
      <c r="C1068" s="1" t="s">
        <v>1711</v>
      </c>
      <c r="D1068" s="1" t="s">
        <v>1705</v>
      </c>
      <c r="E1068" s="92" t="s">
        <v>1835</v>
      </c>
      <c r="F1068" s="92" t="s">
        <v>1836</v>
      </c>
      <c r="H1068" s="1" t="s">
        <v>1684</v>
      </c>
      <c r="I1068" s="1" t="s">
        <v>1689</v>
      </c>
      <c r="J1068" s="1" t="s">
        <v>1714</v>
      </c>
      <c r="K1068" s="1" t="s">
        <v>1715</v>
      </c>
      <c r="L1068" s="1" t="s">
        <v>1716</v>
      </c>
    </row>
    <row r="1069" spans="1:12">
      <c r="A1069" s="1" t="s">
        <v>1612</v>
      </c>
      <c r="B1069" s="1" t="s">
        <v>1603</v>
      </c>
      <c r="C1069" s="1" t="s">
        <v>1711</v>
      </c>
      <c r="D1069" s="1" t="s">
        <v>1787</v>
      </c>
      <c r="E1069" s="92" t="s">
        <v>2067</v>
      </c>
      <c r="F1069" s="92" t="s">
        <v>2066</v>
      </c>
      <c r="G1069" s="92" t="s">
        <v>2068</v>
      </c>
      <c r="H1069" s="1" t="s">
        <v>1534</v>
      </c>
      <c r="I1069" s="1" t="s">
        <v>1689</v>
      </c>
      <c r="J1069" s="1" t="s">
        <v>1714</v>
      </c>
      <c r="K1069" s="1" t="s">
        <v>1715</v>
      </c>
      <c r="L1069" s="1" t="s">
        <v>1716</v>
      </c>
    </row>
    <row r="1070" spans="1:12">
      <c r="A1070" s="1" t="s">
        <v>1612</v>
      </c>
      <c r="B1070" s="1" t="s">
        <v>1603</v>
      </c>
      <c r="C1070" s="1" t="s">
        <v>1723</v>
      </c>
      <c r="D1070" s="1" t="s">
        <v>218</v>
      </c>
      <c r="E1070" s="92" t="s">
        <v>1837</v>
      </c>
      <c r="F1070" s="92" t="s">
        <v>1837</v>
      </c>
      <c r="G1070" s="92" t="s">
        <v>1755</v>
      </c>
      <c r="H1070" s="1" t="s">
        <v>1684</v>
      </c>
      <c r="I1070" s="1" t="s">
        <v>973</v>
      </c>
      <c r="J1070" s="1" t="s">
        <v>1726</v>
      </c>
      <c r="K1070" s="1" t="s">
        <v>1727</v>
      </c>
      <c r="L1070" s="1" t="s">
        <v>1728</v>
      </c>
    </row>
    <row r="1071" spans="1:12">
      <c r="A1071" s="1" t="s">
        <v>1612</v>
      </c>
      <c r="B1071" s="1" t="s">
        <v>1603</v>
      </c>
      <c r="C1071" s="1" t="s">
        <v>1723</v>
      </c>
      <c r="D1071" s="1" t="s">
        <v>1693</v>
      </c>
      <c r="E1071" s="1" t="s">
        <v>1694</v>
      </c>
      <c r="F1071" s="1" t="s">
        <v>1694</v>
      </c>
      <c r="H1071" s="1" t="s">
        <v>1684</v>
      </c>
      <c r="I1071" s="1" t="s">
        <v>973</v>
      </c>
      <c r="J1071" s="1" t="s">
        <v>1726</v>
      </c>
      <c r="K1071" s="1" t="s">
        <v>1727</v>
      </c>
      <c r="L1071" s="1" t="s">
        <v>1728</v>
      </c>
    </row>
    <row r="1072" spans="1:12">
      <c r="A1072" s="1" t="s">
        <v>1612</v>
      </c>
      <c r="B1072" s="1" t="s">
        <v>1603</v>
      </c>
      <c r="C1072" s="1" t="s">
        <v>1723</v>
      </c>
      <c r="D1072" s="1" t="s">
        <v>1695</v>
      </c>
      <c r="E1072" s="1" t="s">
        <v>1694</v>
      </c>
      <c r="F1072" s="1" t="s">
        <v>1694</v>
      </c>
      <c r="H1072" s="1" t="s">
        <v>1684</v>
      </c>
      <c r="I1072" s="1" t="s">
        <v>973</v>
      </c>
      <c r="J1072" s="1" t="s">
        <v>1726</v>
      </c>
      <c r="K1072" s="1" t="s">
        <v>1727</v>
      </c>
      <c r="L1072" s="1" t="s">
        <v>1728</v>
      </c>
    </row>
    <row r="1073" spans="1:12">
      <c r="A1073" s="1" t="s">
        <v>1612</v>
      </c>
      <c r="B1073" s="1" t="s">
        <v>1603</v>
      </c>
      <c r="C1073" s="1" t="s">
        <v>1723</v>
      </c>
      <c r="D1073" s="1" t="s">
        <v>1697</v>
      </c>
      <c r="E1073" s="1" t="s">
        <v>1698</v>
      </c>
      <c r="F1073" s="1" t="s">
        <v>1698</v>
      </c>
      <c r="H1073" s="1" t="s">
        <v>1684</v>
      </c>
      <c r="I1073" s="1" t="s">
        <v>973</v>
      </c>
      <c r="J1073" s="1" t="s">
        <v>1726</v>
      </c>
      <c r="K1073" s="1" t="s">
        <v>1727</v>
      </c>
      <c r="L1073" s="1" t="s">
        <v>1728</v>
      </c>
    </row>
    <row r="1074" spans="1:12">
      <c r="A1074" s="1" t="s">
        <v>1612</v>
      </c>
      <c r="B1074" s="1" t="s">
        <v>1603</v>
      </c>
      <c r="C1074" s="1" t="s">
        <v>1729</v>
      </c>
      <c r="D1074" s="1" t="s">
        <v>218</v>
      </c>
      <c r="E1074" s="92" t="s">
        <v>1822</v>
      </c>
      <c r="F1074" s="92" t="s">
        <v>1822</v>
      </c>
      <c r="G1074" s="92" t="s">
        <v>1822</v>
      </c>
      <c r="H1074" s="1" t="s">
        <v>1684</v>
      </c>
      <c r="I1074" s="1" t="s">
        <v>1731</v>
      </c>
      <c r="J1074" s="1" t="s">
        <v>1732</v>
      </c>
      <c r="K1074" s="1" t="s">
        <v>1733</v>
      </c>
      <c r="L1074" s="1" t="s">
        <v>1734</v>
      </c>
    </row>
    <row r="1075" spans="1:12">
      <c r="A1075" s="1" t="s">
        <v>1612</v>
      </c>
      <c r="B1075" s="1" t="s">
        <v>1603</v>
      </c>
      <c r="C1075" s="1" t="s">
        <v>1729</v>
      </c>
      <c r="D1075" s="1" t="s">
        <v>1695</v>
      </c>
      <c r="E1075" s="1" t="s">
        <v>1694</v>
      </c>
      <c r="F1075" s="1" t="s">
        <v>1694</v>
      </c>
      <c r="H1075" s="1" t="s">
        <v>1684</v>
      </c>
      <c r="I1075" s="1" t="s">
        <v>1731</v>
      </c>
      <c r="J1075" s="1" t="s">
        <v>1732</v>
      </c>
      <c r="K1075" s="1" t="s">
        <v>1733</v>
      </c>
      <c r="L1075" s="1" t="s">
        <v>1734</v>
      </c>
    </row>
    <row r="1076" spans="1:12">
      <c r="A1076" s="1" t="s">
        <v>1612</v>
      </c>
      <c r="B1076" s="1" t="s">
        <v>1603</v>
      </c>
      <c r="C1076" s="1" t="s">
        <v>1729</v>
      </c>
      <c r="D1076" s="1" t="s">
        <v>1697</v>
      </c>
      <c r="E1076" s="1" t="s">
        <v>1698</v>
      </c>
      <c r="F1076" s="1" t="s">
        <v>1698</v>
      </c>
      <c r="H1076" s="1" t="s">
        <v>1684</v>
      </c>
      <c r="I1076" s="1" t="s">
        <v>1731</v>
      </c>
      <c r="J1076" s="1" t="s">
        <v>1732</v>
      </c>
      <c r="K1076" s="1" t="s">
        <v>1733</v>
      </c>
      <c r="L1076" s="1" t="s">
        <v>1734</v>
      </c>
    </row>
    <row r="1077" spans="1:12">
      <c r="A1077" s="1" t="s">
        <v>1613</v>
      </c>
      <c r="B1077" s="1" t="s">
        <v>1603</v>
      </c>
      <c r="C1077" s="1" t="s">
        <v>1680</v>
      </c>
      <c r="D1077" s="1" t="s">
        <v>1681</v>
      </c>
      <c r="E1077" s="92" t="s">
        <v>1752</v>
      </c>
      <c r="F1077" s="92" t="s">
        <v>1753</v>
      </c>
      <c r="H1077" s="1" t="s">
        <v>1684</v>
      </c>
    </row>
    <row r="1078" spans="1:12">
      <c r="A1078" s="1" t="s">
        <v>1613</v>
      </c>
      <c r="B1078" s="1" t="s">
        <v>1603</v>
      </c>
      <c r="C1078" s="1" t="s">
        <v>1680</v>
      </c>
      <c r="D1078" s="1" t="s">
        <v>1685</v>
      </c>
      <c r="E1078" s="1" t="s">
        <v>1526</v>
      </c>
      <c r="F1078" s="1" t="s">
        <v>1526</v>
      </c>
      <c r="H1078" s="1" t="s">
        <v>1684</v>
      </c>
    </row>
    <row r="1079" spans="1:12">
      <c r="A1079" s="1" t="s">
        <v>1613</v>
      </c>
      <c r="B1079" s="1" t="s">
        <v>1603</v>
      </c>
      <c r="C1079" s="1" t="s">
        <v>1686</v>
      </c>
      <c r="D1079" s="1" t="s">
        <v>218</v>
      </c>
      <c r="E1079" s="92" t="s">
        <v>2094</v>
      </c>
      <c r="F1079" s="92" t="s">
        <v>2094</v>
      </c>
      <c r="G1079" s="92" t="s">
        <v>1738</v>
      </c>
      <c r="H1079" s="1" t="s">
        <v>1684</v>
      </c>
      <c r="I1079" s="1" t="s">
        <v>1689</v>
      </c>
      <c r="J1079" s="1" t="s">
        <v>1690</v>
      </c>
      <c r="K1079" s="1" t="s">
        <v>1691</v>
      </c>
      <c r="L1079" s="1" t="s">
        <v>1692</v>
      </c>
    </row>
    <row r="1080" spans="1:12">
      <c r="A1080" s="1" t="s">
        <v>1613</v>
      </c>
      <c r="B1080" s="1" t="s">
        <v>1603</v>
      </c>
      <c r="C1080" s="1" t="s">
        <v>1686</v>
      </c>
      <c r="D1080" s="1" t="s">
        <v>1693</v>
      </c>
      <c r="E1080" s="1" t="s">
        <v>1694</v>
      </c>
      <c r="F1080" s="1" t="s">
        <v>1694</v>
      </c>
      <c r="H1080" s="1" t="s">
        <v>1684</v>
      </c>
      <c r="I1080" s="1" t="s">
        <v>1689</v>
      </c>
      <c r="J1080" s="1" t="s">
        <v>1690</v>
      </c>
      <c r="K1080" s="1" t="s">
        <v>1691</v>
      </c>
      <c r="L1080" s="1" t="s">
        <v>1692</v>
      </c>
    </row>
    <row r="1081" spans="1:12">
      <c r="A1081" s="1" t="s">
        <v>1613</v>
      </c>
      <c r="B1081" s="1" t="s">
        <v>1603</v>
      </c>
      <c r="C1081" s="1" t="s">
        <v>1686</v>
      </c>
      <c r="D1081" s="1" t="s">
        <v>1695</v>
      </c>
      <c r="E1081" s="1" t="s">
        <v>1696</v>
      </c>
      <c r="F1081" s="1" t="s">
        <v>1696</v>
      </c>
      <c r="H1081" s="1" t="s">
        <v>1684</v>
      </c>
      <c r="I1081" s="1" t="s">
        <v>1689</v>
      </c>
      <c r="J1081" s="1" t="s">
        <v>1690</v>
      </c>
      <c r="K1081" s="1" t="s">
        <v>1691</v>
      </c>
      <c r="L1081" s="1" t="s">
        <v>1692</v>
      </c>
    </row>
    <row r="1082" spans="1:12">
      <c r="A1082" s="1" t="s">
        <v>1613</v>
      </c>
      <c r="B1082" s="1" t="s">
        <v>1603</v>
      </c>
      <c r="C1082" s="1" t="s">
        <v>1686</v>
      </c>
      <c r="D1082" s="1" t="s">
        <v>1697</v>
      </c>
      <c r="E1082" s="1" t="s">
        <v>1698</v>
      </c>
      <c r="F1082" s="1" t="s">
        <v>1698</v>
      </c>
      <c r="H1082" s="1" t="s">
        <v>1684</v>
      </c>
      <c r="I1082" s="1" t="s">
        <v>1689</v>
      </c>
      <c r="J1082" s="1" t="s">
        <v>1690</v>
      </c>
      <c r="K1082" s="1" t="s">
        <v>1691</v>
      </c>
      <c r="L1082" s="1" t="s">
        <v>1692</v>
      </c>
    </row>
    <row r="1083" spans="1:12">
      <c r="A1083" s="1" t="s">
        <v>1613</v>
      </c>
      <c r="B1083" s="1" t="s">
        <v>1603</v>
      </c>
      <c r="C1083" s="1" t="s">
        <v>1686</v>
      </c>
      <c r="D1083" s="1" t="s">
        <v>1699</v>
      </c>
      <c r="E1083" s="92" t="s">
        <v>1850</v>
      </c>
      <c r="F1083" s="92" t="s">
        <v>1851</v>
      </c>
      <c r="H1083" s="1" t="s">
        <v>1684</v>
      </c>
      <c r="I1083" s="1" t="s">
        <v>1689</v>
      </c>
      <c r="J1083" s="1" t="s">
        <v>1690</v>
      </c>
      <c r="K1083" s="1" t="s">
        <v>1691</v>
      </c>
      <c r="L1083" s="1" t="s">
        <v>1692</v>
      </c>
    </row>
    <row r="1084" spans="1:12">
      <c r="A1084" s="1" t="s">
        <v>1613</v>
      </c>
      <c r="B1084" s="1" t="s">
        <v>1603</v>
      </c>
      <c r="C1084" s="1" t="s">
        <v>1686</v>
      </c>
      <c r="D1084" s="1" t="s">
        <v>1702</v>
      </c>
      <c r="E1084" s="92" t="s">
        <v>1852</v>
      </c>
      <c r="F1084" s="92" t="s">
        <v>1853</v>
      </c>
      <c r="H1084" s="1" t="s">
        <v>1684</v>
      </c>
      <c r="I1084" s="1" t="s">
        <v>1689</v>
      </c>
      <c r="J1084" s="1" t="s">
        <v>1690</v>
      </c>
      <c r="K1084" s="1" t="s">
        <v>1691</v>
      </c>
      <c r="L1084" s="1" t="s">
        <v>1692</v>
      </c>
    </row>
    <row r="1085" spans="1:12">
      <c r="A1085" s="1" t="s">
        <v>1613</v>
      </c>
      <c r="B1085" s="1" t="s">
        <v>1603</v>
      </c>
      <c r="C1085" s="1" t="s">
        <v>1686</v>
      </c>
      <c r="D1085" s="1" t="s">
        <v>1705</v>
      </c>
      <c r="E1085" s="92" t="s">
        <v>1854</v>
      </c>
      <c r="F1085" s="92" t="s">
        <v>1855</v>
      </c>
      <c r="H1085" s="1" t="s">
        <v>1684</v>
      </c>
      <c r="I1085" s="1" t="s">
        <v>1689</v>
      </c>
      <c r="J1085" s="1" t="s">
        <v>1690</v>
      </c>
      <c r="K1085" s="1" t="s">
        <v>1691</v>
      </c>
      <c r="L1085" s="1" t="s">
        <v>1692</v>
      </c>
    </row>
    <row r="1086" spans="1:12">
      <c r="A1086" s="1" t="s">
        <v>1613</v>
      </c>
      <c r="B1086" s="1" t="s">
        <v>1603</v>
      </c>
      <c r="C1086" s="1" t="s">
        <v>1394</v>
      </c>
      <c r="D1086" s="1" t="s">
        <v>1708</v>
      </c>
      <c r="E1086" s="1" t="s">
        <v>1709</v>
      </c>
      <c r="F1086" s="1" t="s">
        <v>1709</v>
      </c>
      <c r="H1086" s="1" t="s">
        <v>1684</v>
      </c>
      <c r="I1086" s="1" t="s">
        <v>973</v>
      </c>
      <c r="J1086" s="1" t="s">
        <v>1710</v>
      </c>
      <c r="K1086" s="1" t="s">
        <v>1691</v>
      </c>
      <c r="L1086" s="1" t="s">
        <v>1692</v>
      </c>
    </row>
    <row r="1087" spans="1:12">
      <c r="A1087" s="1" t="s">
        <v>1613</v>
      </c>
      <c r="B1087" s="1" t="s">
        <v>1603</v>
      </c>
      <c r="C1087" s="1" t="s">
        <v>1711</v>
      </c>
      <c r="D1087" s="1" t="s">
        <v>218</v>
      </c>
      <c r="E1087" s="92" t="s">
        <v>2095</v>
      </c>
      <c r="F1087" s="92" t="s">
        <v>2095</v>
      </c>
      <c r="G1087" s="92" t="s">
        <v>1688</v>
      </c>
      <c r="H1087" s="1" t="s">
        <v>1684</v>
      </c>
      <c r="I1087" s="1" t="s">
        <v>1689</v>
      </c>
      <c r="J1087" s="1" t="s">
        <v>1714</v>
      </c>
      <c r="K1087" s="1" t="s">
        <v>1715</v>
      </c>
      <c r="L1087" s="1" t="s">
        <v>1716</v>
      </c>
    </row>
    <row r="1088" spans="1:12">
      <c r="A1088" s="1" t="s">
        <v>1613</v>
      </c>
      <c r="B1088" s="1" t="s">
        <v>1603</v>
      </c>
      <c r="C1088" s="1" t="s">
        <v>1711</v>
      </c>
      <c r="D1088" s="1" t="s">
        <v>1693</v>
      </c>
      <c r="E1088" s="1" t="s">
        <v>1746</v>
      </c>
      <c r="F1088" s="1" t="s">
        <v>1746</v>
      </c>
      <c r="H1088" s="1" t="s">
        <v>1684</v>
      </c>
      <c r="I1088" s="1" t="s">
        <v>1689</v>
      </c>
      <c r="J1088" s="1" t="s">
        <v>1714</v>
      </c>
      <c r="K1088" s="1" t="s">
        <v>1715</v>
      </c>
      <c r="L1088" s="1" t="s">
        <v>1716</v>
      </c>
    </row>
    <row r="1089" spans="1:12">
      <c r="A1089" s="1" t="s">
        <v>1613</v>
      </c>
      <c r="B1089" s="1" t="s">
        <v>1603</v>
      </c>
      <c r="C1089" s="1" t="s">
        <v>1711</v>
      </c>
      <c r="D1089" s="1" t="s">
        <v>1695</v>
      </c>
      <c r="E1089" s="1" t="s">
        <v>1746</v>
      </c>
      <c r="F1089" s="1" t="s">
        <v>1746</v>
      </c>
      <c r="H1089" s="1" t="s">
        <v>1684</v>
      </c>
      <c r="I1089" s="1" t="s">
        <v>1689</v>
      </c>
      <c r="J1089" s="1" t="s">
        <v>1714</v>
      </c>
      <c r="K1089" s="1" t="s">
        <v>1715</v>
      </c>
      <c r="L1089" s="1" t="s">
        <v>1716</v>
      </c>
    </row>
    <row r="1090" spans="1:12">
      <c r="A1090" s="1" t="s">
        <v>1613</v>
      </c>
      <c r="B1090" s="1" t="s">
        <v>1603</v>
      </c>
      <c r="C1090" s="1" t="s">
        <v>1711</v>
      </c>
      <c r="D1090" s="1" t="s">
        <v>1697</v>
      </c>
      <c r="E1090" s="1" t="s">
        <v>1698</v>
      </c>
      <c r="F1090" s="1" t="s">
        <v>1698</v>
      </c>
      <c r="H1090" s="1" t="s">
        <v>1684</v>
      </c>
      <c r="I1090" s="1" t="s">
        <v>1689</v>
      </c>
      <c r="J1090" s="1" t="s">
        <v>1714</v>
      </c>
      <c r="K1090" s="1" t="s">
        <v>1715</v>
      </c>
      <c r="L1090" s="1" t="s">
        <v>1716</v>
      </c>
    </row>
    <row r="1091" spans="1:12">
      <c r="A1091" s="1" t="s">
        <v>1613</v>
      </c>
      <c r="B1091" s="1" t="s">
        <v>1603</v>
      </c>
      <c r="C1091" s="1" t="s">
        <v>1711</v>
      </c>
      <c r="D1091" s="1" t="s">
        <v>1699</v>
      </c>
      <c r="E1091" s="92" t="s">
        <v>1832</v>
      </c>
      <c r="F1091" s="92" t="s">
        <v>1833</v>
      </c>
      <c r="H1091" s="1" t="s">
        <v>1684</v>
      </c>
      <c r="I1091" s="1" t="s">
        <v>1689</v>
      </c>
      <c r="J1091" s="1" t="s">
        <v>1714</v>
      </c>
      <c r="K1091" s="1" t="s">
        <v>1715</v>
      </c>
      <c r="L1091" s="1" t="s">
        <v>1716</v>
      </c>
    </row>
    <row r="1092" spans="1:12">
      <c r="A1092" s="1" t="s">
        <v>1613</v>
      </c>
      <c r="B1092" s="1" t="s">
        <v>1603</v>
      </c>
      <c r="C1092" s="1" t="s">
        <v>1711</v>
      </c>
      <c r="D1092" s="1" t="s">
        <v>1702</v>
      </c>
      <c r="E1092" s="92" t="s">
        <v>1857</v>
      </c>
      <c r="F1092" s="92" t="s">
        <v>1858</v>
      </c>
      <c r="H1092" s="1" t="s">
        <v>1684</v>
      </c>
      <c r="I1092" s="1" t="s">
        <v>1689</v>
      </c>
      <c r="J1092" s="1" t="s">
        <v>1714</v>
      </c>
      <c r="K1092" s="1" t="s">
        <v>1715</v>
      </c>
      <c r="L1092" s="1" t="s">
        <v>1716</v>
      </c>
    </row>
    <row r="1093" spans="1:12">
      <c r="A1093" s="1" t="s">
        <v>1613</v>
      </c>
      <c r="B1093" s="1" t="s">
        <v>1603</v>
      </c>
      <c r="C1093" s="1" t="s">
        <v>1711</v>
      </c>
      <c r="D1093" s="1" t="s">
        <v>1705</v>
      </c>
      <c r="E1093" s="92" t="s">
        <v>1859</v>
      </c>
      <c r="F1093" s="92" t="s">
        <v>1860</v>
      </c>
      <c r="H1093" s="1" t="s">
        <v>1684</v>
      </c>
      <c r="I1093" s="1" t="s">
        <v>1689</v>
      </c>
      <c r="J1093" s="1" t="s">
        <v>1714</v>
      </c>
      <c r="K1093" s="1" t="s">
        <v>1715</v>
      </c>
      <c r="L1093" s="1" t="s">
        <v>1716</v>
      </c>
    </row>
    <row r="1094" spans="1:12">
      <c r="A1094" s="1" t="s">
        <v>1613</v>
      </c>
      <c r="B1094" s="1" t="s">
        <v>1603</v>
      </c>
      <c r="C1094" s="1" t="s">
        <v>1723</v>
      </c>
      <c r="D1094" s="1" t="s">
        <v>218</v>
      </c>
      <c r="E1094" s="92" t="s">
        <v>1822</v>
      </c>
      <c r="F1094" s="92" t="s">
        <v>1822</v>
      </c>
      <c r="G1094" s="92" t="s">
        <v>1822</v>
      </c>
      <c r="H1094" s="1" t="s">
        <v>1684</v>
      </c>
      <c r="I1094" s="1" t="s">
        <v>973</v>
      </c>
      <c r="J1094" s="1" t="s">
        <v>1726</v>
      </c>
      <c r="K1094" s="1" t="s">
        <v>1727</v>
      </c>
      <c r="L1094" s="1" t="s">
        <v>1728</v>
      </c>
    </row>
    <row r="1095" spans="1:12">
      <c r="A1095" s="1" t="s">
        <v>1613</v>
      </c>
      <c r="B1095" s="1" t="s">
        <v>1603</v>
      </c>
      <c r="C1095" s="1" t="s">
        <v>1723</v>
      </c>
      <c r="D1095" s="1" t="s">
        <v>1693</v>
      </c>
      <c r="E1095" s="1" t="s">
        <v>1694</v>
      </c>
      <c r="F1095" s="1" t="s">
        <v>1694</v>
      </c>
      <c r="H1095" s="1" t="s">
        <v>1684</v>
      </c>
      <c r="I1095" s="1" t="s">
        <v>973</v>
      </c>
      <c r="J1095" s="1" t="s">
        <v>1726</v>
      </c>
      <c r="K1095" s="1" t="s">
        <v>1727</v>
      </c>
      <c r="L1095" s="1" t="s">
        <v>1728</v>
      </c>
    </row>
    <row r="1096" spans="1:12">
      <c r="A1096" s="1" t="s">
        <v>1613</v>
      </c>
      <c r="B1096" s="1" t="s">
        <v>1603</v>
      </c>
      <c r="C1096" s="1" t="s">
        <v>1723</v>
      </c>
      <c r="D1096" s="1" t="s">
        <v>1695</v>
      </c>
      <c r="E1096" s="1" t="s">
        <v>1694</v>
      </c>
      <c r="F1096" s="1" t="s">
        <v>1694</v>
      </c>
      <c r="H1096" s="1" t="s">
        <v>1684</v>
      </c>
      <c r="I1096" s="1" t="s">
        <v>973</v>
      </c>
      <c r="J1096" s="1" t="s">
        <v>1726</v>
      </c>
      <c r="K1096" s="1" t="s">
        <v>1727</v>
      </c>
      <c r="L1096" s="1" t="s">
        <v>1728</v>
      </c>
    </row>
    <row r="1097" spans="1:12">
      <c r="A1097" s="1" t="s">
        <v>1613</v>
      </c>
      <c r="B1097" s="1" t="s">
        <v>1603</v>
      </c>
      <c r="C1097" s="1" t="s">
        <v>1723</v>
      </c>
      <c r="D1097" s="1" t="s">
        <v>1697</v>
      </c>
      <c r="E1097" s="1" t="s">
        <v>1698</v>
      </c>
      <c r="F1097" s="1" t="s">
        <v>1698</v>
      </c>
      <c r="H1097" s="1" t="s">
        <v>1684</v>
      </c>
      <c r="I1097" s="1" t="s">
        <v>973</v>
      </c>
      <c r="J1097" s="1" t="s">
        <v>1726</v>
      </c>
      <c r="K1097" s="1" t="s">
        <v>1727</v>
      </c>
      <c r="L1097" s="1" t="s">
        <v>1728</v>
      </c>
    </row>
    <row r="1098" spans="1:12">
      <c r="A1098" s="1" t="s">
        <v>1613</v>
      </c>
      <c r="B1098" s="1" t="s">
        <v>1603</v>
      </c>
      <c r="C1098" s="1" t="s">
        <v>1729</v>
      </c>
      <c r="D1098" s="1" t="s">
        <v>218</v>
      </c>
      <c r="E1098" s="92" t="s">
        <v>1985</v>
      </c>
      <c r="F1098" s="92" t="s">
        <v>1985</v>
      </c>
      <c r="G1098" s="92" t="s">
        <v>1822</v>
      </c>
      <c r="H1098" s="1" t="s">
        <v>1684</v>
      </c>
      <c r="I1098" s="1" t="s">
        <v>1731</v>
      </c>
      <c r="J1098" s="1" t="s">
        <v>1732</v>
      </c>
      <c r="K1098" s="1" t="s">
        <v>1733</v>
      </c>
      <c r="L1098" s="1" t="s">
        <v>1734</v>
      </c>
    </row>
    <row r="1099" spans="1:12">
      <c r="A1099" s="1" t="s">
        <v>1613</v>
      </c>
      <c r="B1099" s="1" t="s">
        <v>1603</v>
      </c>
      <c r="C1099" s="1" t="s">
        <v>1729</v>
      </c>
      <c r="D1099" s="1" t="s">
        <v>1695</v>
      </c>
      <c r="E1099" s="1" t="s">
        <v>1122</v>
      </c>
      <c r="F1099" s="1" t="s">
        <v>1122</v>
      </c>
      <c r="H1099" s="1" t="s">
        <v>1684</v>
      </c>
      <c r="I1099" s="1" t="s">
        <v>1731</v>
      </c>
      <c r="J1099" s="1" t="s">
        <v>1732</v>
      </c>
      <c r="K1099" s="1" t="s">
        <v>1733</v>
      </c>
      <c r="L1099" s="1" t="s">
        <v>1734</v>
      </c>
    </row>
    <row r="1100" spans="1:12">
      <c r="A1100" s="1" t="s">
        <v>1613</v>
      </c>
      <c r="B1100" s="1" t="s">
        <v>1603</v>
      </c>
      <c r="C1100" s="1" t="s">
        <v>1729</v>
      </c>
      <c r="D1100" s="1" t="s">
        <v>1697</v>
      </c>
      <c r="E1100" s="1" t="s">
        <v>1698</v>
      </c>
      <c r="F1100" s="1" t="s">
        <v>1698</v>
      </c>
      <c r="H1100" s="1" t="s">
        <v>1684</v>
      </c>
      <c r="I1100" s="1" t="s">
        <v>1731</v>
      </c>
      <c r="J1100" s="1" t="s">
        <v>1732</v>
      </c>
      <c r="K1100" s="1" t="s">
        <v>1733</v>
      </c>
      <c r="L1100" s="1" t="s">
        <v>1734</v>
      </c>
    </row>
    <row r="1101" spans="1:12">
      <c r="A1101" s="1" t="s">
        <v>1615</v>
      </c>
      <c r="B1101" s="1" t="s">
        <v>1603</v>
      </c>
      <c r="C1101" s="1" t="s">
        <v>1680</v>
      </c>
      <c r="D1101" s="1" t="s">
        <v>1681</v>
      </c>
      <c r="E1101" s="92" t="s">
        <v>1772</v>
      </c>
      <c r="F1101" s="92" t="s">
        <v>1773</v>
      </c>
      <c r="H1101" s="1" t="s">
        <v>1684</v>
      </c>
    </row>
    <row r="1102" spans="1:12">
      <c r="A1102" s="1" t="s">
        <v>1615</v>
      </c>
      <c r="B1102" s="1" t="s">
        <v>1603</v>
      </c>
      <c r="C1102" s="1" t="s">
        <v>1680</v>
      </c>
      <c r="D1102" s="1" t="s">
        <v>1685</v>
      </c>
      <c r="E1102" s="1" t="s">
        <v>1526</v>
      </c>
      <c r="F1102" s="1" t="s">
        <v>1526</v>
      </c>
      <c r="H1102" s="1" t="s">
        <v>1684</v>
      </c>
    </row>
    <row r="1103" spans="1:12">
      <c r="A1103" s="1" t="s">
        <v>1615</v>
      </c>
      <c r="B1103" s="1" t="s">
        <v>1603</v>
      </c>
      <c r="C1103" s="1" t="s">
        <v>1686</v>
      </c>
      <c r="D1103" s="1" t="s">
        <v>218</v>
      </c>
      <c r="E1103" s="92" t="s">
        <v>2096</v>
      </c>
      <c r="F1103" s="92" t="s">
        <v>2096</v>
      </c>
      <c r="G1103" s="92" t="s">
        <v>1738</v>
      </c>
      <c r="H1103" s="1" t="s">
        <v>1684</v>
      </c>
      <c r="I1103" s="1" t="s">
        <v>1689</v>
      </c>
      <c r="J1103" s="1" t="s">
        <v>1690</v>
      </c>
      <c r="K1103" s="1" t="s">
        <v>1691</v>
      </c>
      <c r="L1103" s="1" t="s">
        <v>1692</v>
      </c>
    </row>
    <row r="1104" spans="1:12">
      <c r="A1104" s="1" t="s">
        <v>1615</v>
      </c>
      <c r="B1104" s="1" t="s">
        <v>1603</v>
      </c>
      <c r="C1104" s="1" t="s">
        <v>1686</v>
      </c>
      <c r="D1104" s="1" t="s">
        <v>1693</v>
      </c>
      <c r="E1104" s="1" t="s">
        <v>1694</v>
      </c>
      <c r="F1104" s="1" t="s">
        <v>1694</v>
      </c>
      <c r="H1104" s="1" t="s">
        <v>1684</v>
      </c>
      <c r="I1104" s="1" t="s">
        <v>1689</v>
      </c>
      <c r="J1104" s="1" t="s">
        <v>1690</v>
      </c>
      <c r="K1104" s="1" t="s">
        <v>1691</v>
      </c>
      <c r="L1104" s="1" t="s">
        <v>1692</v>
      </c>
    </row>
    <row r="1105" spans="1:12">
      <c r="A1105" s="1" t="s">
        <v>1615</v>
      </c>
      <c r="B1105" s="1" t="s">
        <v>1603</v>
      </c>
      <c r="C1105" s="1" t="s">
        <v>1686</v>
      </c>
      <c r="D1105" s="1" t="s">
        <v>1695</v>
      </c>
      <c r="E1105" s="1" t="s">
        <v>1696</v>
      </c>
      <c r="F1105" s="1" t="s">
        <v>1696</v>
      </c>
      <c r="H1105" s="1" t="s">
        <v>1684</v>
      </c>
      <c r="I1105" s="1" t="s">
        <v>1689</v>
      </c>
      <c r="J1105" s="1" t="s">
        <v>1690</v>
      </c>
      <c r="K1105" s="1" t="s">
        <v>1691</v>
      </c>
      <c r="L1105" s="1" t="s">
        <v>1692</v>
      </c>
    </row>
    <row r="1106" spans="1:12">
      <c r="A1106" s="1" t="s">
        <v>1615</v>
      </c>
      <c r="B1106" s="1" t="s">
        <v>1603</v>
      </c>
      <c r="C1106" s="1" t="s">
        <v>1686</v>
      </c>
      <c r="D1106" s="1" t="s">
        <v>1697</v>
      </c>
      <c r="E1106" s="1" t="s">
        <v>1698</v>
      </c>
      <c r="F1106" s="1" t="s">
        <v>1698</v>
      </c>
      <c r="H1106" s="1" t="s">
        <v>1684</v>
      </c>
      <c r="I1106" s="1" t="s">
        <v>1689</v>
      </c>
      <c r="J1106" s="1" t="s">
        <v>1690</v>
      </c>
      <c r="K1106" s="1" t="s">
        <v>1691</v>
      </c>
      <c r="L1106" s="1" t="s">
        <v>1692</v>
      </c>
    </row>
    <row r="1107" spans="1:12">
      <c r="A1107" s="1" t="s">
        <v>1615</v>
      </c>
      <c r="B1107" s="1" t="s">
        <v>1603</v>
      </c>
      <c r="C1107" s="1" t="s">
        <v>1686</v>
      </c>
      <c r="D1107" s="1" t="s">
        <v>1699</v>
      </c>
      <c r="E1107" s="92" t="s">
        <v>1862</v>
      </c>
      <c r="F1107" s="92" t="s">
        <v>1863</v>
      </c>
      <c r="H1107" s="1" t="s">
        <v>1684</v>
      </c>
      <c r="I1107" s="1" t="s">
        <v>1689</v>
      </c>
      <c r="J1107" s="1" t="s">
        <v>1690</v>
      </c>
      <c r="K1107" s="1" t="s">
        <v>1691</v>
      </c>
      <c r="L1107" s="1" t="s">
        <v>1692</v>
      </c>
    </row>
    <row r="1108" spans="1:12">
      <c r="A1108" s="1" t="s">
        <v>1615</v>
      </c>
      <c r="B1108" s="1" t="s">
        <v>1603</v>
      </c>
      <c r="C1108" s="1" t="s">
        <v>1686</v>
      </c>
      <c r="D1108" s="1" t="s">
        <v>1702</v>
      </c>
      <c r="E1108" s="92" t="s">
        <v>1864</v>
      </c>
      <c r="F1108" s="92" t="s">
        <v>1865</v>
      </c>
      <c r="H1108" s="1" t="s">
        <v>1684</v>
      </c>
      <c r="I1108" s="1" t="s">
        <v>1689</v>
      </c>
      <c r="J1108" s="1" t="s">
        <v>1690</v>
      </c>
      <c r="K1108" s="1" t="s">
        <v>1691</v>
      </c>
      <c r="L1108" s="1" t="s">
        <v>1692</v>
      </c>
    </row>
    <row r="1109" spans="1:12">
      <c r="A1109" s="1" t="s">
        <v>1615</v>
      </c>
      <c r="B1109" s="1" t="s">
        <v>1603</v>
      </c>
      <c r="C1109" s="1" t="s">
        <v>1686</v>
      </c>
      <c r="D1109" s="1" t="s">
        <v>1705</v>
      </c>
      <c r="E1109" s="92" t="s">
        <v>1866</v>
      </c>
      <c r="F1109" s="92" t="s">
        <v>1867</v>
      </c>
      <c r="H1109" s="1" t="s">
        <v>1684</v>
      </c>
      <c r="I1109" s="1" t="s">
        <v>1689</v>
      </c>
      <c r="J1109" s="1" t="s">
        <v>1690</v>
      </c>
      <c r="K1109" s="1" t="s">
        <v>1691</v>
      </c>
      <c r="L1109" s="1" t="s">
        <v>1692</v>
      </c>
    </row>
    <row r="1110" spans="1:12">
      <c r="A1110" s="1" t="s">
        <v>1615</v>
      </c>
      <c r="B1110" s="1" t="s">
        <v>1603</v>
      </c>
      <c r="C1110" s="1" t="s">
        <v>1394</v>
      </c>
      <c r="D1110" s="1" t="s">
        <v>1708</v>
      </c>
      <c r="E1110" s="1" t="s">
        <v>1709</v>
      </c>
      <c r="F1110" s="1" t="s">
        <v>1709</v>
      </c>
      <c r="H1110" s="1" t="s">
        <v>1684</v>
      </c>
      <c r="I1110" s="1" t="s">
        <v>973</v>
      </c>
      <c r="J1110" s="1" t="s">
        <v>1710</v>
      </c>
      <c r="K1110" s="1" t="s">
        <v>1691</v>
      </c>
      <c r="L1110" s="1" t="s">
        <v>1692</v>
      </c>
    </row>
    <row r="1111" spans="1:12">
      <c r="A1111" s="1" t="s">
        <v>1615</v>
      </c>
      <c r="B1111" s="1" t="s">
        <v>1603</v>
      </c>
      <c r="C1111" s="1" t="s">
        <v>1711</v>
      </c>
      <c r="D1111" s="1" t="s">
        <v>218</v>
      </c>
      <c r="E1111" s="92" t="s">
        <v>2097</v>
      </c>
      <c r="F1111" s="92" t="s">
        <v>2097</v>
      </c>
      <c r="G1111" s="92" t="s">
        <v>1765</v>
      </c>
      <c r="H1111" s="1" t="s">
        <v>1684</v>
      </c>
      <c r="I1111" s="1" t="s">
        <v>1689</v>
      </c>
      <c r="J1111" s="1" t="s">
        <v>1714</v>
      </c>
      <c r="K1111" s="1" t="s">
        <v>1715</v>
      </c>
      <c r="L1111" s="1" t="s">
        <v>1716</v>
      </c>
    </row>
    <row r="1112" spans="1:12">
      <c r="A1112" s="1" t="s">
        <v>1615</v>
      </c>
      <c r="B1112" s="1" t="s">
        <v>1603</v>
      </c>
      <c r="C1112" s="1" t="s">
        <v>1711</v>
      </c>
      <c r="D1112" s="1" t="s">
        <v>1693</v>
      </c>
      <c r="E1112" s="1" t="s">
        <v>1694</v>
      </c>
      <c r="F1112" s="1" t="s">
        <v>1694</v>
      </c>
      <c r="H1112" s="1" t="s">
        <v>1684</v>
      </c>
      <c r="I1112" s="1" t="s">
        <v>1689</v>
      </c>
      <c r="J1112" s="1" t="s">
        <v>1714</v>
      </c>
      <c r="K1112" s="1" t="s">
        <v>1715</v>
      </c>
      <c r="L1112" s="1" t="s">
        <v>1716</v>
      </c>
    </row>
    <row r="1113" spans="1:12">
      <c r="A1113" s="1" t="s">
        <v>1615</v>
      </c>
      <c r="B1113" s="1" t="s">
        <v>1603</v>
      </c>
      <c r="C1113" s="1" t="s">
        <v>1711</v>
      </c>
      <c r="D1113" s="1" t="s">
        <v>1695</v>
      </c>
      <c r="E1113" s="1" t="s">
        <v>1694</v>
      </c>
      <c r="F1113" s="1" t="s">
        <v>1694</v>
      </c>
      <c r="H1113" s="1" t="s">
        <v>1684</v>
      </c>
      <c r="I1113" s="1" t="s">
        <v>1689</v>
      </c>
      <c r="J1113" s="1" t="s">
        <v>1714</v>
      </c>
      <c r="K1113" s="1" t="s">
        <v>1715</v>
      </c>
      <c r="L1113" s="1" t="s">
        <v>1716</v>
      </c>
    </row>
    <row r="1114" spans="1:12">
      <c r="A1114" s="1" t="s">
        <v>1615</v>
      </c>
      <c r="B1114" s="1" t="s">
        <v>1603</v>
      </c>
      <c r="C1114" s="1" t="s">
        <v>1711</v>
      </c>
      <c r="D1114" s="1" t="s">
        <v>1697</v>
      </c>
      <c r="E1114" s="1" t="s">
        <v>1698</v>
      </c>
      <c r="F1114" s="1" t="s">
        <v>1698</v>
      </c>
      <c r="H1114" s="1" t="s">
        <v>1684</v>
      </c>
      <c r="I1114" s="1" t="s">
        <v>1689</v>
      </c>
      <c r="J1114" s="1" t="s">
        <v>1714</v>
      </c>
      <c r="K1114" s="1" t="s">
        <v>1715</v>
      </c>
      <c r="L1114" s="1" t="s">
        <v>1716</v>
      </c>
    </row>
    <row r="1115" spans="1:12">
      <c r="A1115" s="1" t="s">
        <v>1615</v>
      </c>
      <c r="B1115" s="1" t="s">
        <v>1603</v>
      </c>
      <c r="C1115" s="1" t="s">
        <v>1711</v>
      </c>
      <c r="D1115" s="1" t="s">
        <v>1699</v>
      </c>
      <c r="E1115" s="92" t="s">
        <v>1832</v>
      </c>
      <c r="F1115" s="92" t="s">
        <v>1833</v>
      </c>
      <c r="H1115" s="1" t="s">
        <v>1684</v>
      </c>
      <c r="I1115" s="1" t="s">
        <v>1689</v>
      </c>
      <c r="J1115" s="1" t="s">
        <v>1714</v>
      </c>
      <c r="K1115" s="1" t="s">
        <v>1715</v>
      </c>
      <c r="L1115" s="1" t="s">
        <v>1716</v>
      </c>
    </row>
    <row r="1116" spans="1:12">
      <c r="A1116" s="1" t="s">
        <v>1615</v>
      </c>
      <c r="B1116" s="1" t="s">
        <v>1603</v>
      </c>
      <c r="C1116" s="1" t="s">
        <v>1711</v>
      </c>
      <c r="D1116" s="1" t="s">
        <v>1702</v>
      </c>
      <c r="E1116" s="92" t="s">
        <v>1869</v>
      </c>
      <c r="F1116" s="92" t="s">
        <v>1870</v>
      </c>
      <c r="H1116" s="1" t="s">
        <v>1684</v>
      </c>
      <c r="I1116" s="1" t="s">
        <v>1689</v>
      </c>
      <c r="J1116" s="1" t="s">
        <v>1714</v>
      </c>
      <c r="K1116" s="1" t="s">
        <v>1715</v>
      </c>
      <c r="L1116" s="1" t="s">
        <v>1716</v>
      </c>
    </row>
    <row r="1117" spans="1:12">
      <c r="A1117" s="1" t="s">
        <v>1615</v>
      </c>
      <c r="B1117" s="1" t="s">
        <v>1603</v>
      </c>
      <c r="C1117" s="1" t="s">
        <v>1711</v>
      </c>
      <c r="D1117" s="1" t="s">
        <v>1705</v>
      </c>
      <c r="E1117" s="92" t="s">
        <v>1871</v>
      </c>
      <c r="F1117" s="92" t="s">
        <v>1722</v>
      </c>
      <c r="H1117" s="1" t="s">
        <v>1684</v>
      </c>
      <c r="I1117" s="1" t="s">
        <v>1689</v>
      </c>
      <c r="J1117" s="1" t="s">
        <v>1714</v>
      </c>
      <c r="K1117" s="1" t="s">
        <v>1715</v>
      </c>
      <c r="L1117" s="1" t="s">
        <v>1716</v>
      </c>
    </row>
    <row r="1118" spans="1:12">
      <c r="A1118" s="1" t="s">
        <v>1615</v>
      </c>
      <c r="B1118" s="1" t="s">
        <v>1603</v>
      </c>
      <c r="C1118" s="1" t="s">
        <v>1723</v>
      </c>
      <c r="D1118" s="1" t="s">
        <v>218</v>
      </c>
      <c r="E1118" s="92" t="s">
        <v>1874</v>
      </c>
      <c r="F1118" s="92" t="s">
        <v>1874</v>
      </c>
      <c r="G1118" s="92" t="s">
        <v>1875</v>
      </c>
      <c r="H1118" s="1" t="s">
        <v>1684</v>
      </c>
      <c r="I1118" s="1" t="s">
        <v>973</v>
      </c>
      <c r="J1118" s="1" t="s">
        <v>1726</v>
      </c>
      <c r="K1118" s="1" t="s">
        <v>1727</v>
      </c>
      <c r="L1118" s="1" t="s">
        <v>1728</v>
      </c>
    </row>
    <row r="1119" spans="1:12">
      <c r="A1119" s="1" t="s">
        <v>1615</v>
      </c>
      <c r="B1119" s="1" t="s">
        <v>1603</v>
      </c>
      <c r="C1119" s="1" t="s">
        <v>1723</v>
      </c>
      <c r="D1119" s="1" t="s">
        <v>1693</v>
      </c>
      <c r="E1119" s="1" t="s">
        <v>1694</v>
      </c>
      <c r="F1119" s="1" t="s">
        <v>1694</v>
      </c>
      <c r="H1119" s="1" t="s">
        <v>1684</v>
      </c>
      <c r="I1119" s="1" t="s">
        <v>973</v>
      </c>
      <c r="J1119" s="1" t="s">
        <v>1726</v>
      </c>
      <c r="K1119" s="1" t="s">
        <v>1727</v>
      </c>
      <c r="L1119" s="1" t="s">
        <v>1728</v>
      </c>
    </row>
    <row r="1120" spans="1:12">
      <c r="A1120" s="1" t="s">
        <v>1615</v>
      </c>
      <c r="B1120" s="1" t="s">
        <v>1603</v>
      </c>
      <c r="C1120" s="1" t="s">
        <v>1723</v>
      </c>
      <c r="D1120" s="1" t="s">
        <v>1695</v>
      </c>
      <c r="E1120" s="1" t="s">
        <v>1694</v>
      </c>
      <c r="F1120" s="1" t="s">
        <v>1694</v>
      </c>
      <c r="H1120" s="1" t="s">
        <v>1684</v>
      </c>
      <c r="I1120" s="1" t="s">
        <v>973</v>
      </c>
      <c r="J1120" s="1" t="s">
        <v>1726</v>
      </c>
      <c r="K1120" s="1" t="s">
        <v>1727</v>
      </c>
      <c r="L1120" s="1" t="s">
        <v>1728</v>
      </c>
    </row>
    <row r="1121" spans="1:12">
      <c r="A1121" s="1" t="s">
        <v>1615</v>
      </c>
      <c r="B1121" s="1" t="s">
        <v>1603</v>
      </c>
      <c r="C1121" s="1" t="s">
        <v>1723</v>
      </c>
      <c r="D1121" s="1" t="s">
        <v>1697</v>
      </c>
      <c r="E1121" s="1" t="s">
        <v>1698</v>
      </c>
      <c r="F1121" s="1" t="s">
        <v>1698</v>
      </c>
      <c r="H1121" s="1" t="s">
        <v>1684</v>
      </c>
      <c r="I1121" s="1" t="s">
        <v>973</v>
      </c>
      <c r="J1121" s="1" t="s">
        <v>1726</v>
      </c>
      <c r="K1121" s="1" t="s">
        <v>1727</v>
      </c>
      <c r="L1121" s="1" t="s">
        <v>1728</v>
      </c>
    </row>
    <row r="1122" spans="1:12">
      <c r="A1122" s="1" t="s">
        <v>1615</v>
      </c>
      <c r="B1122" s="1" t="s">
        <v>1603</v>
      </c>
      <c r="C1122" s="1" t="s">
        <v>1729</v>
      </c>
      <c r="D1122" s="1" t="s">
        <v>218</v>
      </c>
      <c r="E1122" s="92" t="s">
        <v>2061</v>
      </c>
      <c r="F1122" s="92" t="s">
        <v>2061</v>
      </c>
      <c r="G1122" s="92" t="s">
        <v>1822</v>
      </c>
      <c r="H1122" s="1" t="s">
        <v>1684</v>
      </c>
      <c r="I1122" s="1" t="s">
        <v>1731</v>
      </c>
      <c r="J1122" s="1" t="s">
        <v>1732</v>
      </c>
      <c r="K1122" s="1" t="s">
        <v>1733</v>
      </c>
      <c r="L1122" s="1" t="s">
        <v>1734</v>
      </c>
    </row>
    <row r="1123" spans="1:12">
      <c r="A1123" s="1" t="s">
        <v>1615</v>
      </c>
      <c r="B1123" s="1" t="s">
        <v>1603</v>
      </c>
      <c r="C1123" s="1" t="s">
        <v>1729</v>
      </c>
      <c r="D1123" s="1" t="s">
        <v>1695</v>
      </c>
      <c r="E1123" s="1" t="s">
        <v>2084</v>
      </c>
      <c r="F1123" s="1" t="s">
        <v>2084</v>
      </c>
      <c r="H1123" s="1" t="s">
        <v>1684</v>
      </c>
      <c r="I1123" s="1" t="s">
        <v>1731</v>
      </c>
      <c r="J1123" s="1" t="s">
        <v>1732</v>
      </c>
      <c r="K1123" s="1" t="s">
        <v>1733</v>
      </c>
      <c r="L1123" s="1" t="s">
        <v>1734</v>
      </c>
    </row>
    <row r="1124" spans="1:12">
      <c r="A1124" s="1" t="s">
        <v>1615</v>
      </c>
      <c r="B1124" s="1" t="s">
        <v>1603</v>
      </c>
      <c r="C1124" s="1" t="s">
        <v>1729</v>
      </c>
      <c r="D1124" s="1" t="s">
        <v>1697</v>
      </c>
      <c r="E1124" s="1" t="s">
        <v>1698</v>
      </c>
      <c r="F1124" s="1" t="s">
        <v>1698</v>
      </c>
      <c r="H1124" s="1" t="s">
        <v>1684</v>
      </c>
      <c r="I1124" s="1" t="s">
        <v>1731</v>
      </c>
      <c r="J1124" s="1" t="s">
        <v>1732</v>
      </c>
      <c r="K1124" s="1" t="s">
        <v>1733</v>
      </c>
      <c r="L1124" s="1" t="s">
        <v>1734</v>
      </c>
    </row>
    <row r="1125" spans="1:12">
      <c r="A1125" s="1" t="s">
        <v>1617</v>
      </c>
      <c r="B1125" s="1" t="s">
        <v>1603</v>
      </c>
      <c r="C1125" s="1" t="s">
        <v>1680</v>
      </c>
      <c r="D1125" s="1" t="s">
        <v>1681</v>
      </c>
      <c r="E1125" s="92" t="s">
        <v>1792</v>
      </c>
      <c r="F1125" s="92" t="s">
        <v>1793</v>
      </c>
      <c r="H1125" s="1" t="s">
        <v>1684</v>
      </c>
    </row>
    <row r="1126" spans="1:12">
      <c r="A1126" s="1" t="s">
        <v>1617</v>
      </c>
      <c r="B1126" s="1" t="s">
        <v>1603</v>
      </c>
      <c r="C1126" s="1" t="s">
        <v>1680</v>
      </c>
      <c r="D1126" s="1" t="s">
        <v>1685</v>
      </c>
      <c r="E1126" s="1" t="s">
        <v>1526</v>
      </c>
      <c r="F1126" s="1" t="s">
        <v>1526</v>
      </c>
      <c r="H1126" s="1" t="s">
        <v>1684</v>
      </c>
    </row>
    <row r="1127" spans="1:12">
      <c r="A1127" s="1" t="s">
        <v>1617</v>
      </c>
      <c r="B1127" s="1" t="s">
        <v>1603</v>
      </c>
      <c r="C1127" s="1" t="s">
        <v>1686</v>
      </c>
      <c r="D1127" s="1" t="s">
        <v>218</v>
      </c>
      <c r="E1127" s="92" t="s">
        <v>2098</v>
      </c>
      <c r="F1127" s="92" t="s">
        <v>2098</v>
      </c>
      <c r="G1127" s="92" t="s">
        <v>1755</v>
      </c>
      <c r="H1127" s="1" t="s">
        <v>1684</v>
      </c>
      <c r="I1127" s="1" t="s">
        <v>1689</v>
      </c>
      <c r="J1127" s="1" t="s">
        <v>1690</v>
      </c>
      <c r="K1127" s="1" t="s">
        <v>1691</v>
      </c>
      <c r="L1127" s="1" t="s">
        <v>1692</v>
      </c>
    </row>
    <row r="1128" spans="1:12">
      <c r="A1128" s="1" t="s">
        <v>1617</v>
      </c>
      <c r="B1128" s="1" t="s">
        <v>1603</v>
      </c>
      <c r="C1128" s="1" t="s">
        <v>1686</v>
      </c>
      <c r="D1128" s="1" t="s">
        <v>1693</v>
      </c>
      <c r="E1128" s="1" t="s">
        <v>1694</v>
      </c>
      <c r="F1128" s="1" t="s">
        <v>1694</v>
      </c>
      <c r="H1128" s="1" t="s">
        <v>1684</v>
      </c>
      <c r="I1128" s="1" t="s">
        <v>1689</v>
      </c>
      <c r="J1128" s="1" t="s">
        <v>1690</v>
      </c>
      <c r="K1128" s="1" t="s">
        <v>1691</v>
      </c>
      <c r="L1128" s="1" t="s">
        <v>1692</v>
      </c>
    </row>
    <row r="1129" spans="1:12">
      <c r="A1129" s="1" t="s">
        <v>1617</v>
      </c>
      <c r="B1129" s="1" t="s">
        <v>1603</v>
      </c>
      <c r="C1129" s="1" t="s">
        <v>1686</v>
      </c>
      <c r="D1129" s="1" t="s">
        <v>1695</v>
      </c>
      <c r="E1129" s="1" t="s">
        <v>1849</v>
      </c>
      <c r="F1129" s="1" t="s">
        <v>1849</v>
      </c>
      <c r="H1129" s="1" t="s">
        <v>1684</v>
      </c>
      <c r="I1129" s="1" t="s">
        <v>1689</v>
      </c>
      <c r="J1129" s="1" t="s">
        <v>1690</v>
      </c>
      <c r="K1129" s="1" t="s">
        <v>1691</v>
      </c>
      <c r="L1129" s="1" t="s">
        <v>1692</v>
      </c>
    </row>
    <row r="1130" spans="1:12">
      <c r="A1130" s="1" t="s">
        <v>1617</v>
      </c>
      <c r="B1130" s="1" t="s">
        <v>1603</v>
      </c>
      <c r="C1130" s="1" t="s">
        <v>1686</v>
      </c>
      <c r="D1130" s="1" t="s">
        <v>1697</v>
      </c>
      <c r="E1130" s="1" t="s">
        <v>1698</v>
      </c>
      <c r="F1130" s="1" t="s">
        <v>1698</v>
      </c>
      <c r="H1130" s="1" t="s">
        <v>1684</v>
      </c>
      <c r="I1130" s="1" t="s">
        <v>1689</v>
      </c>
      <c r="J1130" s="1" t="s">
        <v>1690</v>
      </c>
      <c r="K1130" s="1" t="s">
        <v>1691</v>
      </c>
      <c r="L1130" s="1" t="s">
        <v>1692</v>
      </c>
    </row>
    <row r="1131" spans="1:12">
      <c r="A1131" s="1" t="s">
        <v>1617</v>
      </c>
      <c r="B1131" s="1" t="s">
        <v>1603</v>
      </c>
      <c r="C1131" s="1" t="s">
        <v>1686</v>
      </c>
      <c r="D1131" s="1" t="s">
        <v>1699</v>
      </c>
      <c r="E1131" s="92" t="s">
        <v>1878</v>
      </c>
      <c r="F1131" s="92" t="s">
        <v>1879</v>
      </c>
      <c r="H1131" s="1" t="s">
        <v>1684</v>
      </c>
      <c r="I1131" s="1" t="s">
        <v>1689</v>
      </c>
      <c r="J1131" s="1" t="s">
        <v>1690</v>
      </c>
      <c r="K1131" s="1" t="s">
        <v>1691</v>
      </c>
      <c r="L1131" s="1" t="s">
        <v>1692</v>
      </c>
    </row>
    <row r="1132" spans="1:12">
      <c r="A1132" s="1" t="s">
        <v>1617</v>
      </c>
      <c r="B1132" s="1" t="s">
        <v>1603</v>
      </c>
      <c r="C1132" s="1" t="s">
        <v>1686</v>
      </c>
      <c r="D1132" s="1" t="s">
        <v>1702</v>
      </c>
      <c r="E1132" s="92" t="s">
        <v>1880</v>
      </c>
      <c r="F1132" s="92" t="s">
        <v>1881</v>
      </c>
      <c r="H1132" s="1" t="s">
        <v>1684</v>
      </c>
      <c r="I1132" s="1" t="s">
        <v>1689</v>
      </c>
      <c r="J1132" s="1" t="s">
        <v>1690</v>
      </c>
      <c r="K1132" s="1" t="s">
        <v>1691</v>
      </c>
      <c r="L1132" s="1" t="s">
        <v>1692</v>
      </c>
    </row>
    <row r="1133" spans="1:12">
      <c r="A1133" s="1" t="s">
        <v>1617</v>
      </c>
      <c r="B1133" s="1" t="s">
        <v>1603</v>
      </c>
      <c r="C1133" s="1" t="s">
        <v>1686</v>
      </c>
      <c r="D1133" s="1" t="s">
        <v>1705</v>
      </c>
      <c r="E1133" s="92" t="s">
        <v>1882</v>
      </c>
      <c r="F1133" s="92" t="s">
        <v>1883</v>
      </c>
      <c r="H1133" s="1" t="s">
        <v>1684</v>
      </c>
      <c r="I1133" s="1" t="s">
        <v>1689</v>
      </c>
      <c r="J1133" s="1" t="s">
        <v>1690</v>
      </c>
      <c r="K1133" s="1" t="s">
        <v>1691</v>
      </c>
      <c r="L1133" s="1" t="s">
        <v>1692</v>
      </c>
    </row>
    <row r="1134" spans="1:12">
      <c r="A1134" s="1" t="s">
        <v>1617</v>
      </c>
      <c r="B1134" s="1" t="s">
        <v>1603</v>
      </c>
      <c r="C1134" s="1" t="s">
        <v>1394</v>
      </c>
      <c r="D1134" s="1" t="s">
        <v>1708</v>
      </c>
      <c r="E1134" s="1" t="s">
        <v>1709</v>
      </c>
      <c r="F1134" s="1" t="s">
        <v>1709</v>
      </c>
      <c r="H1134" s="1" t="s">
        <v>1684</v>
      </c>
      <c r="I1134" s="1" t="s">
        <v>973</v>
      </c>
      <c r="J1134" s="1" t="s">
        <v>1710</v>
      </c>
      <c r="K1134" s="1" t="s">
        <v>1691</v>
      </c>
      <c r="L1134" s="1" t="s">
        <v>1692</v>
      </c>
    </row>
    <row r="1135" spans="1:12">
      <c r="A1135" s="1" t="s">
        <v>1617</v>
      </c>
      <c r="B1135" s="1" t="s">
        <v>1603</v>
      </c>
      <c r="C1135" s="1" t="s">
        <v>1711</v>
      </c>
      <c r="D1135" s="1" t="s">
        <v>218</v>
      </c>
      <c r="E1135" s="92" t="s">
        <v>2099</v>
      </c>
      <c r="F1135" s="92" t="s">
        <v>2099</v>
      </c>
      <c r="G1135" s="92" t="s">
        <v>1875</v>
      </c>
      <c r="H1135" s="1" t="s">
        <v>1684</v>
      </c>
      <c r="I1135" s="1" t="s">
        <v>1689</v>
      </c>
      <c r="J1135" s="1" t="s">
        <v>1714</v>
      </c>
      <c r="K1135" s="1" t="s">
        <v>1715</v>
      </c>
      <c r="L1135" s="1" t="s">
        <v>1716</v>
      </c>
    </row>
    <row r="1136" spans="1:12">
      <c r="A1136" s="1" t="s">
        <v>1617</v>
      </c>
      <c r="B1136" s="1" t="s">
        <v>1603</v>
      </c>
      <c r="C1136" s="1" t="s">
        <v>1711</v>
      </c>
      <c r="D1136" s="1" t="s">
        <v>1693</v>
      </c>
      <c r="E1136" s="1" t="s">
        <v>1694</v>
      </c>
      <c r="F1136" s="1" t="s">
        <v>1694</v>
      </c>
      <c r="H1136" s="1" t="s">
        <v>1684</v>
      </c>
      <c r="I1136" s="1" t="s">
        <v>1689</v>
      </c>
      <c r="J1136" s="1" t="s">
        <v>1714</v>
      </c>
      <c r="K1136" s="1" t="s">
        <v>1715</v>
      </c>
      <c r="L1136" s="1" t="s">
        <v>1716</v>
      </c>
    </row>
    <row r="1137" spans="1:12">
      <c r="A1137" s="1" t="s">
        <v>1617</v>
      </c>
      <c r="B1137" s="1" t="s">
        <v>1603</v>
      </c>
      <c r="C1137" s="1" t="s">
        <v>1711</v>
      </c>
      <c r="D1137" s="1" t="s">
        <v>1695</v>
      </c>
      <c r="E1137" s="1" t="s">
        <v>1849</v>
      </c>
      <c r="F1137" s="1" t="s">
        <v>1849</v>
      </c>
      <c r="H1137" s="1" t="s">
        <v>1684</v>
      </c>
      <c r="I1137" s="1" t="s">
        <v>1689</v>
      </c>
      <c r="J1137" s="1" t="s">
        <v>1714</v>
      </c>
      <c r="K1137" s="1" t="s">
        <v>1715</v>
      </c>
      <c r="L1137" s="1" t="s">
        <v>1716</v>
      </c>
    </row>
    <row r="1138" spans="1:12">
      <c r="A1138" s="1" t="s">
        <v>1617</v>
      </c>
      <c r="B1138" s="1" t="s">
        <v>1603</v>
      </c>
      <c r="C1138" s="1" t="s">
        <v>1711</v>
      </c>
      <c r="D1138" s="1" t="s">
        <v>1697</v>
      </c>
      <c r="E1138" s="1" t="s">
        <v>1698</v>
      </c>
      <c r="F1138" s="1" t="s">
        <v>1698</v>
      </c>
      <c r="H1138" s="1" t="s">
        <v>1684</v>
      </c>
      <c r="I1138" s="1" t="s">
        <v>1689</v>
      </c>
      <c r="J1138" s="1" t="s">
        <v>1714</v>
      </c>
      <c r="K1138" s="1" t="s">
        <v>1715</v>
      </c>
      <c r="L1138" s="1" t="s">
        <v>1716</v>
      </c>
    </row>
    <row r="1139" spans="1:12">
      <c r="A1139" s="1" t="s">
        <v>1617</v>
      </c>
      <c r="B1139" s="1" t="s">
        <v>1603</v>
      </c>
      <c r="C1139" s="1" t="s">
        <v>1711</v>
      </c>
      <c r="D1139" s="1" t="s">
        <v>1699</v>
      </c>
      <c r="E1139" s="92" t="s">
        <v>1832</v>
      </c>
      <c r="F1139" s="92" t="s">
        <v>1833</v>
      </c>
      <c r="H1139" s="1" t="s">
        <v>1684</v>
      </c>
      <c r="I1139" s="1" t="s">
        <v>1689</v>
      </c>
      <c r="J1139" s="1" t="s">
        <v>1714</v>
      </c>
      <c r="K1139" s="1" t="s">
        <v>1715</v>
      </c>
      <c r="L1139" s="1" t="s">
        <v>1716</v>
      </c>
    </row>
    <row r="1140" spans="1:12">
      <c r="A1140" s="1" t="s">
        <v>1617</v>
      </c>
      <c r="B1140" s="1" t="s">
        <v>1603</v>
      </c>
      <c r="C1140" s="1" t="s">
        <v>1711</v>
      </c>
      <c r="D1140" s="1" t="s">
        <v>1702</v>
      </c>
      <c r="E1140" s="92" t="s">
        <v>1885</v>
      </c>
      <c r="F1140" s="92" t="s">
        <v>1886</v>
      </c>
      <c r="H1140" s="1" t="s">
        <v>1684</v>
      </c>
      <c r="I1140" s="1" t="s">
        <v>1689</v>
      </c>
      <c r="J1140" s="1" t="s">
        <v>1714</v>
      </c>
      <c r="K1140" s="1" t="s">
        <v>1715</v>
      </c>
      <c r="L1140" s="1" t="s">
        <v>1716</v>
      </c>
    </row>
    <row r="1141" spans="1:12">
      <c r="A1141" s="1" t="s">
        <v>1617</v>
      </c>
      <c r="B1141" s="1" t="s">
        <v>1603</v>
      </c>
      <c r="C1141" s="1" t="s">
        <v>1711</v>
      </c>
      <c r="D1141" s="1" t="s">
        <v>1705</v>
      </c>
      <c r="E1141" s="92" t="s">
        <v>1887</v>
      </c>
      <c r="F1141" s="92" t="s">
        <v>1860</v>
      </c>
      <c r="H1141" s="1" t="s">
        <v>1684</v>
      </c>
      <c r="I1141" s="1" t="s">
        <v>1689</v>
      </c>
      <c r="J1141" s="1" t="s">
        <v>1714</v>
      </c>
      <c r="K1141" s="1" t="s">
        <v>1715</v>
      </c>
      <c r="L1141" s="1" t="s">
        <v>1716</v>
      </c>
    </row>
    <row r="1142" spans="1:12">
      <c r="A1142" s="1" t="s">
        <v>1617</v>
      </c>
      <c r="B1142" s="1" t="s">
        <v>1603</v>
      </c>
      <c r="C1142" s="1" t="s">
        <v>1723</v>
      </c>
      <c r="D1142" s="1" t="s">
        <v>218</v>
      </c>
      <c r="E1142" s="92" t="s">
        <v>1890</v>
      </c>
      <c r="F1142" s="92" t="s">
        <v>1890</v>
      </c>
      <c r="G1142" s="92" t="s">
        <v>1738</v>
      </c>
      <c r="H1142" s="1" t="s">
        <v>1684</v>
      </c>
      <c r="I1142" s="1" t="s">
        <v>973</v>
      </c>
      <c r="J1142" s="1" t="s">
        <v>1726</v>
      </c>
      <c r="K1142" s="1" t="s">
        <v>1727</v>
      </c>
      <c r="L1142" s="1" t="s">
        <v>1728</v>
      </c>
    </row>
    <row r="1143" spans="1:12">
      <c r="A1143" s="1" t="s">
        <v>1617</v>
      </c>
      <c r="B1143" s="1" t="s">
        <v>1603</v>
      </c>
      <c r="C1143" s="1" t="s">
        <v>1723</v>
      </c>
      <c r="D1143" s="1" t="s">
        <v>1693</v>
      </c>
      <c r="E1143" s="1" t="s">
        <v>1694</v>
      </c>
      <c r="F1143" s="1" t="s">
        <v>1694</v>
      </c>
      <c r="H1143" s="1" t="s">
        <v>1684</v>
      </c>
      <c r="I1143" s="1" t="s">
        <v>973</v>
      </c>
      <c r="J1143" s="1" t="s">
        <v>1726</v>
      </c>
      <c r="K1143" s="1" t="s">
        <v>1727</v>
      </c>
      <c r="L1143" s="1" t="s">
        <v>1728</v>
      </c>
    </row>
    <row r="1144" spans="1:12">
      <c r="A1144" s="1" t="s">
        <v>1617</v>
      </c>
      <c r="B1144" s="1" t="s">
        <v>1603</v>
      </c>
      <c r="C1144" s="1" t="s">
        <v>1723</v>
      </c>
      <c r="D1144" s="1" t="s">
        <v>1695</v>
      </c>
      <c r="E1144" s="1" t="s">
        <v>1694</v>
      </c>
      <c r="F1144" s="1" t="s">
        <v>1694</v>
      </c>
      <c r="H1144" s="1" t="s">
        <v>1684</v>
      </c>
      <c r="I1144" s="1" t="s">
        <v>973</v>
      </c>
      <c r="J1144" s="1" t="s">
        <v>1726</v>
      </c>
      <c r="K1144" s="1" t="s">
        <v>1727</v>
      </c>
      <c r="L1144" s="1" t="s">
        <v>1728</v>
      </c>
    </row>
    <row r="1145" spans="1:12">
      <c r="A1145" s="1" t="s">
        <v>1617</v>
      </c>
      <c r="B1145" s="1" t="s">
        <v>1603</v>
      </c>
      <c r="C1145" s="1" t="s">
        <v>1723</v>
      </c>
      <c r="D1145" s="1" t="s">
        <v>1697</v>
      </c>
      <c r="E1145" s="1" t="s">
        <v>1698</v>
      </c>
      <c r="F1145" s="1" t="s">
        <v>1698</v>
      </c>
      <c r="H1145" s="1" t="s">
        <v>1684</v>
      </c>
      <c r="I1145" s="1" t="s">
        <v>973</v>
      </c>
      <c r="J1145" s="1" t="s">
        <v>1726</v>
      </c>
      <c r="K1145" s="1" t="s">
        <v>1727</v>
      </c>
      <c r="L1145" s="1" t="s">
        <v>1728</v>
      </c>
    </row>
    <row r="1146" spans="1:12">
      <c r="A1146" s="1" t="s">
        <v>1617</v>
      </c>
      <c r="B1146" s="1" t="s">
        <v>1603</v>
      </c>
      <c r="C1146" s="1" t="s">
        <v>1729</v>
      </c>
      <c r="D1146" s="1" t="s">
        <v>218</v>
      </c>
      <c r="E1146" s="92" t="s">
        <v>1822</v>
      </c>
      <c r="F1146" s="92" t="s">
        <v>1822</v>
      </c>
      <c r="G1146" s="92" t="s">
        <v>1822</v>
      </c>
      <c r="H1146" s="1" t="s">
        <v>1684</v>
      </c>
      <c r="I1146" s="1" t="s">
        <v>1731</v>
      </c>
      <c r="J1146" s="1" t="s">
        <v>1732</v>
      </c>
      <c r="K1146" s="1" t="s">
        <v>1733</v>
      </c>
      <c r="L1146" s="1" t="s">
        <v>1734</v>
      </c>
    </row>
    <row r="1147" spans="1:12">
      <c r="A1147" s="1" t="s">
        <v>1617</v>
      </c>
      <c r="B1147" s="1" t="s">
        <v>1603</v>
      </c>
      <c r="C1147" s="1" t="s">
        <v>1729</v>
      </c>
      <c r="D1147" s="1" t="s">
        <v>1695</v>
      </c>
      <c r="E1147" s="1" t="s">
        <v>1694</v>
      </c>
      <c r="F1147" s="1" t="s">
        <v>1694</v>
      </c>
      <c r="H1147" s="1" t="s">
        <v>1684</v>
      </c>
      <c r="I1147" s="1" t="s">
        <v>1731</v>
      </c>
      <c r="J1147" s="1" t="s">
        <v>1732</v>
      </c>
      <c r="K1147" s="1" t="s">
        <v>1733</v>
      </c>
      <c r="L1147" s="1" t="s">
        <v>1734</v>
      </c>
    </row>
    <row r="1148" spans="1:12">
      <c r="A1148" s="1" t="s">
        <v>1617</v>
      </c>
      <c r="B1148" s="1" t="s">
        <v>1603</v>
      </c>
      <c r="C1148" s="1" t="s">
        <v>1729</v>
      </c>
      <c r="D1148" s="1" t="s">
        <v>1697</v>
      </c>
      <c r="E1148" s="1" t="s">
        <v>1698</v>
      </c>
      <c r="F1148" s="1" t="s">
        <v>1698</v>
      </c>
      <c r="H1148" s="1" t="s">
        <v>1684</v>
      </c>
      <c r="I1148" s="1" t="s">
        <v>1731</v>
      </c>
      <c r="J1148" s="1" t="s">
        <v>1732</v>
      </c>
      <c r="K1148" s="1" t="s">
        <v>1733</v>
      </c>
      <c r="L1148" s="1" t="s">
        <v>1734</v>
      </c>
    </row>
    <row r="1149" spans="1:12">
      <c r="A1149" s="1" t="s">
        <v>1619</v>
      </c>
      <c r="B1149" s="1" t="s">
        <v>1603</v>
      </c>
      <c r="C1149" s="1" t="s">
        <v>1680</v>
      </c>
      <c r="D1149" s="1" t="s">
        <v>1681</v>
      </c>
      <c r="E1149" s="92" t="s">
        <v>1927</v>
      </c>
      <c r="F1149" s="92" t="s">
        <v>1928</v>
      </c>
      <c r="H1149" s="1" t="s">
        <v>1684</v>
      </c>
    </row>
    <row r="1150" spans="1:12">
      <c r="A1150" s="1" t="s">
        <v>1619</v>
      </c>
      <c r="B1150" s="1" t="s">
        <v>1603</v>
      </c>
      <c r="C1150" s="1" t="s">
        <v>1680</v>
      </c>
      <c r="D1150" s="1" t="s">
        <v>1685</v>
      </c>
      <c r="E1150" s="1" t="s">
        <v>1526</v>
      </c>
      <c r="F1150" s="1" t="s">
        <v>1526</v>
      </c>
      <c r="H1150" s="1" t="s">
        <v>1684</v>
      </c>
    </row>
    <row r="1151" spans="1:12">
      <c r="A1151" s="1" t="s">
        <v>1619</v>
      </c>
      <c r="B1151" s="1" t="s">
        <v>1603</v>
      </c>
      <c r="C1151" s="1" t="s">
        <v>1686</v>
      </c>
      <c r="D1151" s="1" t="s">
        <v>218</v>
      </c>
      <c r="E1151" s="92" t="s">
        <v>2100</v>
      </c>
      <c r="F1151" s="92" t="s">
        <v>2100</v>
      </c>
      <c r="G1151" s="92" t="s">
        <v>1791</v>
      </c>
      <c r="H1151" s="1" t="s">
        <v>1684</v>
      </c>
      <c r="I1151" s="1" t="s">
        <v>1689</v>
      </c>
      <c r="J1151" s="1" t="s">
        <v>1690</v>
      </c>
      <c r="K1151" s="1" t="s">
        <v>1691</v>
      </c>
      <c r="L1151" s="1" t="s">
        <v>1692</v>
      </c>
    </row>
    <row r="1152" spans="1:12">
      <c r="A1152" s="1" t="s">
        <v>1619</v>
      </c>
      <c r="B1152" s="1" t="s">
        <v>1603</v>
      </c>
      <c r="C1152" s="1" t="s">
        <v>1686</v>
      </c>
      <c r="D1152" s="1" t="s">
        <v>1693</v>
      </c>
      <c r="E1152" s="1" t="s">
        <v>1756</v>
      </c>
      <c r="F1152" s="1" t="s">
        <v>1756</v>
      </c>
      <c r="H1152" s="1" t="s">
        <v>1684</v>
      </c>
      <c r="I1152" s="1" t="s">
        <v>1689</v>
      </c>
      <c r="J1152" s="1" t="s">
        <v>1690</v>
      </c>
      <c r="K1152" s="1" t="s">
        <v>1691</v>
      </c>
      <c r="L1152" s="1" t="s">
        <v>1692</v>
      </c>
    </row>
    <row r="1153" spans="1:12">
      <c r="A1153" s="1" t="s">
        <v>1619</v>
      </c>
      <c r="B1153" s="1" t="s">
        <v>1603</v>
      </c>
      <c r="C1153" s="1" t="s">
        <v>1686</v>
      </c>
      <c r="D1153" s="1" t="s">
        <v>1695</v>
      </c>
      <c r="E1153" s="1" t="s">
        <v>1757</v>
      </c>
      <c r="F1153" s="1" t="s">
        <v>1757</v>
      </c>
      <c r="H1153" s="1" t="s">
        <v>1684</v>
      </c>
      <c r="I1153" s="1" t="s">
        <v>1689</v>
      </c>
      <c r="J1153" s="1" t="s">
        <v>1690</v>
      </c>
      <c r="K1153" s="1" t="s">
        <v>1691</v>
      </c>
      <c r="L1153" s="1" t="s">
        <v>1692</v>
      </c>
    </row>
    <row r="1154" spans="1:12">
      <c r="A1154" s="1" t="s">
        <v>1619</v>
      </c>
      <c r="B1154" s="1" t="s">
        <v>1603</v>
      </c>
      <c r="C1154" s="1" t="s">
        <v>1686</v>
      </c>
      <c r="D1154" s="1" t="s">
        <v>1697</v>
      </c>
      <c r="E1154" s="1" t="s">
        <v>1698</v>
      </c>
      <c r="F1154" s="1" t="s">
        <v>1698</v>
      </c>
      <c r="H1154" s="1" t="s">
        <v>1684</v>
      </c>
      <c r="I1154" s="1" t="s">
        <v>1689</v>
      </c>
      <c r="J1154" s="1" t="s">
        <v>1690</v>
      </c>
      <c r="K1154" s="1" t="s">
        <v>1691</v>
      </c>
      <c r="L1154" s="1" t="s">
        <v>1692</v>
      </c>
    </row>
    <row r="1155" spans="1:12">
      <c r="A1155" s="1" t="s">
        <v>1619</v>
      </c>
      <c r="B1155" s="1" t="s">
        <v>1603</v>
      </c>
      <c r="C1155" s="1" t="s">
        <v>1686</v>
      </c>
      <c r="D1155" s="1" t="s">
        <v>1699</v>
      </c>
      <c r="E1155" s="92" t="s">
        <v>1961</v>
      </c>
      <c r="F1155" s="92" t="s">
        <v>1962</v>
      </c>
      <c r="H1155" s="1" t="s">
        <v>1684</v>
      </c>
      <c r="I1155" s="1" t="s">
        <v>1689</v>
      </c>
      <c r="J1155" s="1" t="s">
        <v>1690</v>
      </c>
      <c r="K1155" s="1" t="s">
        <v>1691</v>
      </c>
      <c r="L1155" s="1" t="s">
        <v>1692</v>
      </c>
    </row>
    <row r="1156" spans="1:12">
      <c r="A1156" s="1" t="s">
        <v>1619</v>
      </c>
      <c r="B1156" s="1" t="s">
        <v>1603</v>
      </c>
      <c r="C1156" s="1" t="s">
        <v>1686</v>
      </c>
      <c r="D1156" s="1" t="s">
        <v>1702</v>
      </c>
      <c r="E1156" s="92" t="s">
        <v>1963</v>
      </c>
      <c r="F1156" s="92" t="s">
        <v>1964</v>
      </c>
      <c r="H1156" s="1" t="s">
        <v>1684</v>
      </c>
      <c r="I1156" s="1" t="s">
        <v>1689</v>
      </c>
      <c r="J1156" s="1" t="s">
        <v>1690</v>
      </c>
      <c r="K1156" s="1" t="s">
        <v>1691</v>
      </c>
      <c r="L1156" s="1" t="s">
        <v>1692</v>
      </c>
    </row>
    <row r="1157" spans="1:12">
      <c r="A1157" s="1" t="s">
        <v>1619</v>
      </c>
      <c r="B1157" s="1" t="s">
        <v>1603</v>
      </c>
      <c r="C1157" s="1" t="s">
        <v>1686</v>
      </c>
      <c r="D1157" s="1" t="s">
        <v>1705</v>
      </c>
      <c r="E1157" s="92" t="s">
        <v>1965</v>
      </c>
      <c r="F1157" s="92" t="s">
        <v>1966</v>
      </c>
      <c r="H1157" s="1" t="s">
        <v>1684</v>
      </c>
      <c r="I1157" s="1" t="s">
        <v>1689</v>
      </c>
      <c r="J1157" s="1" t="s">
        <v>1690</v>
      </c>
      <c r="K1157" s="1" t="s">
        <v>1691</v>
      </c>
      <c r="L1157" s="1" t="s">
        <v>1692</v>
      </c>
    </row>
    <row r="1158" spans="1:12">
      <c r="A1158" s="1" t="s">
        <v>1619</v>
      </c>
      <c r="B1158" s="1" t="s">
        <v>1603</v>
      </c>
      <c r="C1158" s="1" t="s">
        <v>1394</v>
      </c>
      <c r="D1158" s="1" t="s">
        <v>1708</v>
      </c>
      <c r="E1158" s="1" t="s">
        <v>1709</v>
      </c>
      <c r="F1158" s="1" t="s">
        <v>1709</v>
      </c>
      <c r="H1158" s="1" t="s">
        <v>1684</v>
      </c>
      <c r="I1158" s="1" t="s">
        <v>973</v>
      </c>
      <c r="J1158" s="1" t="s">
        <v>1710</v>
      </c>
      <c r="K1158" s="1" t="s">
        <v>1691</v>
      </c>
      <c r="L1158" s="1" t="s">
        <v>1692</v>
      </c>
    </row>
    <row r="1159" spans="1:12">
      <c r="A1159" s="1" t="s">
        <v>1619</v>
      </c>
      <c r="B1159" s="1" t="s">
        <v>1603</v>
      </c>
      <c r="C1159" s="1" t="s">
        <v>1711</v>
      </c>
      <c r="D1159" s="1" t="s">
        <v>218</v>
      </c>
      <c r="E1159" s="92" t="s">
        <v>2101</v>
      </c>
      <c r="F1159" s="92" t="s">
        <v>2101</v>
      </c>
      <c r="G1159" s="92" t="s">
        <v>1738</v>
      </c>
      <c r="H1159" s="1" t="s">
        <v>1684</v>
      </c>
      <c r="I1159" s="1" t="s">
        <v>1689</v>
      </c>
      <c r="J1159" s="1" t="s">
        <v>1714</v>
      </c>
      <c r="K1159" s="1" t="s">
        <v>1715</v>
      </c>
      <c r="L1159" s="1" t="s">
        <v>1716</v>
      </c>
    </row>
    <row r="1160" spans="1:12">
      <c r="A1160" s="1" t="s">
        <v>1619</v>
      </c>
      <c r="B1160" s="1" t="s">
        <v>1603</v>
      </c>
      <c r="C1160" s="1" t="s">
        <v>1711</v>
      </c>
      <c r="D1160" s="1" t="s">
        <v>1693</v>
      </c>
      <c r="E1160" s="1" t="s">
        <v>1802</v>
      </c>
      <c r="F1160" s="1" t="s">
        <v>1802</v>
      </c>
      <c r="H1160" s="1" t="s">
        <v>1684</v>
      </c>
      <c r="I1160" s="1" t="s">
        <v>1689</v>
      </c>
      <c r="J1160" s="1" t="s">
        <v>1714</v>
      </c>
      <c r="K1160" s="1" t="s">
        <v>1715</v>
      </c>
      <c r="L1160" s="1" t="s">
        <v>1716</v>
      </c>
    </row>
    <row r="1161" spans="1:12">
      <c r="A1161" s="1" t="s">
        <v>1619</v>
      </c>
      <c r="B1161" s="1" t="s">
        <v>1603</v>
      </c>
      <c r="C1161" s="1" t="s">
        <v>1711</v>
      </c>
      <c r="D1161" s="1" t="s">
        <v>1695</v>
      </c>
      <c r="E1161" s="1" t="s">
        <v>1757</v>
      </c>
      <c r="F1161" s="1" t="s">
        <v>1757</v>
      </c>
      <c r="H1161" s="1" t="s">
        <v>1684</v>
      </c>
      <c r="I1161" s="1" t="s">
        <v>1689</v>
      </c>
      <c r="J1161" s="1" t="s">
        <v>1714</v>
      </c>
      <c r="K1161" s="1" t="s">
        <v>1715</v>
      </c>
      <c r="L1161" s="1" t="s">
        <v>1716</v>
      </c>
    </row>
    <row r="1162" spans="1:12">
      <c r="A1162" s="1" t="s">
        <v>1619</v>
      </c>
      <c r="B1162" s="1" t="s">
        <v>1603</v>
      </c>
      <c r="C1162" s="1" t="s">
        <v>1711</v>
      </c>
      <c r="D1162" s="1" t="s">
        <v>1697</v>
      </c>
      <c r="E1162" s="1" t="s">
        <v>1698</v>
      </c>
      <c r="F1162" s="1" t="s">
        <v>1698</v>
      </c>
      <c r="H1162" s="1" t="s">
        <v>1684</v>
      </c>
      <c r="I1162" s="1" t="s">
        <v>1689</v>
      </c>
      <c r="J1162" s="1" t="s">
        <v>1714</v>
      </c>
      <c r="K1162" s="1" t="s">
        <v>1715</v>
      </c>
      <c r="L1162" s="1" t="s">
        <v>1716</v>
      </c>
    </row>
    <row r="1163" spans="1:12">
      <c r="A1163" s="1" t="s">
        <v>1619</v>
      </c>
      <c r="B1163" s="1" t="s">
        <v>1603</v>
      </c>
      <c r="C1163" s="1" t="s">
        <v>1711</v>
      </c>
      <c r="D1163" s="1" t="s">
        <v>1699</v>
      </c>
      <c r="E1163" s="92" t="s">
        <v>1832</v>
      </c>
      <c r="F1163" s="92" t="s">
        <v>1833</v>
      </c>
      <c r="H1163" s="1" t="s">
        <v>1684</v>
      </c>
      <c r="I1163" s="1" t="s">
        <v>1689</v>
      </c>
      <c r="J1163" s="1" t="s">
        <v>1714</v>
      </c>
      <c r="K1163" s="1" t="s">
        <v>1715</v>
      </c>
      <c r="L1163" s="1" t="s">
        <v>1716</v>
      </c>
    </row>
    <row r="1164" spans="1:12">
      <c r="A1164" s="1" t="s">
        <v>1619</v>
      </c>
      <c r="B1164" s="1" t="s">
        <v>1603</v>
      </c>
      <c r="C1164" s="1" t="s">
        <v>1711</v>
      </c>
      <c r="D1164" s="1" t="s">
        <v>1702</v>
      </c>
      <c r="E1164" s="92" t="s">
        <v>2102</v>
      </c>
      <c r="F1164" s="92" t="s">
        <v>2103</v>
      </c>
      <c r="H1164" s="1" t="s">
        <v>1684</v>
      </c>
      <c r="I1164" s="1" t="s">
        <v>1689</v>
      </c>
      <c r="J1164" s="1" t="s">
        <v>1714</v>
      </c>
      <c r="K1164" s="1" t="s">
        <v>1715</v>
      </c>
      <c r="L1164" s="1" t="s">
        <v>1716</v>
      </c>
    </row>
    <row r="1165" spans="1:12">
      <c r="A1165" s="1" t="s">
        <v>1619</v>
      </c>
      <c r="B1165" s="1" t="s">
        <v>1603</v>
      </c>
      <c r="C1165" s="1" t="s">
        <v>1711</v>
      </c>
      <c r="D1165" s="1" t="s">
        <v>1705</v>
      </c>
      <c r="E1165" s="92" t="s">
        <v>2104</v>
      </c>
      <c r="F1165" s="92" t="s">
        <v>2105</v>
      </c>
      <c r="H1165" s="1" t="s">
        <v>1684</v>
      </c>
      <c r="I1165" s="1" t="s">
        <v>1689</v>
      </c>
      <c r="J1165" s="1" t="s">
        <v>1714</v>
      </c>
      <c r="K1165" s="1" t="s">
        <v>1715</v>
      </c>
      <c r="L1165" s="1" t="s">
        <v>1716</v>
      </c>
    </row>
    <row r="1166" spans="1:12">
      <c r="A1166" s="1" t="s">
        <v>1619</v>
      </c>
      <c r="B1166" s="1" t="s">
        <v>1603</v>
      </c>
      <c r="C1166" s="1" t="s">
        <v>1711</v>
      </c>
      <c r="D1166" s="1" t="s">
        <v>1787</v>
      </c>
      <c r="E1166" s="92" t="s">
        <v>2106</v>
      </c>
      <c r="F1166" s="92" t="s">
        <v>2101</v>
      </c>
      <c r="G1166" s="92" t="s">
        <v>2107</v>
      </c>
      <c r="H1166" s="1" t="s">
        <v>1534</v>
      </c>
      <c r="I1166" s="1" t="s">
        <v>1689</v>
      </c>
      <c r="J1166" s="1" t="s">
        <v>1714</v>
      </c>
      <c r="K1166" s="1" t="s">
        <v>1715</v>
      </c>
      <c r="L1166" s="1" t="s">
        <v>1716</v>
      </c>
    </row>
    <row r="1167" spans="1:12">
      <c r="A1167" s="1" t="s">
        <v>1619</v>
      </c>
      <c r="B1167" s="1" t="s">
        <v>1603</v>
      </c>
      <c r="C1167" s="1" t="s">
        <v>1723</v>
      </c>
      <c r="D1167" s="1" t="s">
        <v>218</v>
      </c>
      <c r="E1167" s="92" t="s">
        <v>2108</v>
      </c>
      <c r="F1167" s="92" t="s">
        <v>2108</v>
      </c>
      <c r="G1167" s="92" t="s">
        <v>1713</v>
      </c>
      <c r="H1167" s="1" t="s">
        <v>1684</v>
      </c>
      <c r="I1167" s="1" t="s">
        <v>973</v>
      </c>
      <c r="J1167" s="1" t="s">
        <v>1726</v>
      </c>
      <c r="K1167" s="1" t="s">
        <v>1727</v>
      </c>
      <c r="L1167" s="1" t="s">
        <v>1728</v>
      </c>
    </row>
    <row r="1168" spans="1:12">
      <c r="A1168" s="1" t="s">
        <v>1619</v>
      </c>
      <c r="B1168" s="1" t="s">
        <v>1603</v>
      </c>
      <c r="C1168" s="1" t="s">
        <v>1723</v>
      </c>
      <c r="D1168" s="1" t="s">
        <v>1693</v>
      </c>
      <c r="E1168" s="1" t="s">
        <v>1694</v>
      </c>
      <c r="F1168" s="1" t="s">
        <v>1694</v>
      </c>
      <c r="H1168" s="1" t="s">
        <v>1684</v>
      </c>
      <c r="I1168" s="1" t="s">
        <v>973</v>
      </c>
      <c r="J1168" s="1" t="s">
        <v>1726</v>
      </c>
      <c r="K1168" s="1" t="s">
        <v>1727</v>
      </c>
      <c r="L1168" s="1" t="s">
        <v>1728</v>
      </c>
    </row>
    <row r="1169" spans="1:12">
      <c r="A1169" s="1" t="s">
        <v>1619</v>
      </c>
      <c r="B1169" s="1" t="s">
        <v>1603</v>
      </c>
      <c r="C1169" s="1" t="s">
        <v>1723</v>
      </c>
      <c r="D1169" s="1" t="s">
        <v>1695</v>
      </c>
      <c r="E1169" s="1" t="s">
        <v>1694</v>
      </c>
      <c r="F1169" s="1" t="s">
        <v>1694</v>
      </c>
      <c r="H1169" s="1" t="s">
        <v>1684</v>
      </c>
      <c r="I1169" s="1" t="s">
        <v>973</v>
      </c>
      <c r="J1169" s="1" t="s">
        <v>1726</v>
      </c>
      <c r="K1169" s="1" t="s">
        <v>1727</v>
      </c>
      <c r="L1169" s="1" t="s">
        <v>1728</v>
      </c>
    </row>
    <row r="1170" spans="1:12">
      <c r="A1170" s="1" t="s">
        <v>1619</v>
      </c>
      <c r="B1170" s="1" t="s">
        <v>1603</v>
      </c>
      <c r="C1170" s="1" t="s">
        <v>1723</v>
      </c>
      <c r="D1170" s="1" t="s">
        <v>1697</v>
      </c>
      <c r="E1170" s="1" t="s">
        <v>1698</v>
      </c>
      <c r="F1170" s="1" t="s">
        <v>1698</v>
      </c>
      <c r="H1170" s="1" t="s">
        <v>1684</v>
      </c>
      <c r="I1170" s="1" t="s">
        <v>973</v>
      </c>
      <c r="J1170" s="1" t="s">
        <v>1726</v>
      </c>
      <c r="K1170" s="1" t="s">
        <v>1727</v>
      </c>
      <c r="L1170" s="1" t="s">
        <v>1728</v>
      </c>
    </row>
    <row r="1171" spans="1:12">
      <c r="A1171" s="1" t="s">
        <v>1619</v>
      </c>
      <c r="B1171" s="1" t="s">
        <v>1603</v>
      </c>
      <c r="C1171" s="1" t="s">
        <v>1729</v>
      </c>
      <c r="D1171" s="1" t="s">
        <v>218</v>
      </c>
      <c r="E1171" s="92" t="s">
        <v>1822</v>
      </c>
      <c r="F1171" s="92" t="s">
        <v>1822</v>
      </c>
      <c r="G1171" s="92" t="s">
        <v>1822</v>
      </c>
      <c r="H1171" s="1" t="s">
        <v>1684</v>
      </c>
      <c r="I1171" s="1" t="s">
        <v>1731</v>
      </c>
      <c r="J1171" s="1" t="s">
        <v>1732</v>
      </c>
      <c r="K1171" s="1" t="s">
        <v>1733</v>
      </c>
      <c r="L1171" s="1" t="s">
        <v>1734</v>
      </c>
    </row>
    <row r="1172" spans="1:12">
      <c r="A1172" s="1" t="s">
        <v>1619</v>
      </c>
      <c r="B1172" s="1" t="s">
        <v>1603</v>
      </c>
      <c r="C1172" s="1" t="s">
        <v>1729</v>
      </c>
      <c r="D1172" s="1" t="s">
        <v>1695</v>
      </c>
      <c r="E1172" s="1" t="s">
        <v>1694</v>
      </c>
      <c r="F1172" s="1" t="s">
        <v>1694</v>
      </c>
      <c r="H1172" s="1" t="s">
        <v>1684</v>
      </c>
      <c r="I1172" s="1" t="s">
        <v>1731</v>
      </c>
      <c r="J1172" s="1" t="s">
        <v>1732</v>
      </c>
      <c r="K1172" s="1" t="s">
        <v>1733</v>
      </c>
      <c r="L1172" s="1" t="s">
        <v>1734</v>
      </c>
    </row>
    <row r="1173" spans="1:12">
      <c r="A1173" s="1" t="s">
        <v>1619</v>
      </c>
      <c r="B1173" s="1" t="s">
        <v>1603</v>
      </c>
      <c r="C1173" s="1" t="s">
        <v>1729</v>
      </c>
      <c r="D1173" s="1" t="s">
        <v>1697</v>
      </c>
      <c r="E1173" s="1" t="s">
        <v>1698</v>
      </c>
      <c r="F1173" s="1" t="s">
        <v>1698</v>
      </c>
      <c r="H1173" s="1" t="s">
        <v>1684</v>
      </c>
      <c r="I1173" s="1" t="s">
        <v>1731</v>
      </c>
      <c r="J1173" s="1" t="s">
        <v>1732</v>
      </c>
      <c r="K1173" s="1" t="s">
        <v>1733</v>
      </c>
      <c r="L1173" s="1" t="s">
        <v>1734</v>
      </c>
    </row>
    <row r="1174" spans="1:12">
      <c r="A1174" s="1" t="s">
        <v>1621</v>
      </c>
      <c r="B1174" s="1" t="s">
        <v>1622</v>
      </c>
      <c r="C1174" s="1" t="s">
        <v>1680</v>
      </c>
      <c r="D1174" s="1" t="s">
        <v>1681</v>
      </c>
      <c r="E1174" s="92" t="s">
        <v>2109</v>
      </c>
      <c r="F1174" s="92" t="s">
        <v>2110</v>
      </c>
      <c r="H1174" s="1" t="s">
        <v>1684</v>
      </c>
    </row>
    <row r="1175" spans="1:12">
      <c r="A1175" s="1" t="s">
        <v>1621</v>
      </c>
      <c r="B1175" s="1" t="s">
        <v>1622</v>
      </c>
      <c r="C1175" s="1" t="s">
        <v>1680</v>
      </c>
      <c r="D1175" s="1" t="s">
        <v>1685</v>
      </c>
      <c r="E1175" s="1" t="s">
        <v>1526</v>
      </c>
      <c r="F1175" s="1" t="s">
        <v>1526</v>
      </c>
      <c r="H1175" s="1" t="s">
        <v>1684</v>
      </c>
    </row>
    <row r="1176" spans="1:12">
      <c r="A1176" s="1" t="s">
        <v>1621</v>
      </c>
      <c r="B1176" s="1" t="s">
        <v>1622</v>
      </c>
      <c r="C1176" s="1" t="s">
        <v>1686</v>
      </c>
      <c r="D1176" s="1" t="s">
        <v>218</v>
      </c>
      <c r="E1176" s="92" t="s">
        <v>2111</v>
      </c>
      <c r="F1176" s="92" t="s">
        <v>2111</v>
      </c>
      <c r="G1176" s="92" t="s">
        <v>1713</v>
      </c>
      <c r="H1176" s="1" t="s">
        <v>1684</v>
      </c>
      <c r="I1176" s="1" t="s">
        <v>1689</v>
      </c>
      <c r="J1176" s="1" t="s">
        <v>1690</v>
      </c>
      <c r="K1176" s="1" t="s">
        <v>1691</v>
      </c>
      <c r="L1176" s="1" t="s">
        <v>1692</v>
      </c>
    </row>
    <row r="1177" spans="1:12">
      <c r="A1177" s="1" t="s">
        <v>1621</v>
      </c>
      <c r="B1177" s="1" t="s">
        <v>1622</v>
      </c>
      <c r="C1177" s="1" t="s">
        <v>1686</v>
      </c>
      <c r="D1177" s="1" t="s">
        <v>1693</v>
      </c>
      <c r="E1177" s="1" t="s">
        <v>1694</v>
      </c>
      <c r="F1177" s="1" t="s">
        <v>1694</v>
      </c>
      <c r="H1177" s="1" t="s">
        <v>1684</v>
      </c>
      <c r="I1177" s="1" t="s">
        <v>1689</v>
      </c>
      <c r="J1177" s="1" t="s">
        <v>1690</v>
      </c>
      <c r="K1177" s="1" t="s">
        <v>1691</v>
      </c>
      <c r="L1177" s="1" t="s">
        <v>1692</v>
      </c>
    </row>
    <row r="1178" spans="1:12">
      <c r="A1178" s="1" t="s">
        <v>1621</v>
      </c>
      <c r="B1178" s="1" t="s">
        <v>1622</v>
      </c>
      <c r="C1178" s="1" t="s">
        <v>1686</v>
      </c>
      <c r="D1178" s="1" t="s">
        <v>1695</v>
      </c>
      <c r="E1178" s="1" t="s">
        <v>1696</v>
      </c>
      <c r="F1178" s="1" t="s">
        <v>1696</v>
      </c>
      <c r="H1178" s="1" t="s">
        <v>1684</v>
      </c>
      <c r="I1178" s="1" t="s">
        <v>1689</v>
      </c>
      <c r="J1178" s="1" t="s">
        <v>1690</v>
      </c>
      <c r="K1178" s="1" t="s">
        <v>1691</v>
      </c>
      <c r="L1178" s="1" t="s">
        <v>1692</v>
      </c>
    </row>
    <row r="1179" spans="1:12">
      <c r="A1179" s="1" t="s">
        <v>1621</v>
      </c>
      <c r="B1179" s="1" t="s">
        <v>1622</v>
      </c>
      <c r="C1179" s="1" t="s">
        <v>1686</v>
      </c>
      <c r="D1179" s="1" t="s">
        <v>1697</v>
      </c>
      <c r="E1179" s="1" t="s">
        <v>1698</v>
      </c>
      <c r="F1179" s="1" t="s">
        <v>1698</v>
      </c>
      <c r="H1179" s="1" t="s">
        <v>1684</v>
      </c>
      <c r="I1179" s="1" t="s">
        <v>1689</v>
      </c>
      <c r="J1179" s="1" t="s">
        <v>1690</v>
      </c>
      <c r="K1179" s="1" t="s">
        <v>1691</v>
      </c>
      <c r="L1179" s="1" t="s">
        <v>1692</v>
      </c>
    </row>
    <row r="1180" spans="1:12">
      <c r="A1180" s="1" t="s">
        <v>1621</v>
      </c>
      <c r="B1180" s="1" t="s">
        <v>1622</v>
      </c>
      <c r="C1180" s="1" t="s">
        <v>1686</v>
      </c>
      <c r="D1180" s="1" t="s">
        <v>1699</v>
      </c>
      <c r="E1180" s="92" t="s">
        <v>2112</v>
      </c>
      <c r="F1180" s="92" t="s">
        <v>2113</v>
      </c>
      <c r="H1180" s="1" t="s">
        <v>1684</v>
      </c>
      <c r="I1180" s="1" t="s">
        <v>1689</v>
      </c>
      <c r="J1180" s="1" t="s">
        <v>1690</v>
      </c>
      <c r="K1180" s="1" t="s">
        <v>1691</v>
      </c>
      <c r="L1180" s="1" t="s">
        <v>1692</v>
      </c>
    </row>
    <row r="1181" spans="1:12">
      <c r="A1181" s="1" t="s">
        <v>1621</v>
      </c>
      <c r="B1181" s="1" t="s">
        <v>1622</v>
      </c>
      <c r="C1181" s="1" t="s">
        <v>1686</v>
      </c>
      <c r="D1181" s="1" t="s">
        <v>1702</v>
      </c>
      <c r="E1181" s="92" t="s">
        <v>2114</v>
      </c>
      <c r="F1181" s="92" t="s">
        <v>2115</v>
      </c>
      <c r="H1181" s="1" t="s">
        <v>1684</v>
      </c>
      <c r="I1181" s="1" t="s">
        <v>1689</v>
      </c>
      <c r="J1181" s="1" t="s">
        <v>1690</v>
      </c>
      <c r="K1181" s="1" t="s">
        <v>1691</v>
      </c>
      <c r="L1181" s="1" t="s">
        <v>1692</v>
      </c>
    </row>
    <row r="1182" spans="1:12">
      <c r="A1182" s="1" t="s">
        <v>1621</v>
      </c>
      <c r="B1182" s="1" t="s">
        <v>1622</v>
      </c>
      <c r="C1182" s="1" t="s">
        <v>1686</v>
      </c>
      <c r="D1182" s="1" t="s">
        <v>1705</v>
      </c>
      <c r="E1182" s="92" t="s">
        <v>2116</v>
      </c>
      <c r="F1182" s="92" t="s">
        <v>2117</v>
      </c>
      <c r="H1182" s="1" t="s">
        <v>1684</v>
      </c>
      <c r="I1182" s="1" t="s">
        <v>1689</v>
      </c>
      <c r="J1182" s="1" t="s">
        <v>1690</v>
      </c>
      <c r="K1182" s="1" t="s">
        <v>1691</v>
      </c>
      <c r="L1182" s="1" t="s">
        <v>1692</v>
      </c>
    </row>
    <row r="1183" spans="1:12">
      <c r="A1183" s="1" t="s">
        <v>1621</v>
      </c>
      <c r="B1183" s="1" t="s">
        <v>1622</v>
      </c>
      <c r="C1183" s="1" t="s">
        <v>1394</v>
      </c>
      <c r="D1183" s="1" t="s">
        <v>1708</v>
      </c>
      <c r="E1183" s="1" t="s">
        <v>1709</v>
      </c>
      <c r="F1183" s="1" t="s">
        <v>1709</v>
      </c>
      <c r="H1183" s="1" t="s">
        <v>1684</v>
      </c>
      <c r="I1183" s="1" t="s">
        <v>973</v>
      </c>
      <c r="J1183" s="1" t="s">
        <v>1710</v>
      </c>
      <c r="K1183" s="1" t="s">
        <v>1691</v>
      </c>
      <c r="L1183" s="1" t="s">
        <v>1692</v>
      </c>
    </row>
    <row r="1184" spans="1:12">
      <c r="A1184" s="1" t="s">
        <v>1621</v>
      </c>
      <c r="B1184" s="1" t="s">
        <v>1622</v>
      </c>
      <c r="C1184" s="1" t="s">
        <v>1711</v>
      </c>
      <c r="D1184" s="1" t="s">
        <v>218</v>
      </c>
      <c r="E1184" s="92" t="s">
        <v>2118</v>
      </c>
      <c r="F1184" s="92" t="s">
        <v>2118</v>
      </c>
      <c r="G1184" s="92" t="s">
        <v>1688</v>
      </c>
      <c r="H1184" s="1" t="s">
        <v>1684</v>
      </c>
      <c r="I1184" s="1" t="s">
        <v>1689</v>
      </c>
      <c r="J1184" s="1" t="s">
        <v>1714</v>
      </c>
      <c r="K1184" s="1" t="s">
        <v>1715</v>
      </c>
      <c r="L1184" s="1" t="s">
        <v>1716</v>
      </c>
    </row>
    <row r="1185" spans="1:12">
      <c r="A1185" s="1" t="s">
        <v>1621</v>
      </c>
      <c r="B1185" s="1" t="s">
        <v>1622</v>
      </c>
      <c r="C1185" s="1" t="s">
        <v>1711</v>
      </c>
      <c r="D1185" s="1" t="s">
        <v>1693</v>
      </c>
      <c r="E1185" s="1" t="s">
        <v>1745</v>
      </c>
      <c r="F1185" s="1" t="s">
        <v>1745</v>
      </c>
      <c r="H1185" s="1" t="s">
        <v>1684</v>
      </c>
      <c r="I1185" s="1" t="s">
        <v>1689</v>
      </c>
      <c r="J1185" s="1" t="s">
        <v>1714</v>
      </c>
      <c r="K1185" s="1" t="s">
        <v>1715</v>
      </c>
      <c r="L1185" s="1" t="s">
        <v>1716</v>
      </c>
    </row>
    <row r="1186" spans="1:12">
      <c r="A1186" s="1" t="s">
        <v>1621</v>
      </c>
      <c r="B1186" s="1" t="s">
        <v>1622</v>
      </c>
      <c r="C1186" s="1" t="s">
        <v>1711</v>
      </c>
      <c r="D1186" s="1" t="s">
        <v>1695</v>
      </c>
      <c r="E1186" s="1" t="s">
        <v>1746</v>
      </c>
      <c r="F1186" s="1" t="s">
        <v>1746</v>
      </c>
      <c r="H1186" s="1" t="s">
        <v>1684</v>
      </c>
      <c r="I1186" s="1" t="s">
        <v>1689</v>
      </c>
      <c r="J1186" s="1" t="s">
        <v>1714</v>
      </c>
      <c r="K1186" s="1" t="s">
        <v>1715</v>
      </c>
      <c r="L1186" s="1" t="s">
        <v>1716</v>
      </c>
    </row>
    <row r="1187" spans="1:12">
      <c r="A1187" s="1" t="s">
        <v>1621</v>
      </c>
      <c r="B1187" s="1" t="s">
        <v>1622</v>
      </c>
      <c r="C1187" s="1" t="s">
        <v>1711</v>
      </c>
      <c r="D1187" s="1" t="s">
        <v>1697</v>
      </c>
      <c r="E1187" s="1" t="s">
        <v>1698</v>
      </c>
      <c r="F1187" s="1" t="s">
        <v>1698</v>
      </c>
      <c r="H1187" s="1" t="s">
        <v>1684</v>
      </c>
      <c r="I1187" s="1" t="s">
        <v>1689</v>
      </c>
      <c r="J1187" s="1" t="s">
        <v>1714</v>
      </c>
      <c r="K1187" s="1" t="s">
        <v>1715</v>
      </c>
      <c r="L1187" s="1" t="s">
        <v>1716</v>
      </c>
    </row>
    <row r="1188" spans="1:12">
      <c r="A1188" s="1" t="s">
        <v>1621</v>
      </c>
      <c r="B1188" s="1" t="s">
        <v>1622</v>
      </c>
      <c r="C1188" s="1" t="s">
        <v>1711</v>
      </c>
      <c r="D1188" s="1" t="s">
        <v>1699</v>
      </c>
      <c r="E1188" s="92" t="s">
        <v>1717</v>
      </c>
      <c r="F1188" s="92" t="s">
        <v>1718</v>
      </c>
      <c r="H1188" s="1" t="s">
        <v>1684</v>
      </c>
      <c r="I1188" s="1" t="s">
        <v>1689</v>
      </c>
      <c r="J1188" s="1" t="s">
        <v>1714</v>
      </c>
      <c r="K1188" s="1" t="s">
        <v>1715</v>
      </c>
      <c r="L1188" s="1" t="s">
        <v>1716</v>
      </c>
    </row>
    <row r="1189" spans="1:12">
      <c r="A1189" s="1" t="s">
        <v>1621</v>
      </c>
      <c r="B1189" s="1" t="s">
        <v>1622</v>
      </c>
      <c r="C1189" s="1" t="s">
        <v>1711</v>
      </c>
      <c r="D1189" s="1" t="s">
        <v>1702</v>
      </c>
      <c r="E1189" s="92" t="s">
        <v>2119</v>
      </c>
      <c r="F1189" s="92" t="s">
        <v>2120</v>
      </c>
      <c r="H1189" s="1" t="s">
        <v>1684</v>
      </c>
      <c r="I1189" s="1" t="s">
        <v>1689</v>
      </c>
      <c r="J1189" s="1" t="s">
        <v>1714</v>
      </c>
      <c r="K1189" s="1" t="s">
        <v>1715</v>
      </c>
      <c r="L1189" s="1" t="s">
        <v>1716</v>
      </c>
    </row>
    <row r="1190" spans="1:12">
      <c r="A1190" s="1" t="s">
        <v>1621</v>
      </c>
      <c r="B1190" s="1" t="s">
        <v>1622</v>
      </c>
      <c r="C1190" s="1" t="s">
        <v>1711</v>
      </c>
      <c r="D1190" s="1" t="s">
        <v>1705</v>
      </c>
      <c r="E1190" s="92" t="s">
        <v>2121</v>
      </c>
      <c r="F1190" s="92" t="s">
        <v>1786</v>
      </c>
      <c r="H1190" s="1" t="s">
        <v>1684</v>
      </c>
      <c r="I1190" s="1" t="s">
        <v>1689</v>
      </c>
      <c r="J1190" s="1" t="s">
        <v>1714</v>
      </c>
      <c r="K1190" s="1" t="s">
        <v>1715</v>
      </c>
      <c r="L1190" s="1" t="s">
        <v>1716</v>
      </c>
    </row>
    <row r="1191" spans="1:12">
      <c r="A1191" s="1" t="s">
        <v>1621</v>
      </c>
      <c r="B1191" s="1" t="s">
        <v>1622</v>
      </c>
      <c r="C1191" s="1" t="s">
        <v>1723</v>
      </c>
      <c r="D1191" s="1" t="s">
        <v>218</v>
      </c>
      <c r="E1191" s="92" t="s">
        <v>1822</v>
      </c>
      <c r="F1191" s="92" t="s">
        <v>1822</v>
      </c>
      <c r="G1191" s="92" t="s">
        <v>1822</v>
      </c>
      <c r="H1191" s="1" t="s">
        <v>1684</v>
      </c>
      <c r="I1191" s="1" t="s">
        <v>973</v>
      </c>
      <c r="J1191" s="1" t="s">
        <v>1726</v>
      </c>
      <c r="K1191" s="1" t="s">
        <v>1727</v>
      </c>
      <c r="L1191" s="1" t="s">
        <v>1728</v>
      </c>
    </row>
    <row r="1192" spans="1:12">
      <c r="A1192" s="1" t="s">
        <v>1621</v>
      </c>
      <c r="B1192" s="1" t="s">
        <v>1622</v>
      </c>
      <c r="C1192" s="1" t="s">
        <v>1723</v>
      </c>
      <c r="D1192" s="1" t="s">
        <v>1693</v>
      </c>
      <c r="E1192" s="1" t="s">
        <v>1694</v>
      </c>
      <c r="F1192" s="1" t="s">
        <v>1694</v>
      </c>
      <c r="H1192" s="1" t="s">
        <v>1684</v>
      </c>
      <c r="I1192" s="1" t="s">
        <v>973</v>
      </c>
      <c r="J1192" s="1" t="s">
        <v>1726</v>
      </c>
      <c r="K1192" s="1" t="s">
        <v>1727</v>
      </c>
      <c r="L1192" s="1" t="s">
        <v>1728</v>
      </c>
    </row>
    <row r="1193" spans="1:12">
      <c r="A1193" s="1" t="s">
        <v>1621</v>
      </c>
      <c r="B1193" s="1" t="s">
        <v>1622</v>
      </c>
      <c r="C1193" s="1" t="s">
        <v>1723</v>
      </c>
      <c r="D1193" s="1" t="s">
        <v>1695</v>
      </c>
      <c r="E1193" s="1" t="s">
        <v>1694</v>
      </c>
      <c r="F1193" s="1" t="s">
        <v>1694</v>
      </c>
      <c r="H1193" s="1" t="s">
        <v>1684</v>
      </c>
      <c r="I1193" s="1" t="s">
        <v>973</v>
      </c>
      <c r="J1193" s="1" t="s">
        <v>1726</v>
      </c>
      <c r="K1193" s="1" t="s">
        <v>1727</v>
      </c>
      <c r="L1193" s="1" t="s">
        <v>1728</v>
      </c>
    </row>
    <row r="1194" spans="1:12">
      <c r="A1194" s="1" t="s">
        <v>1621</v>
      </c>
      <c r="B1194" s="1" t="s">
        <v>1622</v>
      </c>
      <c r="C1194" s="1" t="s">
        <v>1723</v>
      </c>
      <c r="D1194" s="1" t="s">
        <v>1697</v>
      </c>
      <c r="E1194" s="1" t="s">
        <v>1698</v>
      </c>
      <c r="F1194" s="1" t="s">
        <v>1698</v>
      </c>
      <c r="H1194" s="1" t="s">
        <v>1684</v>
      </c>
      <c r="I1194" s="1" t="s">
        <v>973</v>
      </c>
      <c r="J1194" s="1" t="s">
        <v>1726</v>
      </c>
      <c r="K1194" s="1" t="s">
        <v>1727</v>
      </c>
      <c r="L1194" s="1" t="s">
        <v>1728</v>
      </c>
    </row>
    <row r="1195" spans="1:12">
      <c r="A1195" s="1" t="s">
        <v>1621</v>
      </c>
      <c r="B1195" s="1" t="s">
        <v>1622</v>
      </c>
      <c r="C1195" s="1" t="s">
        <v>1729</v>
      </c>
      <c r="D1195" s="1" t="s">
        <v>1708</v>
      </c>
      <c r="E1195" s="1" t="s">
        <v>1730</v>
      </c>
      <c r="F1195" s="1" t="s">
        <v>1730</v>
      </c>
      <c r="H1195" s="1" t="s">
        <v>1684</v>
      </c>
      <c r="I1195" s="1" t="s">
        <v>1731</v>
      </c>
      <c r="J1195" s="1" t="s">
        <v>1732</v>
      </c>
      <c r="K1195" s="1" t="s">
        <v>1733</v>
      </c>
      <c r="L1195" s="1" t="s">
        <v>1734</v>
      </c>
    </row>
    <row r="1196" spans="1:12">
      <c r="A1196" s="1" t="s">
        <v>1624</v>
      </c>
      <c r="B1196" s="1" t="s">
        <v>1625</v>
      </c>
      <c r="C1196" s="1" t="s">
        <v>1680</v>
      </c>
      <c r="D1196" s="1" t="s">
        <v>1681</v>
      </c>
      <c r="E1196" s="92" t="s">
        <v>1752</v>
      </c>
      <c r="F1196" s="92" t="s">
        <v>1753</v>
      </c>
      <c r="H1196" s="1" t="s">
        <v>1684</v>
      </c>
    </row>
    <row r="1197" spans="1:12">
      <c r="A1197" s="1" t="s">
        <v>1624</v>
      </c>
      <c r="B1197" s="1" t="s">
        <v>1625</v>
      </c>
      <c r="C1197" s="1" t="s">
        <v>1680</v>
      </c>
      <c r="D1197" s="1" t="s">
        <v>1685</v>
      </c>
      <c r="E1197" s="1" t="s">
        <v>1526</v>
      </c>
      <c r="F1197" s="1" t="s">
        <v>1526</v>
      </c>
      <c r="H1197" s="1" t="s">
        <v>1684</v>
      </c>
    </row>
    <row r="1198" spans="1:12">
      <c r="A1198" s="1" t="s">
        <v>1624</v>
      </c>
      <c r="B1198" s="1" t="s">
        <v>1625</v>
      </c>
      <c r="C1198" s="1" t="s">
        <v>1686</v>
      </c>
      <c r="D1198" s="1" t="s">
        <v>218</v>
      </c>
      <c r="E1198" s="92" t="s">
        <v>2122</v>
      </c>
      <c r="F1198" s="92" t="s">
        <v>2122</v>
      </c>
      <c r="G1198" s="92" t="s">
        <v>2028</v>
      </c>
      <c r="H1198" s="1" t="s">
        <v>1684</v>
      </c>
      <c r="I1198" s="1" t="s">
        <v>1689</v>
      </c>
      <c r="J1198" s="1" t="s">
        <v>1690</v>
      </c>
      <c r="K1198" s="1" t="s">
        <v>1691</v>
      </c>
      <c r="L1198" s="1" t="s">
        <v>1692</v>
      </c>
    </row>
    <row r="1199" spans="1:12">
      <c r="A1199" s="1" t="s">
        <v>1624</v>
      </c>
      <c r="B1199" s="1" t="s">
        <v>1625</v>
      </c>
      <c r="C1199" s="1" t="s">
        <v>1686</v>
      </c>
      <c r="D1199" s="1" t="s">
        <v>1693</v>
      </c>
      <c r="E1199" s="1" t="s">
        <v>1694</v>
      </c>
      <c r="F1199" s="1" t="s">
        <v>1694</v>
      </c>
      <c r="H1199" s="1" t="s">
        <v>1684</v>
      </c>
      <c r="I1199" s="1" t="s">
        <v>1689</v>
      </c>
      <c r="J1199" s="1" t="s">
        <v>1690</v>
      </c>
      <c r="K1199" s="1" t="s">
        <v>1691</v>
      </c>
      <c r="L1199" s="1" t="s">
        <v>1692</v>
      </c>
    </row>
    <row r="1200" spans="1:12">
      <c r="A1200" s="1" t="s">
        <v>1624</v>
      </c>
      <c r="B1200" s="1" t="s">
        <v>1625</v>
      </c>
      <c r="C1200" s="1" t="s">
        <v>1686</v>
      </c>
      <c r="D1200" s="1" t="s">
        <v>1695</v>
      </c>
      <c r="E1200" s="1" t="s">
        <v>1696</v>
      </c>
      <c r="F1200" s="1" t="s">
        <v>1696</v>
      </c>
      <c r="H1200" s="1" t="s">
        <v>1684</v>
      </c>
      <c r="I1200" s="1" t="s">
        <v>1689</v>
      </c>
      <c r="J1200" s="1" t="s">
        <v>1690</v>
      </c>
      <c r="K1200" s="1" t="s">
        <v>1691</v>
      </c>
      <c r="L1200" s="1" t="s">
        <v>1692</v>
      </c>
    </row>
    <row r="1201" spans="1:12">
      <c r="A1201" s="1" t="s">
        <v>1624</v>
      </c>
      <c r="B1201" s="1" t="s">
        <v>1625</v>
      </c>
      <c r="C1201" s="1" t="s">
        <v>1686</v>
      </c>
      <c r="D1201" s="1" t="s">
        <v>1697</v>
      </c>
      <c r="E1201" s="1" t="s">
        <v>1698</v>
      </c>
      <c r="F1201" s="1" t="s">
        <v>1698</v>
      </c>
      <c r="H1201" s="1" t="s">
        <v>1684</v>
      </c>
      <c r="I1201" s="1" t="s">
        <v>1689</v>
      </c>
      <c r="J1201" s="1" t="s">
        <v>1690</v>
      </c>
      <c r="K1201" s="1" t="s">
        <v>1691</v>
      </c>
      <c r="L1201" s="1" t="s">
        <v>1692</v>
      </c>
    </row>
    <row r="1202" spans="1:12">
      <c r="A1202" s="1" t="s">
        <v>1624</v>
      </c>
      <c r="B1202" s="1" t="s">
        <v>1625</v>
      </c>
      <c r="C1202" s="1" t="s">
        <v>1686</v>
      </c>
      <c r="D1202" s="1" t="s">
        <v>1699</v>
      </c>
      <c r="E1202" s="92" t="s">
        <v>1758</v>
      </c>
      <c r="F1202" s="92" t="s">
        <v>1759</v>
      </c>
      <c r="H1202" s="1" t="s">
        <v>1684</v>
      </c>
      <c r="I1202" s="1" t="s">
        <v>1689</v>
      </c>
      <c r="J1202" s="1" t="s">
        <v>1690</v>
      </c>
      <c r="K1202" s="1" t="s">
        <v>1691</v>
      </c>
      <c r="L1202" s="1" t="s">
        <v>1692</v>
      </c>
    </row>
    <row r="1203" spans="1:12">
      <c r="A1203" s="1" t="s">
        <v>1624</v>
      </c>
      <c r="B1203" s="1" t="s">
        <v>1625</v>
      </c>
      <c r="C1203" s="1" t="s">
        <v>1686</v>
      </c>
      <c r="D1203" s="1" t="s">
        <v>1702</v>
      </c>
      <c r="E1203" s="92" t="s">
        <v>1760</v>
      </c>
      <c r="F1203" s="92" t="s">
        <v>1761</v>
      </c>
      <c r="H1203" s="1" t="s">
        <v>1684</v>
      </c>
      <c r="I1203" s="1" t="s">
        <v>1689</v>
      </c>
      <c r="J1203" s="1" t="s">
        <v>1690</v>
      </c>
      <c r="K1203" s="1" t="s">
        <v>1691</v>
      </c>
      <c r="L1203" s="1" t="s">
        <v>1692</v>
      </c>
    </row>
    <row r="1204" spans="1:12">
      <c r="A1204" s="1" t="s">
        <v>1624</v>
      </c>
      <c r="B1204" s="1" t="s">
        <v>1625</v>
      </c>
      <c r="C1204" s="1" t="s">
        <v>1686</v>
      </c>
      <c r="D1204" s="1" t="s">
        <v>1705</v>
      </c>
      <c r="E1204" s="92" t="s">
        <v>1762</v>
      </c>
      <c r="F1204" s="92" t="s">
        <v>1763</v>
      </c>
      <c r="H1204" s="1" t="s">
        <v>1684</v>
      </c>
      <c r="I1204" s="1" t="s">
        <v>1689</v>
      </c>
      <c r="J1204" s="1" t="s">
        <v>1690</v>
      </c>
      <c r="K1204" s="1" t="s">
        <v>1691</v>
      </c>
      <c r="L1204" s="1" t="s">
        <v>1692</v>
      </c>
    </row>
    <row r="1205" spans="1:12">
      <c r="A1205" s="1" t="s">
        <v>1624</v>
      </c>
      <c r="B1205" s="1" t="s">
        <v>1625</v>
      </c>
      <c r="C1205" s="1" t="s">
        <v>1686</v>
      </c>
      <c r="D1205" s="1" t="s">
        <v>1787</v>
      </c>
      <c r="E1205" s="92" t="s">
        <v>2123</v>
      </c>
      <c r="F1205" s="92" t="s">
        <v>2122</v>
      </c>
      <c r="G1205" s="92" t="s">
        <v>2124</v>
      </c>
      <c r="H1205" s="1" t="s">
        <v>1534</v>
      </c>
      <c r="I1205" s="1" t="s">
        <v>1689</v>
      </c>
      <c r="J1205" s="1" t="s">
        <v>1690</v>
      </c>
      <c r="K1205" s="1" t="s">
        <v>1691</v>
      </c>
      <c r="L1205" s="1" t="s">
        <v>1692</v>
      </c>
    </row>
    <row r="1206" spans="1:12">
      <c r="A1206" s="1" t="s">
        <v>1624</v>
      </c>
      <c r="B1206" s="1" t="s">
        <v>1625</v>
      </c>
      <c r="C1206" s="1" t="s">
        <v>1394</v>
      </c>
      <c r="D1206" s="1" t="s">
        <v>1708</v>
      </c>
      <c r="E1206" s="1" t="s">
        <v>1709</v>
      </c>
      <c r="F1206" s="1" t="s">
        <v>1709</v>
      </c>
      <c r="H1206" s="1" t="s">
        <v>1684</v>
      </c>
      <c r="I1206" s="1" t="s">
        <v>973</v>
      </c>
      <c r="J1206" s="1" t="s">
        <v>1710</v>
      </c>
      <c r="K1206" s="1" t="s">
        <v>1691</v>
      </c>
      <c r="L1206" s="1" t="s">
        <v>1692</v>
      </c>
    </row>
    <row r="1207" spans="1:12">
      <c r="A1207" s="1" t="s">
        <v>1624</v>
      </c>
      <c r="B1207" s="1" t="s">
        <v>1625</v>
      </c>
      <c r="C1207" s="1" t="s">
        <v>1711</v>
      </c>
      <c r="D1207" s="1" t="s">
        <v>218</v>
      </c>
      <c r="E1207" s="92" t="s">
        <v>2125</v>
      </c>
      <c r="F1207" s="92" t="s">
        <v>2125</v>
      </c>
      <c r="G1207" s="92" t="s">
        <v>1738</v>
      </c>
      <c r="H1207" s="1" t="s">
        <v>1684</v>
      </c>
      <c r="I1207" s="1" t="s">
        <v>1689</v>
      </c>
      <c r="J1207" s="1" t="s">
        <v>1714</v>
      </c>
      <c r="K1207" s="1" t="s">
        <v>1715</v>
      </c>
      <c r="L1207" s="1" t="s">
        <v>1716</v>
      </c>
    </row>
    <row r="1208" spans="1:12">
      <c r="A1208" s="1" t="s">
        <v>1624</v>
      </c>
      <c r="B1208" s="1" t="s">
        <v>1625</v>
      </c>
      <c r="C1208" s="1" t="s">
        <v>1711</v>
      </c>
      <c r="D1208" s="1" t="s">
        <v>1693</v>
      </c>
      <c r="E1208" s="1" t="s">
        <v>1746</v>
      </c>
      <c r="F1208" s="1" t="s">
        <v>1746</v>
      </c>
      <c r="H1208" s="1" t="s">
        <v>1684</v>
      </c>
      <c r="I1208" s="1" t="s">
        <v>1689</v>
      </c>
      <c r="J1208" s="1" t="s">
        <v>1714</v>
      </c>
      <c r="K1208" s="1" t="s">
        <v>1715</v>
      </c>
      <c r="L1208" s="1" t="s">
        <v>1716</v>
      </c>
    </row>
    <row r="1209" spans="1:12">
      <c r="A1209" s="1" t="s">
        <v>1624</v>
      </c>
      <c r="B1209" s="1" t="s">
        <v>1625</v>
      </c>
      <c r="C1209" s="1" t="s">
        <v>1711</v>
      </c>
      <c r="D1209" s="1" t="s">
        <v>1695</v>
      </c>
      <c r="E1209" s="1" t="s">
        <v>1746</v>
      </c>
      <c r="F1209" s="1" t="s">
        <v>1746</v>
      </c>
      <c r="H1209" s="1" t="s">
        <v>1684</v>
      </c>
      <c r="I1209" s="1" t="s">
        <v>1689</v>
      </c>
      <c r="J1209" s="1" t="s">
        <v>1714</v>
      </c>
      <c r="K1209" s="1" t="s">
        <v>1715</v>
      </c>
      <c r="L1209" s="1" t="s">
        <v>1716</v>
      </c>
    </row>
    <row r="1210" spans="1:12">
      <c r="A1210" s="1" t="s">
        <v>1624</v>
      </c>
      <c r="B1210" s="1" t="s">
        <v>1625</v>
      </c>
      <c r="C1210" s="1" t="s">
        <v>1711</v>
      </c>
      <c r="D1210" s="1" t="s">
        <v>1697</v>
      </c>
      <c r="E1210" s="1" t="s">
        <v>1698</v>
      </c>
      <c r="F1210" s="1" t="s">
        <v>1698</v>
      </c>
      <c r="H1210" s="1" t="s">
        <v>1684</v>
      </c>
      <c r="I1210" s="1" t="s">
        <v>1689</v>
      </c>
      <c r="J1210" s="1" t="s">
        <v>1714</v>
      </c>
      <c r="K1210" s="1" t="s">
        <v>1715</v>
      </c>
      <c r="L1210" s="1" t="s">
        <v>1716</v>
      </c>
    </row>
    <row r="1211" spans="1:12">
      <c r="A1211" s="1" t="s">
        <v>1624</v>
      </c>
      <c r="B1211" s="1" t="s">
        <v>1625</v>
      </c>
      <c r="C1211" s="1" t="s">
        <v>1711</v>
      </c>
      <c r="D1211" s="1" t="s">
        <v>1699</v>
      </c>
      <c r="E1211" s="92" t="s">
        <v>1717</v>
      </c>
      <c r="F1211" s="92" t="s">
        <v>1718</v>
      </c>
      <c r="H1211" s="1" t="s">
        <v>1684</v>
      </c>
      <c r="I1211" s="1" t="s">
        <v>1689</v>
      </c>
      <c r="J1211" s="1" t="s">
        <v>1714</v>
      </c>
      <c r="K1211" s="1" t="s">
        <v>1715</v>
      </c>
      <c r="L1211" s="1" t="s">
        <v>1716</v>
      </c>
    </row>
    <row r="1212" spans="1:12">
      <c r="A1212" s="1" t="s">
        <v>1624</v>
      </c>
      <c r="B1212" s="1" t="s">
        <v>1625</v>
      </c>
      <c r="C1212" s="1" t="s">
        <v>1711</v>
      </c>
      <c r="D1212" s="1" t="s">
        <v>1702</v>
      </c>
      <c r="E1212" s="92" t="s">
        <v>2126</v>
      </c>
      <c r="F1212" s="92" t="s">
        <v>2127</v>
      </c>
      <c r="H1212" s="1" t="s">
        <v>1684</v>
      </c>
      <c r="I1212" s="1" t="s">
        <v>1689</v>
      </c>
      <c r="J1212" s="1" t="s">
        <v>1714</v>
      </c>
      <c r="K1212" s="1" t="s">
        <v>1715</v>
      </c>
      <c r="L1212" s="1" t="s">
        <v>1716</v>
      </c>
    </row>
    <row r="1213" spans="1:12">
      <c r="A1213" s="1" t="s">
        <v>1624</v>
      </c>
      <c r="B1213" s="1" t="s">
        <v>1625</v>
      </c>
      <c r="C1213" s="1" t="s">
        <v>1711</v>
      </c>
      <c r="D1213" s="1" t="s">
        <v>1705</v>
      </c>
      <c r="E1213" s="92" t="s">
        <v>2128</v>
      </c>
      <c r="F1213" s="92" t="s">
        <v>1770</v>
      </c>
      <c r="H1213" s="1" t="s">
        <v>1684</v>
      </c>
      <c r="I1213" s="1" t="s">
        <v>1689</v>
      </c>
      <c r="J1213" s="1" t="s">
        <v>1714</v>
      </c>
      <c r="K1213" s="1" t="s">
        <v>1715</v>
      </c>
      <c r="L1213" s="1" t="s">
        <v>1716</v>
      </c>
    </row>
    <row r="1214" spans="1:12">
      <c r="A1214" s="1" t="s">
        <v>1624</v>
      </c>
      <c r="B1214" s="1" t="s">
        <v>1625</v>
      </c>
      <c r="C1214" s="1" t="s">
        <v>1711</v>
      </c>
      <c r="D1214" s="1" t="s">
        <v>1787</v>
      </c>
      <c r="E1214" s="92" t="s">
        <v>2129</v>
      </c>
      <c r="F1214" s="92" t="s">
        <v>2125</v>
      </c>
      <c r="G1214" s="92" t="s">
        <v>2130</v>
      </c>
      <c r="H1214" s="1" t="s">
        <v>1534</v>
      </c>
      <c r="I1214" s="1" t="s">
        <v>1689</v>
      </c>
      <c r="J1214" s="1" t="s">
        <v>1714</v>
      </c>
      <c r="K1214" s="1" t="s">
        <v>1715</v>
      </c>
      <c r="L1214" s="1" t="s">
        <v>1716</v>
      </c>
    </row>
    <row r="1215" spans="1:12">
      <c r="A1215" s="1" t="s">
        <v>1624</v>
      </c>
      <c r="B1215" s="1" t="s">
        <v>1625</v>
      </c>
      <c r="C1215" s="1" t="s">
        <v>1723</v>
      </c>
      <c r="D1215" s="1" t="s">
        <v>218</v>
      </c>
      <c r="E1215" s="92" t="s">
        <v>2131</v>
      </c>
      <c r="F1215" s="92" t="s">
        <v>2131</v>
      </c>
      <c r="G1215" s="92" t="s">
        <v>1875</v>
      </c>
      <c r="H1215" s="1" t="s">
        <v>1684</v>
      </c>
      <c r="I1215" s="1" t="s">
        <v>973</v>
      </c>
      <c r="J1215" s="1" t="s">
        <v>1726</v>
      </c>
      <c r="K1215" s="1" t="s">
        <v>1727</v>
      </c>
      <c r="L1215" s="1" t="s">
        <v>1728</v>
      </c>
    </row>
    <row r="1216" spans="1:12">
      <c r="A1216" s="1" t="s">
        <v>1624</v>
      </c>
      <c r="B1216" s="1" t="s">
        <v>1625</v>
      </c>
      <c r="C1216" s="1" t="s">
        <v>1723</v>
      </c>
      <c r="D1216" s="1" t="s">
        <v>1693</v>
      </c>
      <c r="E1216" s="1" t="s">
        <v>1694</v>
      </c>
      <c r="F1216" s="1" t="s">
        <v>1694</v>
      </c>
      <c r="H1216" s="1" t="s">
        <v>1684</v>
      </c>
      <c r="I1216" s="1" t="s">
        <v>973</v>
      </c>
      <c r="J1216" s="1" t="s">
        <v>1726</v>
      </c>
      <c r="K1216" s="1" t="s">
        <v>1727</v>
      </c>
      <c r="L1216" s="1" t="s">
        <v>1728</v>
      </c>
    </row>
    <row r="1217" spans="1:12">
      <c r="A1217" s="1" t="s">
        <v>1624</v>
      </c>
      <c r="B1217" s="1" t="s">
        <v>1625</v>
      </c>
      <c r="C1217" s="1" t="s">
        <v>1723</v>
      </c>
      <c r="D1217" s="1" t="s">
        <v>1695</v>
      </c>
      <c r="E1217" s="1" t="s">
        <v>1694</v>
      </c>
      <c r="F1217" s="1" t="s">
        <v>1694</v>
      </c>
      <c r="H1217" s="1" t="s">
        <v>1684</v>
      </c>
      <c r="I1217" s="1" t="s">
        <v>973</v>
      </c>
      <c r="J1217" s="1" t="s">
        <v>1726</v>
      </c>
      <c r="K1217" s="1" t="s">
        <v>1727</v>
      </c>
      <c r="L1217" s="1" t="s">
        <v>1728</v>
      </c>
    </row>
    <row r="1218" spans="1:12">
      <c r="A1218" s="1" t="s">
        <v>1624</v>
      </c>
      <c r="B1218" s="1" t="s">
        <v>1625</v>
      </c>
      <c r="C1218" s="1" t="s">
        <v>1723</v>
      </c>
      <c r="D1218" s="1" t="s">
        <v>1697</v>
      </c>
      <c r="E1218" s="1" t="s">
        <v>1698</v>
      </c>
      <c r="F1218" s="1" t="s">
        <v>1698</v>
      </c>
      <c r="H1218" s="1" t="s">
        <v>1684</v>
      </c>
      <c r="I1218" s="1" t="s">
        <v>973</v>
      </c>
      <c r="J1218" s="1" t="s">
        <v>1726</v>
      </c>
      <c r="K1218" s="1" t="s">
        <v>1727</v>
      </c>
      <c r="L1218" s="1" t="s">
        <v>1728</v>
      </c>
    </row>
    <row r="1219" spans="1:12">
      <c r="A1219" s="1" t="s">
        <v>1624</v>
      </c>
      <c r="B1219" s="1" t="s">
        <v>1625</v>
      </c>
      <c r="C1219" s="1" t="s">
        <v>1729</v>
      </c>
      <c r="D1219" s="1" t="s">
        <v>1708</v>
      </c>
      <c r="E1219" s="1" t="s">
        <v>1730</v>
      </c>
      <c r="F1219" s="1" t="s">
        <v>1730</v>
      </c>
      <c r="H1219" s="1" t="s">
        <v>1684</v>
      </c>
      <c r="I1219" s="1" t="s">
        <v>1731</v>
      </c>
      <c r="J1219" s="1" t="s">
        <v>1732</v>
      </c>
      <c r="K1219" s="1" t="s">
        <v>1733</v>
      </c>
      <c r="L1219" s="1" t="s">
        <v>1734</v>
      </c>
    </row>
    <row r="1220" spans="1:12">
      <c r="A1220" s="1" t="s">
        <v>1627</v>
      </c>
      <c r="B1220" s="1" t="s">
        <v>1625</v>
      </c>
      <c r="C1220" s="1" t="s">
        <v>1680</v>
      </c>
      <c r="D1220" s="1" t="s">
        <v>1681</v>
      </c>
      <c r="E1220" s="92" t="s">
        <v>1735</v>
      </c>
      <c r="F1220" s="92" t="s">
        <v>1736</v>
      </c>
      <c r="H1220" s="1" t="s">
        <v>1684</v>
      </c>
    </row>
    <row r="1221" spans="1:12">
      <c r="A1221" s="1" t="s">
        <v>1627</v>
      </c>
      <c r="B1221" s="1" t="s">
        <v>1625</v>
      </c>
      <c r="C1221" s="1" t="s">
        <v>1680</v>
      </c>
      <c r="D1221" s="1" t="s">
        <v>1685</v>
      </c>
      <c r="E1221" s="1" t="s">
        <v>1526</v>
      </c>
      <c r="F1221" s="1" t="s">
        <v>1526</v>
      </c>
      <c r="H1221" s="1" t="s">
        <v>1684</v>
      </c>
    </row>
    <row r="1222" spans="1:12">
      <c r="A1222" s="1" t="s">
        <v>1627</v>
      </c>
      <c r="B1222" s="1" t="s">
        <v>1625</v>
      </c>
      <c r="C1222" s="1" t="s">
        <v>1686</v>
      </c>
      <c r="D1222" s="1" t="s">
        <v>218</v>
      </c>
      <c r="E1222" s="92" t="s">
        <v>1628</v>
      </c>
      <c r="F1222" s="92" t="s">
        <v>1628</v>
      </c>
      <c r="G1222" s="92" t="s">
        <v>1791</v>
      </c>
      <c r="H1222" s="1" t="s">
        <v>1684</v>
      </c>
      <c r="I1222" s="1" t="s">
        <v>1689</v>
      </c>
      <c r="J1222" s="1" t="s">
        <v>1690</v>
      </c>
      <c r="K1222" s="1" t="s">
        <v>1691</v>
      </c>
      <c r="L1222" s="1" t="s">
        <v>1692</v>
      </c>
    </row>
    <row r="1223" spans="1:12">
      <c r="A1223" s="1" t="s">
        <v>1627</v>
      </c>
      <c r="B1223" s="1" t="s">
        <v>1625</v>
      </c>
      <c r="C1223" s="1" t="s">
        <v>1686</v>
      </c>
      <c r="D1223" s="1" t="s">
        <v>1693</v>
      </c>
      <c r="E1223" s="1" t="s">
        <v>1877</v>
      </c>
      <c r="F1223" s="1" t="s">
        <v>1877</v>
      </c>
      <c r="H1223" s="1" t="s">
        <v>1684</v>
      </c>
      <c r="I1223" s="1" t="s">
        <v>1689</v>
      </c>
      <c r="J1223" s="1" t="s">
        <v>1690</v>
      </c>
      <c r="K1223" s="1" t="s">
        <v>1691</v>
      </c>
      <c r="L1223" s="1" t="s">
        <v>1692</v>
      </c>
    </row>
    <row r="1224" spans="1:12">
      <c r="A1224" s="1" t="s">
        <v>1627</v>
      </c>
      <c r="B1224" s="1" t="s">
        <v>1625</v>
      </c>
      <c r="C1224" s="1" t="s">
        <v>1686</v>
      </c>
      <c r="D1224" s="1" t="s">
        <v>1695</v>
      </c>
      <c r="E1224" s="1" t="s">
        <v>1757</v>
      </c>
      <c r="F1224" s="1" t="s">
        <v>1757</v>
      </c>
      <c r="H1224" s="1" t="s">
        <v>1684</v>
      </c>
      <c r="I1224" s="1" t="s">
        <v>1689</v>
      </c>
      <c r="J1224" s="1" t="s">
        <v>1690</v>
      </c>
      <c r="K1224" s="1" t="s">
        <v>1691</v>
      </c>
      <c r="L1224" s="1" t="s">
        <v>1692</v>
      </c>
    </row>
    <row r="1225" spans="1:12">
      <c r="A1225" s="1" t="s">
        <v>1627</v>
      </c>
      <c r="B1225" s="1" t="s">
        <v>1625</v>
      </c>
      <c r="C1225" s="1" t="s">
        <v>1686</v>
      </c>
      <c r="D1225" s="1" t="s">
        <v>1697</v>
      </c>
      <c r="E1225" s="1" t="s">
        <v>1698</v>
      </c>
      <c r="F1225" s="1" t="s">
        <v>1698</v>
      </c>
      <c r="H1225" s="1" t="s">
        <v>1684</v>
      </c>
      <c r="I1225" s="1" t="s">
        <v>1689</v>
      </c>
      <c r="J1225" s="1" t="s">
        <v>1690</v>
      </c>
      <c r="K1225" s="1" t="s">
        <v>1691</v>
      </c>
      <c r="L1225" s="1" t="s">
        <v>1692</v>
      </c>
    </row>
    <row r="1226" spans="1:12">
      <c r="A1226" s="1" t="s">
        <v>1627</v>
      </c>
      <c r="B1226" s="1" t="s">
        <v>1625</v>
      </c>
      <c r="C1226" s="1" t="s">
        <v>1686</v>
      </c>
      <c r="D1226" s="1" t="s">
        <v>1699</v>
      </c>
      <c r="E1226" s="92" t="s">
        <v>1839</v>
      </c>
      <c r="F1226" s="92" t="s">
        <v>1840</v>
      </c>
      <c r="H1226" s="1" t="s">
        <v>1684</v>
      </c>
      <c r="I1226" s="1" t="s">
        <v>1689</v>
      </c>
      <c r="J1226" s="1" t="s">
        <v>1690</v>
      </c>
      <c r="K1226" s="1" t="s">
        <v>1691</v>
      </c>
      <c r="L1226" s="1" t="s">
        <v>1692</v>
      </c>
    </row>
    <row r="1227" spans="1:12">
      <c r="A1227" s="1" t="s">
        <v>1627</v>
      </c>
      <c r="B1227" s="1" t="s">
        <v>1625</v>
      </c>
      <c r="C1227" s="1" t="s">
        <v>1686</v>
      </c>
      <c r="D1227" s="1" t="s">
        <v>1702</v>
      </c>
      <c r="E1227" s="92" t="s">
        <v>1841</v>
      </c>
      <c r="F1227" s="92" t="s">
        <v>1841</v>
      </c>
      <c r="H1227" s="1" t="s">
        <v>1684</v>
      </c>
      <c r="I1227" s="1" t="s">
        <v>1689</v>
      </c>
      <c r="J1227" s="1" t="s">
        <v>1690</v>
      </c>
      <c r="K1227" s="1" t="s">
        <v>1691</v>
      </c>
      <c r="L1227" s="1" t="s">
        <v>1692</v>
      </c>
    </row>
    <row r="1228" spans="1:12">
      <c r="A1228" s="1" t="s">
        <v>1627</v>
      </c>
      <c r="B1228" s="1" t="s">
        <v>1625</v>
      </c>
      <c r="C1228" s="1" t="s">
        <v>1686</v>
      </c>
      <c r="D1228" s="1" t="s">
        <v>1705</v>
      </c>
      <c r="E1228" s="92" t="s">
        <v>1842</v>
      </c>
      <c r="F1228" s="92" t="s">
        <v>1843</v>
      </c>
      <c r="H1228" s="1" t="s">
        <v>1684</v>
      </c>
      <c r="I1228" s="1" t="s">
        <v>1689</v>
      </c>
      <c r="J1228" s="1" t="s">
        <v>1690</v>
      </c>
      <c r="K1228" s="1" t="s">
        <v>1691</v>
      </c>
      <c r="L1228" s="1" t="s">
        <v>1692</v>
      </c>
    </row>
    <row r="1229" spans="1:12">
      <c r="A1229" s="1" t="s">
        <v>1627</v>
      </c>
      <c r="B1229" s="1" t="s">
        <v>1625</v>
      </c>
      <c r="C1229" s="1" t="s">
        <v>1686</v>
      </c>
      <c r="D1229" s="1" t="s">
        <v>1787</v>
      </c>
      <c r="E1229" s="92" t="s">
        <v>2132</v>
      </c>
      <c r="F1229" s="92" t="s">
        <v>1628</v>
      </c>
      <c r="G1229" s="92" t="s">
        <v>2133</v>
      </c>
      <c r="H1229" s="1" t="s">
        <v>1534</v>
      </c>
      <c r="I1229" s="1" t="s">
        <v>1689</v>
      </c>
      <c r="J1229" s="1" t="s">
        <v>1690</v>
      </c>
      <c r="K1229" s="1" t="s">
        <v>1691</v>
      </c>
      <c r="L1229" s="1" t="s">
        <v>1692</v>
      </c>
    </row>
    <row r="1230" spans="1:12">
      <c r="A1230" s="1" t="s">
        <v>1627</v>
      </c>
      <c r="B1230" s="1" t="s">
        <v>1625</v>
      </c>
      <c r="C1230" s="1" t="s">
        <v>1394</v>
      </c>
      <c r="D1230" s="1" t="s">
        <v>1708</v>
      </c>
      <c r="E1230" s="1" t="s">
        <v>1709</v>
      </c>
      <c r="F1230" s="1" t="s">
        <v>1709</v>
      </c>
      <c r="H1230" s="1" t="s">
        <v>1684</v>
      </c>
      <c r="I1230" s="1" t="s">
        <v>973</v>
      </c>
      <c r="J1230" s="1" t="s">
        <v>1710</v>
      </c>
      <c r="K1230" s="1" t="s">
        <v>1691</v>
      </c>
      <c r="L1230" s="1" t="s">
        <v>1692</v>
      </c>
    </row>
    <row r="1231" spans="1:12">
      <c r="A1231" s="1" t="s">
        <v>1627</v>
      </c>
      <c r="B1231" s="1" t="s">
        <v>1625</v>
      </c>
      <c r="C1231" s="1" t="s">
        <v>1711</v>
      </c>
      <c r="D1231" s="1" t="s">
        <v>218</v>
      </c>
      <c r="E1231" s="92" t="s">
        <v>2134</v>
      </c>
      <c r="F1231" s="92" t="s">
        <v>2134</v>
      </c>
      <c r="G1231" s="92" t="s">
        <v>1725</v>
      </c>
      <c r="H1231" s="1" t="s">
        <v>1684</v>
      </c>
      <c r="I1231" s="1" t="s">
        <v>1689</v>
      </c>
      <c r="J1231" s="1" t="s">
        <v>1714</v>
      </c>
      <c r="K1231" s="1" t="s">
        <v>1715</v>
      </c>
      <c r="L1231" s="1" t="s">
        <v>1716</v>
      </c>
    </row>
    <row r="1232" spans="1:12">
      <c r="A1232" s="1" t="s">
        <v>1627</v>
      </c>
      <c r="B1232" s="1" t="s">
        <v>1625</v>
      </c>
      <c r="C1232" s="1" t="s">
        <v>1711</v>
      </c>
      <c r="D1232" s="1" t="s">
        <v>1693</v>
      </c>
      <c r="E1232" s="1" t="s">
        <v>1802</v>
      </c>
      <c r="F1232" s="1" t="s">
        <v>1802</v>
      </c>
      <c r="H1232" s="1" t="s">
        <v>1684</v>
      </c>
      <c r="I1232" s="1" t="s">
        <v>1689</v>
      </c>
      <c r="J1232" s="1" t="s">
        <v>1714</v>
      </c>
      <c r="K1232" s="1" t="s">
        <v>1715</v>
      </c>
      <c r="L1232" s="1" t="s">
        <v>1716</v>
      </c>
    </row>
    <row r="1233" spans="1:12">
      <c r="A1233" s="1" t="s">
        <v>1627</v>
      </c>
      <c r="B1233" s="1" t="s">
        <v>1625</v>
      </c>
      <c r="C1233" s="1" t="s">
        <v>1711</v>
      </c>
      <c r="D1233" s="1" t="s">
        <v>1695</v>
      </c>
      <c r="E1233" s="1" t="s">
        <v>1757</v>
      </c>
      <c r="F1233" s="1" t="s">
        <v>1757</v>
      </c>
      <c r="H1233" s="1" t="s">
        <v>1684</v>
      </c>
      <c r="I1233" s="1" t="s">
        <v>1689</v>
      </c>
      <c r="J1233" s="1" t="s">
        <v>1714</v>
      </c>
      <c r="K1233" s="1" t="s">
        <v>1715</v>
      </c>
      <c r="L1233" s="1" t="s">
        <v>1716</v>
      </c>
    </row>
    <row r="1234" spans="1:12">
      <c r="A1234" s="1" t="s">
        <v>1627</v>
      </c>
      <c r="B1234" s="1" t="s">
        <v>1625</v>
      </c>
      <c r="C1234" s="1" t="s">
        <v>1711</v>
      </c>
      <c r="D1234" s="1" t="s">
        <v>1697</v>
      </c>
      <c r="E1234" s="1" t="s">
        <v>1698</v>
      </c>
      <c r="F1234" s="1" t="s">
        <v>1698</v>
      </c>
      <c r="H1234" s="1" t="s">
        <v>1684</v>
      </c>
      <c r="I1234" s="1" t="s">
        <v>1689</v>
      </c>
      <c r="J1234" s="1" t="s">
        <v>1714</v>
      </c>
      <c r="K1234" s="1" t="s">
        <v>1715</v>
      </c>
      <c r="L1234" s="1" t="s">
        <v>1716</v>
      </c>
    </row>
    <row r="1235" spans="1:12">
      <c r="A1235" s="1" t="s">
        <v>1627</v>
      </c>
      <c r="B1235" s="1" t="s">
        <v>1625</v>
      </c>
      <c r="C1235" s="1" t="s">
        <v>1711</v>
      </c>
      <c r="D1235" s="1" t="s">
        <v>1699</v>
      </c>
      <c r="E1235" s="92" t="s">
        <v>1832</v>
      </c>
      <c r="F1235" s="92" t="s">
        <v>1833</v>
      </c>
      <c r="H1235" s="1" t="s">
        <v>1684</v>
      </c>
      <c r="I1235" s="1" t="s">
        <v>1689</v>
      </c>
      <c r="J1235" s="1" t="s">
        <v>1714</v>
      </c>
      <c r="K1235" s="1" t="s">
        <v>1715</v>
      </c>
      <c r="L1235" s="1" t="s">
        <v>1716</v>
      </c>
    </row>
    <row r="1236" spans="1:12">
      <c r="A1236" s="1" t="s">
        <v>1627</v>
      </c>
      <c r="B1236" s="1" t="s">
        <v>1625</v>
      </c>
      <c r="C1236" s="1" t="s">
        <v>1711</v>
      </c>
      <c r="D1236" s="1" t="s">
        <v>1702</v>
      </c>
      <c r="E1236" s="92" t="s">
        <v>1845</v>
      </c>
      <c r="F1236" s="92" t="s">
        <v>1845</v>
      </c>
      <c r="H1236" s="1" t="s">
        <v>1684</v>
      </c>
      <c r="I1236" s="1" t="s">
        <v>1689</v>
      </c>
      <c r="J1236" s="1" t="s">
        <v>1714</v>
      </c>
      <c r="K1236" s="1" t="s">
        <v>1715</v>
      </c>
      <c r="L1236" s="1" t="s">
        <v>1716</v>
      </c>
    </row>
    <row r="1237" spans="1:12">
      <c r="A1237" s="1" t="s">
        <v>1627</v>
      </c>
      <c r="B1237" s="1" t="s">
        <v>1625</v>
      </c>
      <c r="C1237" s="1" t="s">
        <v>1711</v>
      </c>
      <c r="D1237" s="1" t="s">
        <v>1705</v>
      </c>
      <c r="E1237" s="92" t="s">
        <v>1846</v>
      </c>
      <c r="F1237" s="92" t="s">
        <v>1836</v>
      </c>
      <c r="H1237" s="1" t="s">
        <v>1684</v>
      </c>
      <c r="I1237" s="1" t="s">
        <v>1689</v>
      </c>
      <c r="J1237" s="1" t="s">
        <v>1714</v>
      </c>
      <c r="K1237" s="1" t="s">
        <v>1715</v>
      </c>
      <c r="L1237" s="1" t="s">
        <v>1716</v>
      </c>
    </row>
    <row r="1238" spans="1:12">
      <c r="A1238" s="1" t="s">
        <v>1627</v>
      </c>
      <c r="B1238" s="1" t="s">
        <v>1625</v>
      </c>
      <c r="C1238" s="1" t="s">
        <v>1711</v>
      </c>
      <c r="D1238" s="1" t="s">
        <v>1787</v>
      </c>
      <c r="E1238" s="92" t="s">
        <v>2135</v>
      </c>
      <c r="F1238" s="92" t="s">
        <v>2134</v>
      </c>
      <c r="G1238" s="92" t="s">
        <v>2136</v>
      </c>
      <c r="H1238" s="1" t="s">
        <v>1534</v>
      </c>
      <c r="I1238" s="1" t="s">
        <v>1689</v>
      </c>
      <c r="J1238" s="1" t="s">
        <v>1714</v>
      </c>
      <c r="K1238" s="1" t="s">
        <v>1715</v>
      </c>
      <c r="L1238" s="1" t="s">
        <v>1716</v>
      </c>
    </row>
    <row r="1239" spans="1:12">
      <c r="A1239" s="1" t="s">
        <v>1627</v>
      </c>
      <c r="B1239" s="1" t="s">
        <v>1625</v>
      </c>
      <c r="C1239" s="1" t="s">
        <v>1723</v>
      </c>
      <c r="D1239" s="1" t="s">
        <v>218</v>
      </c>
      <c r="E1239" s="92" t="s">
        <v>1847</v>
      </c>
      <c r="F1239" s="92" t="s">
        <v>1847</v>
      </c>
      <c r="G1239" s="92" t="s">
        <v>1713</v>
      </c>
      <c r="H1239" s="1" t="s">
        <v>1684</v>
      </c>
      <c r="I1239" s="1" t="s">
        <v>973</v>
      </c>
      <c r="J1239" s="1" t="s">
        <v>1726</v>
      </c>
      <c r="K1239" s="1" t="s">
        <v>1727</v>
      </c>
      <c r="L1239" s="1" t="s">
        <v>1728</v>
      </c>
    </row>
    <row r="1240" spans="1:12">
      <c r="A1240" s="1" t="s">
        <v>1627</v>
      </c>
      <c r="B1240" s="1" t="s">
        <v>1625</v>
      </c>
      <c r="C1240" s="1" t="s">
        <v>1723</v>
      </c>
      <c r="D1240" s="1" t="s">
        <v>1693</v>
      </c>
      <c r="E1240" s="1" t="s">
        <v>1694</v>
      </c>
      <c r="F1240" s="1" t="s">
        <v>1694</v>
      </c>
      <c r="H1240" s="1" t="s">
        <v>1684</v>
      </c>
      <c r="I1240" s="1" t="s">
        <v>973</v>
      </c>
      <c r="J1240" s="1" t="s">
        <v>1726</v>
      </c>
      <c r="K1240" s="1" t="s">
        <v>1727</v>
      </c>
      <c r="L1240" s="1" t="s">
        <v>1728</v>
      </c>
    </row>
    <row r="1241" spans="1:12">
      <c r="A1241" s="1" t="s">
        <v>1627</v>
      </c>
      <c r="B1241" s="1" t="s">
        <v>1625</v>
      </c>
      <c r="C1241" s="1" t="s">
        <v>1723</v>
      </c>
      <c r="D1241" s="1" t="s">
        <v>1695</v>
      </c>
      <c r="E1241" s="1" t="s">
        <v>1694</v>
      </c>
      <c r="F1241" s="1" t="s">
        <v>1694</v>
      </c>
      <c r="H1241" s="1" t="s">
        <v>1684</v>
      </c>
      <c r="I1241" s="1" t="s">
        <v>973</v>
      </c>
      <c r="J1241" s="1" t="s">
        <v>1726</v>
      </c>
      <c r="K1241" s="1" t="s">
        <v>1727</v>
      </c>
      <c r="L1241" s="1" t="s">
        <v>1728</v>
      </c>
    </row>
    <row r="1242" spans="1:12">
      <c r="A1242" s="1" t="s">
        <v>1627</v>
      </c>
      <c r="B1242" s="1" t="s">
        <v>1625</v>
      </c>
      <c r="C1242" s="1" t="s">
        <v>1723</v>
      </c>
      <c r="D1242" s="1" t="s">
        <v>1697</v>
      </c>
      <c r="E1242" s="1" t="s">
        <v>1698</v>
      </c>
      <c r="F1242" s="1" t="s">
        <v>1698</v>
      </c>
      <c r="H1242" s="1" t="s">
        <v>1684</v>
      </c>
      <c r="I1242" s="1" t="s">
        <v>973</v>
      </c>
      <c r="J1242" s="1" t="s">
        <v>1726</v>
      </c>
      <c r="K1242" s="1" t="s">
        <v>1727</v>
      </c>
      <c r="L1242" s="1" t="s">
        <v>1728</v>
      </c>
    </row>
    <row r="1243" spans="1:12">
      <c r="A1243" s="1" t="s">
        <v>1627</v>
      </c>
      <c r="B1243" s="1" t="s">
        <v>1625</v>
      </c>
      <c r="C1243" s="1" t="s">
        <v>1729</v>
      </c>
      <c r="D1243" s="1" t="s">
        <v>1708</v>
      </c>
      <c r="E1243" s="1" t="s">
        <v>1730</v>
      </c>
      <c r="F1243" s="1" t="s">
        <v>1730</v>
      </c>
      <c r="H1243" s="1" t="s">
        <v>1684</v>
      </c>
      <c r="I1243" s="1" t="s">
        <v>1731</v>
      </c>
      <c r="J1243" s="1" t="s">
        <v>1732</v>
      </c>
      <c r="K1243" s="1" t="s">
        <v>1733</v>
      </c>
      <c r="L1243" s="1" t="s">
        <v>1734</v>
      </c>
    </row>
    <row r="1244" spans="1:12">
      <c r="A1244" s="1" t="s">
        <v>1629</v>
      </c>
      <c r="B1244" s="1" t="s">
        <v>1630</v>
      </c>
      <c r="C1244" s="1" t="s">
        <v>1680</v>
      </c>
      <c r="D1244" s="1" t="s">
        <v>1681</v>
      </c>
      <c r="E1244" s="92" t="s">
        <v>1735</v>
      </c>
      <c r="F1244" s="92" t="s">
        <v>1736</v>
      </c>
      <c r="H1244" s="1" t="s">
        <v>1684</v>
      </c>
    </row>
    <row r="1245" spans="1:12">
      <c r="A1245" s="1" t="s">
        <v>1629</v>
      </c>
      <c r="B1245" s="1" t="s">
        <v>1630</v>
      </c>
      <c r="C1245" s="1" t="s">
        <v>1680</v>
      </c>
      <c r="D1245" s="1" t="s">
        <v>1685</v>
      </c>
      <c r="E1245" s="1" t="s">
        <v>1526</v>
      </c>
      <c r="F1245" s="1" t="s">
        <v>1526</v>
      </c>
      <c r="H1245" s="1" t="s">
        <v>1684</v>
      </c>
    </row>
    <row r="1246" spans="1:12">
      <c r="A1246" s="1" t="s">
        <v>1629</v>
      </c>
      <c r="B1246" s="1" t="s">
        <v>1630</v>
      </c>
      <c r="C1246" s="1" t="s">
        <v>1686</v>
      </c>
      <c r="D1246" s="1" t="s">
        <v>218</v>
      </c>
      <c r="E1246" s="92" t="s">
        <v>1631</v>
      </c>
      <c r="F1246" s="92" t="s">
        <v>1631</v>
      </c>
      <c r="G1246" s="92" t="s">
        <v>1822</v>
      </c>
      <c r="H1246" s="1" t="s">
        <v>1684</v>
      </c>
      <c r="I1246" s="1" t="s">
        <v>1689</v>
      </c>
      <c r="J1246" s="1" t="s">
        <v>1690</v>
      </c>
      <c r="K1246" s="1" t="s">
        <v>1691</v>
      </c>
      <c r="L1246" s="1" t="s">
        <v>1692</v>
      </c>
    </row>
    <row r="1247" spans="1:12">
      <c r="A1247" s="1" t="s">
        <v>1629</v>
      </c>
      <c r="B1247" s="1" t="s">
        <v>1630</v>
      </c>
      <c r="C1247" s="1" t="s">
        <v>1686</v>
      </c>
      <c r="D1247" s="1" t="s">
        <v>1693</v>
      </c>
      <c r="E1247" s="1" t="s">
        <v>1877</v>
      </c>
      <c r="F1247" s="1" t="s">
        <v>1877</v>
      </c>
      <c r="H1247" s="1" t="s">
        <v>1684</v>
      </c>
      <c r="I1247" s="1" t="s">
        <v>1689</v>
      </c>
      <c r="J1247" s="1" t="s">
        <v>1690</v>
      </c>
      <c r="K1247" s="1" t="s">
        <v>1691</v>
      </c>
      <c r="L1247" s="1" t="s">
        <v>1692</v>
      </c>
    </row>
    <row r="1248" spans="1:12">
      <c r="A1248" s="1" t="s">
        <v>1629</v>
      </c>
      <c r="B1248" s="1" t="s">
        <v>1630</v>
      </c>
      <c r="C1248" s="1" t="s">
        <v>1686</v>
      </c>
      <c r="D1248" s="1" t="s">
        <v>1695</v>
      </c>
      <c r="E1248" s="1" t="s">
        <v>1757</v>
      </c>
      <c r="F1248" s="1" t="s">
        <v>1757</v>
      </c>
      <c r="H1248" s="1" t="s">
        <v>1684</v>
      </c>
      <c r="I1248" s="1" t="s">
        <v>1689</v>
      </c>
      <c r="J1248" s="1" t="s">
        <v>1690</v>
      </c>
      <c r="K1248" s="1" t="s">
        <v>1691</v>
      </c>
      <c r="L1248" s="1" t="s">
        <v>1692</v>
      </c>
    </row>
    <row r="1249" spans="1:12">
      <c r="A1249" s="1" t="s">
        <v>1629</v>
      </c>
      <c r="B1249" s="1" t="s">
        <v>1630</v>
      </c>
      <c r="C1249" s="1" t="s">
        <v>1686</v>
      </c>
      <c r="D1249" s="1" t="s">
        <v>1697</v>
      </c>
      <c r="E1249" s="1" t="s">
        <v>1698</v>
      </c>
      <c r="F1249" s="1" t="s">
        <v>1698</v>
      </c>
      <c r="H1249" s="1" t="s">
        <v>1684</v>
      </c>
      <c r="I1249" s="1" t="s">
        <v>1689</v>
      </c>
      <c r="J1249" s="1" t="s">
        <v>1690</v>
      </c>
      <c r="K1249" s="1" t="s">
        <v>1691</v>
      </c>
      <c r="L1249" s="1" t="s">
        <v>1692</v>
      </c>
    </row>
    <row r="1250" spans="1:12">
      <c r="A1250" s="1" t="s">
        <v>1629</v>
      </c>
      <c r="B1250" s="1" t="s">
        <v>1630</v>
      </c>
      <c r="C1250" s="1" t="s">
        <v>1686</v>
      </c>
      <c r="D1250" s="1" t="s">
        <v>1699</v>
      </c>
      <c r="E1250" s="92" t="s">
        <v>1739</v>
      </c>
      <c r="F1250" s="92" t="s">
        <v>1740</v>
      </c>
      <c r="H1250" s="1" t="s">
        <v>1684</v>
      </c>
      <c r="I1250" s="1" t="s">
        <v>1689</v>
      </c>
      <c r="J1250" s="1" t="s">
        <v>1690</v>
      </c>
      <c r="K1250" s="1" t="s">
        <v>1691</v>
      </c>
      <c r="L1250" s="1" t="s">
        <v>1692</v>
      </c>
    </row>
    <row r="1251" spans="1:12">
      <c r="A1251" s="1" t="s">
        <v>1629</v>
      </c>
      <c r="B1251" s="1" t="s">
        <v>1630</v>
      </c>
      <c r="C1251" s="1" t="s">
        <v>1686</v>
      </c>
      <c r="D1251" s="1" t="s">
        <v>1702</v>
      </c>
      <c r="E1251" s="92" t="s">
        <v>1741</v>
      </c>
      <c r="F1251" s="92" t="s">
        <v>1741</v>
      </c>
      <c r="H1251" s="1" t="s">
        <v>1684</v>
      </c>
      <c r="I1251" s="1" t="s">
        <v>1689</v>
      </c>
      <c r="J1251" s="1" t="s">
        <v>1690</v>
      </c>
      <c r="K1251" s="1" t="s">
        <v>1691</v>
      </c>
      <c r="L1251" s="1" t="s">
        <v>1692</v>
      </c>
    </row>
    <row r="1252" spans="1:12">
      <c r="A1252" s="1" t="s">
        <v>1629</v>
      </c>
      <c r="B1252" s="1" t="s">
        <v>1630</v>
      </c>
      <c r="C1252" s="1" t="s">
        <v>1686</v>
      </c>
      <c r="D1252" s="1" t="s">
        <v>1705</v>
      </c>
      <c r="E1252" s="92" t="s">
        <v>1742</v>
      </c>
      <c r="F1252" s="92" t="s">
        <v>1743</v>
      </c>
      <c r="H1252" s="1" t="s">
        <v>1684</v>
      </c>
      <c r="I1252" s="1" t="s">
        <v>1689</v>
      </c>
      <c r="J1252" s="1" t="s">
        <v>1690</v>
      </c>
      <c r="K1252" s="1" t="s">
        <v>1691</v>
      </c>
      <c r="L1252" s="1" t="s">
        <v>1692</v>
      </c>
    </row>
    <row r="1253" spans="1:12">
      <c r="A1253" s="1" t="s">
        <v>1629</v>
      </c>
      <c r="B1253" s="1" t="s">
        <v>1630</v>
      </c>
      <c r="C1253" s="1" t="s">
        <v>1686</v>
      </c>
      <c r="D1253" s="1" t="s">
        <v>1787</v>
      </c>
      <c r="E1253" s="92" t="s">
        <v>2137</v>
      </c>
      <c r="F1253" s="92" t="s">
        <v>1631</v>
      </c>
      <c r="G1253" s="92" t="s">
        <v>2138</v>
      </c>
      <c r="H1253" s="1" t="s">
        <v>1534</v>
      </c>
      <c r="I1253" s="1" t="s">
        <v>1689</v>
      </c>
      <c r="J1253" s="1" t="s">
        <v>1690</v>
      </c>
      <c r="K1253" s="1" t="s">
        <v>1691</v>
      </c>
      <c r="L1253" s="1" t="s">
        <v>1692</v>
      </c>
    </row>
    <row r="1254" spans="1:12">
      <c r="A1254" s="1" t="s">
        <v>1629</v>
      </c>
      <c r="B1254" s="1" t="s">
        <v>1630</v>
      </c>
      <c r="C1254" s="1" t="s">
        <v>1394</v>
      </c>
      <c r="D1254" s="1" t="s">
        <v>1708</v>
      </c>
      <c r="E1254" s="1" t="s">
        <v>1709</v>
      </c>
      <c r="F1254" s="1" t="s">
        <v>1709</v>
      </c>
      <c r="H1254" s="1" t="s">
        <v>1684</v>
      </c>
      <c r="I1254" s="1" t="s">
        <v>973</v>
      </c>
      <c r="J1254" s="1" t="s">
        <v>1710</v>
      </c>
      <c r="K1254" s="1" t="s">
        <v>1691</v>
      </c>
      <c r="L1254" s="1" t="s">
        <v>1692</v>
      </c>
    </row>
    <row r="1255" spans="1:12">
      <c r="A1255" s="1" t="s">
        <v>1629</v>
      </c>
      <c r="B1255" s="1" t="s">
        <v>1630</v>
      </c>
      <c r="C1255" s="1" t="s">
        <v>1711</v>
      </c>
      <c r="D1255" s="1" t="s">
        <v>218</v>
      </c>
      <c r="E1255" s="92" t="s">
        <v>1875</v>
      </c>
      <c r="F1255" s="92" t="s">
        <v>1875</v>
      </c>
      <c r="G1255" s="92" t="s">
        <v>1822</v>
      </c>
      <c r="H1255" s="1" t="s">
        <v>1684</v>
      </c>
      <c r="I1255" s="1" t="s">
        <v>1689</v>
      </c>
      <c r="J1255" s="1" t="s">
        <v>1714</v>
      </c>
      <c r="K1255" s="1" t="s">
        <v>1715</v>
      </c>
      <c r="L1255" s="1" t="s">
        <v>1716</v>
      </c>
    </row>
    <row r="1256" spans="1:12">
      <c r="A1256" s="1" t="s">
        <v>1629</v>
      </c>
      <c r="B1256" s="1" t="s">
        <v>1630</v>
      </c>
      <c r="C1256" s="1" t="s">
        <v>1711</v>
      </c>
      <c r="D1256" s="1" t="s">
        <v>1693</v>
      </c>
      <c r="E1256" s="1" t="s">
        <v>1694</v>
      </c>
      <c r="F1256" s="1" t="s">
        <v>1694</v>
      </c>
      <c r="H1256" s="1" t="s">
        <v>1684</v>
      </c>
      <c r="I1256" s="1" t="s">
        <v>1689</v>
      </c>
      <c r="J1256" s="1" t="s">
        <v>1714</v>
      </c>
      <c r="K1256" s="1" t="s">
        <v>1715</v>
      </c>
      <c r="L1256" s="1" t="s">
        <v>1716</v>
      </c>
    </row>
    <row r="1257" spans="1:12">
      <c r="A1257" s="1" t="s">
        <v>1629</v>
      </c>
      <c r="B1257" s="1" t="s">
        <v>1630</v>
      </c>
      <c r="C1257" s="1" t="s">
        <v>1711</v>
      </c>
      <c r="D1257" s="1" t="s">
        <v>1695</v>
      </c>
      <c r="E1257" s="1" t="s">
        <v>1694</v>
      </c>
      <c r="F1257" s="1" t="s">
        <v>1694</v>
      </c>
      <c r="H1257" s="1" t="s">
        <v>1684</v>
      </c>
      <c r="I1257" s="1" t="s">
        <v>1689</v>
      </c>
      <c r="J1257" s="1" t="s">
        <v>1714</v>
      </c>
      <c r="K1257" s="1" t="s">
        <v>1715</v>
      </c>
      <c r="L1257" s="1" t="s">
        <v>1716</v>
      </c>
    </row>
    <row r="1258" spans="1:12">
      <c r="A1258" s="1" t="s">
        <v>1629</v>
      </c>
      <c r="B1258" s="1" t="s">
        <v>1630</v>
      </c>
      <c r="C1258" s="1" t="s">
        <v>1711</v>
      </c>
      <c r="D1258" s="1" t="s">
        <v>1697</v>
      </c>
      <c r="E1258" s="1" t="s">
        <v>1698</v>
      </c>
      <c r="F1258" s="1" t="s">
        <v>1698</v>
      </c>
      <c r="H1258" s="1" t="s">
        <v>1684</v>
      </c>
      <c r="I1258" s="1" t="s">
        <v>1689</v>
      </c>
      <c r="J1258" s="1" t="s">
        <v>1714</v>
      </c>
      <c r="K1258" s="1" t="s">
        <v>1715</v>
      </c>
      <c r="L1258" s="1" t="s">
        <v>1716</v>
      </c>
    </row>
    <row r="1259" spans="1:12">
      <c r="A1259" s="1" t="s">
        <v>1629</v>
      </c>
      <c r="B1259" s="1" t="s">
        <v>1630</v>
      </c>
      <c r="C1259" s="1" t="s">
        <v>1711</v>
      </c>
      <c r="D1259" s="1" t="s">
        <v>1699</v>
      </c>
      <c r="E1259" s="92" t="s">
        <v>1717</v>
      </c>
      <c r="F1259" s="92" t="s">
        <v>1718</v>
      </c>
      <c r="H1259" s="1" t="s">
        <v>1684</v>
      </c>
      <c r="I1259" s="1" t="s">
        <v>1689</v>
      </c>
      <c r="J1259" s="1" t="s">
        <v>1714</v>
      </c>
      <c r="K1259" s="1" t="s">
        <v>1715</v>
      </c>
      <c r="L1259" s="1" t="s">
        <v>1716</v>
      </c>
    </row>
    <row r="1260" spans="1:12">
      <c r="A1260" s="1" t="s">
        <v>1629</v>
      </c>
      <c r="B1260" s="1" t="s">
        <v>1630</v>
      </c>
      <c r="C1260" s="1" t="s">
        <v>1711</v>
      </c>
      <c r="D1260" s="1" t="s">
        <v>1702</v>
      </c>
      <c r="E1260" s="92" t="s">
        <v>2139</v>
      </c>
      <c r="F1260" s="92" t="s">
        <v>2139</v>
      </c>
      <c r="H1260" s="1" t="s">
        <v>1684</v>
      </c>
      <c r="I1260" s="1" t="s">
        <v>1689</v>
      </c>
      <c r="J1260" s="1" t="s">
        <v>1714</v>
      </c>
      <c r="K1260" s="1" t="s">
        <v>1715</v>
      </c>
      <c r="L1260" s="1" t="s">
        <v>1716</v>
      </c>
    </row>
    <row r="1261" spans="1:12">
      <c r="A1261" s="1" t="s">
        <v>1629</v>
      </c>
      <c r="B1261" s="1" t="s">
        <v>1630</v>
      </c>
      <c r="C1261" s="1" t="s">
        <v>1711</v>
      </c>
      <c r="D1261" s="1" t="s">
        <v>1705</v>
      </c>
      <c r="E1261" s="92" t="s">
        <v>2140</v>
      </c>
      <c r="F1261" s="92" t="s">
        <v>2105</v>
      </c>
      <c r="H1261" s="1" t="s">
        <v>1684</v>
      </c>
      <c r="I1261" s="1" t="s">
        <v>1689</v>
      </c>
      <c r="J1261" s="1" t="s">
        <v>1714</v>
      </c>
      <c r="K1261" s="1" t="s">
        <v>1715</v>
      </c>
      <c r="L1261" s="1" t="s">
        <v>1716</v>
      </c>
    </row>
    <row r="1262" spans="1:12">
      <c r="A1262" s="1" t="s">
        <v>1629</v>
      </c>
      <c r="B1262" s="1" t="s">
        <v>1630</v>
      </c>
      <c r="C1262" s="1" t="s">
        <v>1723</v>
      </c>
      <c r="D1262" s="1" t="s">
        <v>218</v>
      </c>
      <c r="E1262" s="92" t="s">
        <v>2141</v>
      </c>
      <c r="F1262" s="92" t="s">
        <v>2141</v>
      </c>
      <c r="G1262" s="92" t="s">
        <v>1775</v>
      </c>
      <c r="H1262" s="1" t="s">
        <v>1684</v>
      </c>
      <c r="I1262" s="1" t="s">
        <v>973</v>
      </c>
      <c r="J1262" s="1" t="s">
        <v>1726</v>
      </c>
      <c r="K1262" s="1" t="s">
        <v>1727</v>
      </c>
      <c r="L1262" s="1" t="s">
        <v>1728</v>
      </c>
    </row>
    <row r="1263" spans="1:12">
      <c r="A1263" s="1" t="s">
        <v>1629</v>
      </c>
      <c r="B1263" s="1" t="s">
        <v>1630</v>
      </c>
      <c r="C1263" s="1" t="s">
        <v>1723</v>
      </c>
      <c r="D1263" s="1" t="s">
        <v>1693</v>
      </c>
      <c r="E1263" s="1" t="s">
        <v>2142</v>
      </c>
      <c r="F1263" s="1" t="s">
        <v>2142</v>
      </c>
      <c r="H1263" s="1" t="s">
        <v>1684</v>
      </c>
      <c r="I1263" s="1" t="s">
        <v>973</v>
      </c>
      <c r="J1263" s="1" t="s">
        <v>1726</v>
      </c>
      <c r="K1263" s="1" t="s">
        <v>1727</v>
      </c>
      <c r="L1263" s="1" t="s">
        <v>1728</v>
      </c>
    </row>
    <row r="1264" spans="1:12">
      <c r="A1264" s="1" t="s">
        <v>1629</v>
      </c>
      <c r="B1264" s="1" t="s">
        <v>1630</v>
      </c>
      <c r="C1264" s="1" t="s">
        <v>1723</v>
      </c>
      <c r="D1264" s="1" t="s">
        <v>1695</v>
      </c>
      <c r="E1264" s="1" t="s">
        <v>1993</v>
      </c>
      <c r="F1264" s="1" t="s">
        <v>1993</v>
      </c>
      <c r="H1264" s="1" t="s">
        <v>1684</v>
      </c>
      <c r="I1264" s="1" t="s">
        <v>973</v>
      </c>
      <c r="J1264" s="1" t="s">
        <v>1726</v>
      </c>
      <c r="K1264" s="1" t="s">
        <v>1727</v>
      </c>
      <c r="L1264" s="1" t="s">
        <v>1728</v>
      </c>
    </row>
    <row r="1265" spans="1:12">
      <c r="A1265" s="1" t="s">
        <v>1629</v>
      </c>
      <c r="B1265" s="1" t="s">
        <v>1630</v>
      </c>
      <c r="C1265" s="1" t="s">
        <v>1723</v>
      </c>
      <c r="D1265" s="1" t="s">
        <v>1697</v>
      </c>
      <c r="E1265" s="1" t="s">
        <v>1698</v>
      </c>
      <c r="F1265" s="1" t="s">
        <v>1698</v>
      </c>
      <c r="H1265" s="1" t="s">
        <v>1684</v>
      </c>
      <c r="I1265" s="1" t="s">
        <v>973</v>
      </c>
      <c r="J1265" s="1" t="s">
        <v>1726</v>
      </c>
      <c r="K1265" s="1" t="s">
        <v>1727</v>
      </c>
      <c r="L1265" s="1" t="s">
        <v>1728</v>
      </c>
    </row>
    <row r="1266" spans="1:12">
      <c r="A1266" s="1" t="s">
        <v>1629</v>
      </c>
      <c r="B1266" s="1" t="s">
        <v>1630</v>
      </c>
      <c r="C1266" s="1" t="s">
        <v>1729</v>
      </c>
      <c r="D1266" s="1" t="s">
        <v>1708</v>
      </c>
      <c r="E1266" s="1" t="s">
        <v>1730</v>
      </c>
      <c r="F1266" s="1" t="s">
        <v>1730</v>
      </c>
      <c r="H1266" s="1" t="s">
        <v>1684</v>
      </c>
      <c r="I1266" s="1" t="s">
        <v>1731</v>
      </c>
      <c r="J1266" s="1" t="s">
        <v>1732</v>
      </c>
      <c r="K1266" s="1" t="s">
        <v>1733</v>
      </c>
      <c r="L1266" s="1" t="s">
        <v>1734</v>
      </c>
    </row>
    <row r="1267" spans="1:12">
      <c r="A1267" s="1" t="s">
        <v>1632</v>
      </c>
      <c r="B1267" s="1" t="s">
        <v>1630</v>
      </c>
      <c r="C1267" s="1" t="s">
        <v>1680</v>
      </c>
      <c r="D1267" s="1" t="s">
        <v>1681</v>
      </c>
      <c r="E1267" s="92" t="s">
        <v>1735</v>
      </c>
      <c r="F1267" s="92" t="s">
        <v>1736</v>
      </c>
      <c r="H1267" s="1" t="s">
        <v>1684</v>
      </c>
    </row>
    <row r="1268" spans="1:12">
      <c r="A1268" s="1" t="s">
        <v>1632</v>
      </c>
      <c r="B1268" s="1" t="s">
        <v>1630</v>
      </c>
      <c r="C1268" s="1" t="s">
        <v>1680</v>
      </c>
      <c r="D1268" s="1" t="s">
        <v>1685</v>
      </c>
      <c r="E1268" s="1" t="s">
        <v>1526</v>
      </c>
      <c r="F1268" s="1" t="s">
        <v>1526</v>
      </c>
      <c r="H1268" s="1" t="s">
        <v>1684</v>
      </c>
    </row>
    <row r="1269" spans="1:12">
      <c r="A1269" s="1" t="s">
        <v>1632</v>
      </c>
      <c r="B1269" s="1" t="s">
        <v>1630</v>
      </c>
      <c r="C1269" s="1" t="s">
        <v>1686</v>
      </c>
      <c r="D1269" s="1" t="s">
        <v>218</v>
      </c>
      <c r="E1269" s="92" t="s">
        <v>2143</v>
      </c>
      <c r="F1269" s="92" t="s">
        <v>2143</v>
      </c>
      <c r="G1269" s="92" t="s">
        <v>1688</v>
      </c>
      <c r="H1269" s="1" t="s">
        <v>1684</v>
      </c>
      <c r="I1269" s="1" t="s">
        <v>1689</v>
      </c>
      <c r="J1269" s="1" t="s">
        <v>1690</v>
      </c>
      <c r="K1269" s="1" t="s">
        <v>1691</v>
      </c>
      <c r="L1269" s="1" t="s">
        <v>1692</v>
      </c>
    </row>
    <row r="1270" spans="1:12">
      <c r="A1270" s="1" t="s">
        <v>1632</v>
      </c>
      <c r="B1270" s="1" t="s">
        <v>1630</v>
      </c>
      <c r="C1270" s="1" t="s">
        <v>1686</v>
      </c>
      <c r="D1270" s="1" t="s">
        <v>1693</v>
      </c>
      <c r="E1270" s="1" t="s">
        <v>1694</v>
      </c>
      <c r="F1270" s="1" t="s">
        <v>1694</v>
      </c>
      <c r="H1270" s="1" t="s">
        <v>1684</v>
      </c>
      <c r="I1270" s="1" t="s">
        <v>1689</v>
      </c>
      <c r="J1270" s="1" t="s">
        <v>1690</v>
      </c>
      <c r="K1270" s="1" t="s">
        <v>1691</v>
      </c>
      <c r="L1270" s="1" t="s">
        <v>1692</v>
      </c>
    </row>
    <row r="1271" spans="1:12">
      <c r="A1271" s="1" t="s">
        <v>1632</v>
      </c>
      <c r="B1271" s="1" t="s">
        <v>1630</v>
      </c>
      <c r="C1271" s="1" t="s">
        <v>1686</v>
      </c>
      <c r="D1271" s="1" t="s">
        <v>1695</v>
      </c>
      <c r="E1271" s="1" t="s">
        <v>1696</v>
      </c>
      <c r="F1271" s="1" t="s">
        <v>1696</v>
      </c>
      <c r="H1271" s="1" t="s">
        <v>1684</v>
      </c>
      <c r="I1271" s="1" t="s">
        <v>1689</v>
      </c>
      <c r="J1271" s="1" t="s">
        <v>1690</v>
      </c>
      <c r="K1271" s="1" t="s">
        <v>1691</v>
      </c>
      <c r="L1271" s="1" t="s">
        <v>1692</v>
      </c>
    </row>
    <row r="1272" spans="1:12">
      <c r="A1272" s="1" t="s">
        <v>1632</v>
      </c>
      <c r="B1272" s="1" t="s">
        <v>1630</v>
      </c>
      <c r="C1272" s="1" t="s">
        <v>1686</v>
      </c>
      <c r="D1272" s="1" t="s">
        <v>1697</v>
      </c>
      <c r="E1272" s="1" t="s">
        <v>1698</v>
      </c>
      <c r="F1272" s="1" t="s">
        <v>1698</v>
      </c>
      <c r="H1272" s="1" t="s">
        <v>1684</v>
      </c>
      <c r="I1272" s="1" t="s">
        <v>1689</v>
      </c>
      <c r="J1272" s="1" t="s">
        <v>1690</v>
      </c>
      <c r="K1272" s="1" t="s">
        <v>1691</v>
      </c>
      <c r="L1272" s="1" t="s">
        <v>1692</v>
      </c>
    </row>
    <row r="1273" spans="1:12">
      <c r="A1273" s="1" t="s">
        <v>1632</v>
      </c>
      <c r="B1273" s="1" t="s">
        <v>1630</v>
      </c>
      <c r="C1273" s="1" t="s">
        <v>1686</v>
      </c>
      <c r="D1273" s="1" t="s">
        <v>1699</v>
      </c>
      <c r="E1273" s="92" t="s">
        <v>1839</v>
      </c>
      <c r="F1273" s="92" t="s">
        <v>1840</v>
      </c>
      <c r="H1273" s="1" t="s">
        <v>1684</v>
      </c>
      <c r="I1273" s="1" t="s">
        <v>1689</v>
      </c>
      <c r="J1273" s="1" t="s">
        <v>1690</v>
      </c>
      <c r="K1273" s="1" t="s">
        <v>1691</v>
      </c>
      <c r="L1273" s="1" t="s">
        <v>1692</v>
      </c>
    </row>
    <row r="1274" spans="1:12">
      <c r="A1274" s="1" t="s">
        <v>1632</v>
      </c>
      <c r="B1274" s="1" t="s">
        <v>1630</v>
      </c>
      <c r="C1274" s="1" t="s">
        <v>1686</v>
      </c>
      <c r="D1274" s="1" t="s">
        <v>1702</v>
      </c>
      <c r="E1274" s="92" t="s">
        <v>1841</v>
      </c>
      <c r="F1274" s="92" t="s">
        <v>1841</v>
      </c>
      <c r="H1274" s="1" t="s">
        <v>1684</v>
      </c>
      <c r="I1274" s="1" t="s">
        <v>1689</v>
      </c>
      <c r="J1274" s="1" t="s">
        <v>1690</v>
      </c>
      <c r="K1274" s="1" t="s">
        <v>1691</v>
      </c>
      <c r="L1274" s="1" t="s">
        <v>1692</v>
      </c>
    </row>
    <row r="1275" spans="1:12">
      <c r="A1275" s="1" t="s">
        <v>1632</v>
      </c>
      <c r="B1275" s="1" t="s">
        <v>1630</v>
      </c>
      <c r="C1275" s="1" t="s">
        <v>1686</v>
      </c>
      <c r="D1275" s="1" t="s">
        <v>1705</v>
      </c>
      <c r="E1275" s="92" t="s">
        <v>1842</v>
      </c>
      <c r="F1275" s="92" t="s">
        <v>1843</v>
      </c>
      <c r="H1275" s="1" t="s">
        <v>1684</v>
      </c>
      <c r="I1275" s="1" t="s">
        <v>1689</v>
      </c>
      <c r="J1275" s="1" t="s">
        <v>1690</v>
      </c>
      <c r="K1275" s="1" t="s">
        <v>1691</v>
      </c>
      <c r="L1275" s="1" t="s">
        <v>1692</v>
      </c>
    </row>
    <row r="1276" spans="1:12">
      <c r="A1276" s="1" t="s">
        <v>1632</v>
      </c>
      <c r="B1276" s="1" t="s">
        <v>1630</v>
      </c>
      <c r="C1276" s="1" t="s">
        <v>1686</v>
      </c>
      <c r="D1276" s="1" t="s">
        <v>1787</v>
      </c>
      <c r="E1276" s="92" t="s">
        <v>2144</v>
      </c>
      <c r="F1276" s="92" t="s">
        <v>2143</v>
      </c>
      <c r="G1276" s="92" t="s">
        <v>2145</v>
      </c>
      <c r="H1276" s="1" t="s">
        <v>1534</v>
      </c>
      <c r="I1276" s="1" t="s">
        <v>1689</v>
      </c>
      <c r="J1276" s="1" t="s">
        <v>1690</v>
      </c>
      <c r="K1276" s="1" t="s">
        <v>1691</v>
      </c>
      <c r="L1276" s="1" t="s">
        <v>1692</v>
      </c>
    </row>
    <row r="1277" spans="1:12">
      <c r="A1277" s="1" t="s">
        <v>1632</v>
      </c>
      <c r="B1277" s="1" t="s">
        <v>1630</v>
      </c>
      <c r="C1277" s="1" t="s">
        <v>1394</v>
      </c>
      <c r="D1277" s="1" t="s">
        <v>1708</v>
      </c>
      <c r="E1277" s="1" t="s">
        <v>1709</v>
      </c>
      <c r="F1277" s="1" t="s">
        <v>1709</v>
      </c>
      <c r="H1277" s="1" t="s">
        <v>1684</v>
      </c>
      <c r="I1277" s="1" t="s">
        <v>973</v>
      </c>
      <c r="J1277" s="1" t="s">
        <v>1710</v>
      </c>
      <c r="K1277" s="1" t="s">
        <v>1691</v>
      </c>
      <c r="L1277" s="1" t="s">
        <v>1692</v>
      </c>
    </row>
    <row r="1278" spans="1:12">
      <c r="A1278" s="1" t="s">
        <v>1632</v>
      </c>
      <c r="B1278" s="1" t="s">
        <v>1630</v>
      </c>
      <c r="C1278" s="1" t="s">
        <v>1711</v>
      </c>
      <c r="D1278" s="1" t="s">
        <v>218</v>
      </c>
      <c r="E1278" s="92" t="s">
        <v>1974</v>
      </c>
      <c r="F1278" s="92" t="s">
        <v>1974</v>
      </c>
      <c r="G1278" s="92" t="s">
        <v>1791</v>
      </c>
      <c r="H1278" s="1" t="s">
        <v>1684</v>
      </c>
      <c r="I1278" s="1" t="s">
        <v>1689</v>
      </c>
      <c r="J1278" s="1" t="s">
        <v>1714</v>
      </c>
      <c r="K1278" s="1" t="s">
        <v>1715</v>
      </c>
      <c r="L1278" s="1" t="s">
        <v>1716</v>
      </c>
    </row>
    <row r="1279" spans="1:12">
      <c r="A1279" s="1" t="s">
        <v>1632</v>
      </c>
      <c r="B1279" s="1" t="s">
        <v>1630</v>
      </c>
      <c r="C1279" s="1" t="s">
        <v>1711</v>
      </c>
      <c r="D1279" s="1" t="s">
        <v>1693</v>
      </c>
      <c r="E1279" s="1" t="s">
        <v>1694</v>
      </c>
      <c r="F1279" s="1" t="s">
        <v>1694</v>
      </c>
      <c r="H1279" s="1" t="s">
        <v>1684</v>
      </c>
      <c r="I1279" s="1" t="s">
        <v>1689</v>
      </c>
      <c r="J1279" s="1" t="s">
        <v>1714</v>
      </c>
      <c r="K1279" s="1" t="s">
        <v>1715</v>
      </c>
      <c r="L1279" s="1" t="s">
        <v>1716</v>
      </c>
    </row>
    <row r="1280" spans="1:12">
      <c r="A1280" s="1" t="s">
        <v>1632</v>
      </c>
      <c r="B1280" s="1" t="s">
        <v>1630</v>
      </c>
      <c r="C1280" s="1" t="s">
        <v>1711</v>
      </c>
      <c r="D1280" s="1" t="s">
        <v>1695</v>
      </c>
      <c r="E1280" s="1" t="s">
        <v>1694</v>
      </c>
      <c r="F1280" s="1" t="s">
        <v>1694</v>
      </c>
      <c r="H1280" s="1" t="s">
        <v>1684</v>
      </c>
      <c r="I1280" s="1" t="s">
        <v>1689</v>
      </c>
      <c r="J1280" s="1" t="s">
        <v>1714</v>
      </c>
      <c r="K1280" s="1" t="s">
        <v>1715</v>
      </c>
      <c r="L1280" s="1" t="s">
        <v>1716</v>
      </c>
    </row>
    <row r="1281" spans="1:12">
      <c r="A1281" s="1" t="s">
        <v>1632</v>
      </c>
      <c r="B1281" s="1" t="s">
        <v>1630</v>
      </c>
      <c r="C1281" s="1" t="s">
        <v>1711</v>
      </c>
      <c r="D1281" s="1" t="s">
        <v>1697</v>
      </c>
      <c r="E1281" s="1" t="s">
        <v>1698</v>
      </c>
      <c r="F1281" s="1" t="s">
        <v>1698</v>
      </c>
      <c r="H1281" s="1" t="s">
        <v>1684</v>
      </c>
      <c r="I1281" s="1" t="s">
        <v>1689</v>
      </c>
      <c r="J1281" s="1" t="s">
        <v>1714</v>
      </c>
      <c r="K1281" s="1" t="s">
        <v>1715</v>
      </c>
      <c r="L1281" s="1" t="s">
        <v>1716</v>
      </c>
    </row>
    <row r="1282" spans="1:12">
      <c r="A1282" s="1" t="s">
        <v>1632</v>
      </c>
      <c r="B1282" s="1" t="s">
        <v>1630</v>
      </c>
      <c r="C1282" s="1" t="s">
        <v>1711</v>
      </c>
      <c r="D1282" s="1" t="s">
        <v>1699</v>
      </c>
      <c r="E1282" s="92" t="s">
        <v>1832</v>
      </c>
      <c r="F1282" s="92" t="s">
        <v>1833</v>
      </c>
      <c r="H1282" s="1" t="s">
        <v>1684</v>
      </c>
      <c r="I1282" s="1" t="s">
        <v>1689</v>
      </c>
      <c r="J1282" s="1" t="s">
        <v>1714</v>
      </c>
      <c r="K1282" s="1" t="s">
        <v>1715</v>
      </c>
      <c r="L1282" s="1" t="s">
        <v>1716</v>
      </c>
    </row>
    <row r="1283" spans="1:12">
      <c r="A1283" s="1" t="s">
        <v>1632</v>
      </c>
      <c r="B1283" s="1" t="s">
        <v>1630</v>
      </c>
      <c r="C1283" s="1" t="s">
        <v>1711</v>
      </c>
      <c r="D1283" s="1" t="s">
        <v>1702</v>
      </c>
      <c r="E1283" s="92" t="s">
        <v>2146</v>
      </c>
      <c r="F1283" s="92" t="s">
        <v>2147</v>
      </c>
      <c r="H1283" s="1" t="s">
        <v>1684</v>
      </c>
      <c r="I1283" s="1" t="s">
        <v>1689</v>
      </c>
      <c r="J1283" s="1" t="s">
        <v>1714</v>
      </c>
      <c r="K1283" s="1" t="s">
        <v>1715</v>
      </c>
      <c r="L1283" s="1" t="s">
        <v>1716</v>
      </c>
    </row>
    <row r="1284" spans="1:12">
      <c r="A1284" s="1" t="s">
        <v>1632</v>
      </c>
      <c r="B1284" s="1" t="s">
        <v>1630</v>
      </c>
      <c r="C1284" s="1" t="s">
        <v>1711</v>
      </c>
      <c r="D1284" s="1" t="s">
        <v>1705</v>
      </c>
      <c r="E1284" s="92" t="s">
        <v>2148</v>
      </c>
      <c r="F1284" s="92" t="s">
        <v>1901</v>
      </c>
      <c r="H1284" s="1" t="s">
        <v>1684</v>
      </c>
      <c r="I1284" s="1" t="s">
        <v>1689</v>
      </c>
      <c r="J1284" s="1" t="s">
        <v>1714</v>
      </c>
      <c r="K1284" s="1" t="s">
        <v>1715</v>
      </c>
      <c r="L1284" s="1" t="s">
        <v>1716</v>
      </c>
    </row>
    <row r="1285" spans="1:12">
      <c r="A1285" s="1" t="s">
        <v>1632</v>
      </c>
      <c r="B1285" s="1" t="s">
        <v>1630</v>
      </c>
      <c r="C1285" s="1" t="s">
        <v>1723</v>
      </c>
      <c r="D1285" s="1" t="s">
        <v>218</v>
      </c>
      <c r="E1285" s="92" t="s">
        <v>2149</v>
      </c>
      <c r="F1285" s="92" t="s">
        <v>2149</v>
      </c>
      <c r="G1285" s="92" t="s">
        <v>1791</v>
      </c>
      <c r="H1285" s="1" t="s">
        <v>1684</v>
      </c>
      <c r="I1285" s="1" t="s">
        <v>973</v>
      </c>
      <c r="J1285" s="1" t="s">
        <v>1726</v>
      </c>
      <c r="K1285" s="1" t="s">
        <v>1727</v>
      </c>
      <c r="L1285" s="1" t="s">
        <v>1728</v>
      </c>
    </row>
    <row r="1286" spans="1:12">
      <c r="A1286" s="1" t="s">
        <v>1632</v>
      </c>
      <c r="B1286" s="1" t="s">
        <v>1630</v>
      </c>
      <c r="C1286" s="1" t="s">
        <v>1723</v>
      </c>
      <c r="D1286" s="1" t="s">
        <v>1693</v>
      </c>
      <c r="E1286" s="1" t="s">
        <v>1982</v>
      </c>
      <c r="F1286" s="1" t="s">
        <v>1982</v>
      </c>
      <c r="H1286" s="1" t="s">
        <v>1684</v>
      </c>
      <c r="I1286" s="1" t="s">
        <v>973</v>
      </c>
      <c r="J1286" s="1" t="s">
        <v>1726</v>
      </c>
      <c r="K1286" s="1" t="s">
        <v>1727</v>
      </c>
      <c r="L1286" s="1" t="s">
        <v>1728</v>
      </c>
    </row>
    <row r="1287" spans="1:12">
      <c r="A1287" s="1" t="s">
        <v>1632</v>
      </c>
      <c r="B1287" s="1" t="s">
        <v>1630</v>
      </c>
      <c r="C1287" s="1" t="s">
        <v>1723</v>
      </c>
      <c r="D1287" s="1" t="s">
        <v>1695</v>
      </c>
      <c r="E1287" s="1" t="s">
        <v>1982</v>
      </c>
      <c r="F1287" s="1" t="s">
        <v>1982</v>
      </c>
      <c r="H1287" s="1" t="s">
        <v>1684</v>
      </c>
      <c r="I1287" s="1" t="s">
        <v>973</v>
      </c>
      <c r="J1287" s="1" t="s">
        <v>1726</v>
      </c>
      <c r="K1287" s="1" t="s">
        <v>1727</v>
      </c>
      <c r="L1287" s="1" t="s">
        <v>1728</v>
      </c>
    </row>
    <row r="1288" spans="1:12">
      <c r="A1288" s="1" t="s">
        <v>1632</v>
      </c>
      <c r="B1288" s="1" t="s">
        <v>1630</v>
      </c>
      <c r="C1288" s="1" t="s">
        <v>1723</v>
      </c>
      <c r="D1288" s="1" t="s">
        <v>1697</v>
      </c>
      <c r="E1288" s="1" t="s">
        <v>1698</v>
      </c>
      <c r="F1288" s="1" t="s">
        <v>1698</v>
      </c>
      <c r="H1288" s="1" t="s">
        <v>1684</v>
      </c>
      <c r="I1288" s="1" t="s">
        <v>973</v>
      </c>
      <c r="J1288" s="1" t="s">
        <v>1726</v>
      </c>
      <c r="K1288" s="1" t="s">
        <v>1727</v>
      </c>
      <c r="L1288" s="1" t="s">
        <v>1728</v>
      </c>
    </row>
    <row r="1289" spans="1:12">
      <c r="A1289" s="1" t="s">
        <v>1632</v>
      </c>
      <c r="B1289" s="1" t="s">
        <v>1630</v>
      </c>
      <c r="C1289" s="1" t="s">
        <v>1729</v>
      </c>
      <c r="D1289" s="1" t="s">
        <v>1708</v>
      </c>
      <c r="E1289" s="1" t="s">
        <v>1730</v>
      </c>
      <c r="F1289" s="1" t="s">
        <v>1730</v>
      </c>
      <c r="H1289" s="1" t="s">
        <v>1684</v>
      </c>
      <c r="I1289" s="1" t="s">
        <v>1731</v>
      </c>
      <c r="J1289" s="1" t="s">
        <v>1732</v>
      </c>
      <c r="K1289" s="1" t="s">
        <v>1733</v>
      </c>
      <c r="L1289" s="1" t="s">
        <v>1734</v>
      </c>
    </row>
    <row r="1290" spans="1:12">
      <c r="A1290" s="1" t="s">
        <v>1634</v>
      </c>
      <c r="B1290" s="1" t="s">
        <v>1630</v>
      </c>
      <c r="C1290" s="1" t="s">
        <v>1680</v>
      </c>
      <c r="D1290" s="1" t="s">
        <v>1681</v>
      </c>
      <c r="E1290" s="92" t="s">
        <v>1911</v>
      </c>
      <c r="F1290" s="92" t="s">
        <v>1912</v>
      </c>
      <c r="H1290" s="1" t="s">
        <v>1684</v>
      </c>
    </row>
    <row r="1291" spans="1:12">
      <c r="A1291" s="1" t="s">
        <v>1634</v>
      </c>
      <c r="B1291" s="1" t="s">
        <v>1630</v>
      </c>
      <c r="C1291" s="1" t="s">
        <v>1680</v>
      </c>
      <c r="D1291" s="1" t="s">
        <v>1685</v>
      </c>
      <c r="E1291" s="1" t="s">
        <v>1526</v>
      </c>
      <c r="F1291" s="1" t="s">
        <v>1526</v>
      </c>
      <c r="H1291" s="1" t="s">
        <v>1684</v>
      </c>
    </row>
    <row r="1292" spans="1:12">
      <c r="A1292" s="1" t="s">
        <v>1634</v>
      </c>
      <c r="B1292" s="1" t="s">
        <v>1630</v>
      </c>
      <c r="C1292" s="1" t="s">
        <v>1686</v>
      </c>
      <c r="D1292" s="1" t="s">
        <v>218</v>
      </c>
      <c r="E1292" s="92" t="s">
        <v>2150</v>
      </c>
      <c r="F1292" s="92" t="s">
        <v>2150</v>
      </c>
      <c r="G1292" s="92" t="s">
        <v>1822</v>
      </c>
      <c r="H1292" s="1" t="s">
        <v>1684</v>
      </c>
      <c r="I1292" s="1" t="s">
        <v>1689</v>
      </c>
      <c r="J1292" s="1" t="s">
        <v>1690</v>
      </c>
      <c r="K1292" s="1" t="s">
        <v>1691</v>
      </c>
      <c r="L1292" s="1" t="s">
        <v>1692</v>
      </c>
    </row>
    <row r="1293" spans="1:12">
      <c r="A1293" s="1" t="s">
        <v>1634</v>
      </c>
      <c r="B1293" s="1" t="s">
        <v>1630</v>
      </c>
      <c r="C1293" s="1" t="s">
        <v>1686</v>
      </c>
      <c r="D1293" s="1" t="s">
        <v>1693</v>
      </c>
      <c r="E1293" s="1" t="s">
        <v>1877</v>
      </c>
      <c r="F1293" s="1" t="s">
        <v>1877</v>
      </c>
      <c r="H1293" s="1" t="s">
        <v>1684</v>
      </c>
      <c r="I1293" s="1" t="s">
        <v>1689</v>
      </c>
      <c r="J1293" s="1" t="s">
        <v>1690</v>
      </c>
      <c r="K1293" s="1" t="s">
        <v>1691</v>
      </c>
      <c r="L1293" s="1" t="s">
        <v>1692</v>
      </c>
    </row>
    <row r="1294" spans="1:12">
      <c r="A1294" s="1" t="s">
        <v>1634</v>
      </c>
      <c r="B1294" s="1" t="s">
        <v>1630</v>
      </c>
      <c r="C1294" s="1" t="s">
        <v>1686</v>
      </c>
      <c r="D1294" s="1" t="s">
        <v>1695</v>
      </c>
      <c r="E1294" s="1" t="s">
        <v>1757</v>
      </c>
      <c r="F1294" s="1" t="s">
        <v>1757</v>
      </c>
      <c r="H1294" s="1" t="s">
        <v>1684</v>
      </c>
      <c r="I1294" s="1" t="s">
        <v>1689</v>
      </c>
      <c r="J1294" s="1" t="s">
        <v>1690</v>
      </c>
      <c r="K1294" s="1" t="s">
        <v>1691</v>
      </c>
      <c r="L1294" s="1" t="s">
        <v>1692</v>
      </c>
    </row>
    <row r="1295" spans="1:12">
      <c r="A1295" s="1" t="s">
        <v>1634</v>
      </c>
      <c r="B1295" s="1" t="s">
        <v>1630</v>
      </c>
      <c r="C1295" s="1" t="s">
        <v>1686</v>
      </c>
      <c r="D1295" s="1" t="s">
        <v>1697</v>
      </c>
      <c r="E1295" s="1" t="s">
        <v>1698</v>
      </c>
      <c r="F1295" s="1" t="s">
        <v>1698</v>
      </c>
      <c r="H1295" s="1" t="s">
        <v>1684</v>
      </c>
      <c r="I1295" s="1" t="s">
        <v>1689</v>
      </c>
      <c r="J1295" s="1" t="s">
        <v>1690</v>
      </c>
      <c r="K1295" s="1" t="s">
        <v>1691</v>
      </c>
      <c r="L1295" s="1" t="s">
        <v>1692</v>
      </c>
    </row>
    <row r="1296" spans="1:12">
      <c r="A1296" s="1" t="s">
        <v>1634</v>
      </c>
      <c r="B1296" s="1" t="s">
        <v>1630</v>
      </c>
      <c r="C1296" s="1" t="s">
        <v>1686</v>
      </c>
      <c r="D1296" s="1" t="s">
        <v>1699</v>
      </c>
      <c r="E1296" s="92" t="s">
        <v>1914</v>
      </c>
      <c r="F1296" s="92" t="s">
        <v>1915</v>
      </c>
      <c r="H1296" s="1" t="s">
        <v>1684</v>
      </c>
      <c r="I1296" s="1" t="s">
        <v>1689</v>
      </c>
      <c r="J1296" s="1" t="s">
        <v>1690</v>
      </c>
      <c r="K1296" s="1" t="s">
        <v>1691</v>
      </c>
      <c r="L1296" s="1" t="s">
        <v>1692</v>
      </c>
    </row>
    <row r="1297" spans="1:12">
      <c r="A1297" s="1" t="s">
        <v>1634</v>
      </c>
      <c r="B1297" s="1" t="s">
        <v>1630</v>
      </c>
      <c r="C1297" s="1" t="s">
        <v>1686</v>
      </c>
      <c r="D1297" s="1" t="s">
        <v>1702</v>
      </c>
      <c r="E1297" s="92" t="s">
        <v>1916</v>
      </c>
      <c r="F1297" s="92" t="s">
        <v>1917</v>
      </c>
      <c r="H1297" s="1" t="s">
        <v>1684</v>
      </c>
      <c r="I1297" s="1" t="s">
        <v>1689</v>
      </c>
      <c r="J1297" s="1" t="s">
        <v>1690</v>
      </c>
      <c r="K1297" s="1" t="s">
        <v>1691</v>
      </c>
      <c r="L1297" s="1" t="s">
        <v>1692</v>
      </c>
    </row>
    <row r="1298" spans="1:12">
      <c r="A1298" s="1" t="s">
        <v>1634</v>
      </c>
      <c r="B1298" s="1" t="s">
        <v>1630</v>
      </c>
      <c r="C1298" s="1" t="s">
        <v>1686</v>
      </c>
      <c r="D1298" s="1" t="s">
        <v>1705</v>
      </c>
      <c r="E1298" s="92" t="s">
        <v>1918</v>
      </c>
      <c r="F1298" s="92" t="s">
        <v>1919</v>
      </c>
      <c r="H1298" s="1" t="s">
        <v>1684</v>
      </c>
      <c r="I1298" s="1" t="s">
        <v>1689</v>
      </c>
      <c r="J1298" s="1" t="s">
        <v>1690</v>
      </c>
      <c r="K1298" s="1" t="s">
        <v>1691</v>
      </c>
      <c r="L1298" s="1" t="s">
        <v>1692</v>
      </c>
    </row>
    <row r="1299" spans="1:12">
      <c r="A1299" s="1" t="s">
        <v>1634</v>
      </c>
      <c r="B1299" s="1" t="s">
        <v>1630</v>
      </c>
      <c r="C1299" s="1" t="s">
        <v>1686</v>
      </c>
      <c r="D1299" s="1" t="s">
        <v>1787</v>
      </c>
      <c r="E1299" s="92" t="s">
        <v>2151</v>
      </c>
      <c r="F1299" s="92" t="s">
        <v>2150</v>
      </c>
      <c r="G1299" s="92" t="s">
        <v>2152</v>
      </c>
      <c r="H1299" s="1" t="s">
        <v>1534</v>
      </c>
      <c r="I1299" s="1" t="s">
        <v>1689</v>
      </c>
      <c r="J1299" s="1" t="s">
        <v>1690</v>
      </c>
      <c r="K1299" s="1" t="s">
        <v>1691</v>
      </c>
      <c r="L1299" s="1" t="s">
        <v>1692</v>
      </c>
    </row>
    <row r="1300" spans="1:12">
      <c r="A1300" s="1" t="s">
        <v>1634</v>
      </c>
      <c r="B1300" s="1" t="s">
        <v>1630</v>
      </c>
      <c r="C1300" s="1" t="s">
        <v>1394</v>
      </c>
      <c r="D1300" s="1" t="s">
        <v>1708</v>
      </c>
      <c r="E1300" s="1" t="s">
        <v>1709</v>
      </c>
      <c r="F1300" s="1" t="s">
        <v>1709</v>
      </c>
      <c r="H1300" s="1" t="s">
        <v>1684</v>
      </c>
      <c r="I1300" s="1" t="s">
        <v>973</v>
      </c>
      <c r="J1300" s="1" t="s">
        <v>1710</v>
      </c>
      <c r="K1300" s="1" t="s">
        <v>1691</v>
      </c>
      <c r="L1300" s="1" t="s">
        <v>1692</v>
      </c>
    </row>
    <row r="1301" spans="1:12">
      <c r="A1301" s="1" t="s">
        <v>1634</v>
      </c>
      <c r="B1301" s="1" t="s">
        <v>1630</v>
      </c>
      <c r="C1301" s="1" t="s">
        <v>1711</v>
      </c>
      <c r="D1301" s="1" t="s">
        <v>218</v>
      </c>
      <c r="E1301" s="92" t="s">
        <v>2153</v>
      </c>
      <c r="F1301" s="92" t="s">
        <v>2153</v>
      </c>
      <c r="G1301" s="92" t="s">
        <v>1713</v>
      </c>
      <c r="H1301" s="1" t="s">
        <v>1684</v>
      </c>
      <c r="I1301" s="1" t="s">
        <v>1689</v>
      </c>
      <c r="J1301" s="1" t="s">
        <v>1714</v>
      </c>
      <c r="K1301" s="1" t="s">
        <v>1715</v>
      </c>
      <c r="L1301" s="1" t="s">
        <v>1716</v>
      </c>
    </row>
    <row r="1302" spans="1:12">
      <c r="A1302" s="1" t="s">
        <v>1634</v>
      </c>
      <c r="B1302" s="1" t="s">
        <v>1630</v>
      </c>
      <c r="C1302" s="1" t="s">
        <v>1711</v>
      </c>
      <c r="D1302" s="1" t="s">
        <v>1693</v>
      </c>
      <c r="E1302" s="1" t="s">
        <v>1694</v>
      </c>
      <c r="F1302" s="1" t="s">
        <v>1694</v>
      </c>
      <c r="H1302" s="1" t="s">
        <v>1684</v>
      </c>
      <c r="I1302" s="1" t="s">
        <v>1689</v>
      </c>
      <c r="J1302" s="1" t="s">
        <v>1714</v>
      </c>
      <c r="K1302" s="1" t="s">
        <v>1715</v>
      </c>
      <c r="L1302" s="1" t="s">
        <v>1716</v>
      </c>
    </row>
    <row r="1303" spans="1:12">
      <c r="A1303" s="1" t="s">
        <v>1634</v>
      </c>
      <c r="B1303" s="1" t="s">
        <v>1630</v>
      </c>
      <c r="C1303" s="1" t="s">
        <v>1711</v>
      </c>
      <c r="D1303" s="1" t="s">
        <v>1695</v>
      </c>
      <c r="E1303" s="1" t="s">
        <v>1694</v>
      </c>
      <c r="F1303" s="1" t="s">
        <v>1694</v>
      </c>
      <c r="H1303" s="1" t="s">
        <v>1684</v>
      </c>
      <c r="I1303" s="1" t="s">
        <v>1689</v>
      </c>
      <c r="J1303" s="1" t="s">
        <v>1714</v>
      </c>
      <c r="K1303" s="1" t="s">
        <v>1715</v>
      </c>
      <c r="L1303" s="1" t="s">
        <v>1716</v>
      </c>
    </row>
    <row r="1304" spans="1:12">
      <c r="A1304" s="1" t="s">
        <v>1634</v>
      </c>
      <c r="B1304" s="1" t="s">
        <v>1630</v>
      </c>
      <c r="C1304" s="1" t="s">
        <v>1711</v>
      </c>
      <c r="D1304" s="1" t="s">
        <v>1697</v>
      </c>
      <c r="E1304" s="1" t="s">
        <v>1698</v>
      </c>
      <c r="F1304" s="1" t="s">
        <v>1698</v>
      </c>
      <c r="H1304" s="1" t="s">
        <v>1684</v>
      </c>
      <c r="I1304" s="1" t="s">
        <v>1689</v>
      </c>
      <c r="J1304" s="1" t="s">
        <v>1714</v>
      </c>
      <c r="K1304" s="1" t="s">
        <v>1715</v>
      </c>
      <c r="L1304" s="1" t="s">
        <v>1716</v>
      </c>
    </row>
    <row r="1305" spans="1:12">
      <c r="A1305" s="1" t="s">
        <v>1634</v>
      </c>
      <c r="B1305" s="1" t="s">
        <v>1630</v>
      </c>
      <c r="C1305" s="1" t="s">
        <v>1711</v>
      </c>
      <c r="D1305" s="1" t="s">
        <v>1699</v>
      </c>
      <c r="E1305" s="92" t="s">
        <v>1717</v>
      </c>
      <c r="F1305" s="92" t="s">
        <v>1718</v>
      </c>
      <c r="H1305" s="1" t="s">
        <v>1684</v>
      </c>
      <c r="I1305" s="1" t="s">
        <v>1689</v>
      </c>
      <c r="J1305" s="1" t="s">
        <v>1714</v>
      </c>
      <c r="K1305" s="1" t="s">
        <v>1715</v>
      </c>
      <c r="L1305" s="1" t="s">
        <v>1716</v>
      </c>
    </row>
    <row r="1306" spans="1:12">
      <c r="A1306" s="1" t="s">
        <v>1634</v>
      </c>
      <c r="B1306" s="1" t="s">
        <v>1630</v>
      </c>
      <c r="C1306" s="1" t="s">
        <v>1711</v>
      </c>
      <c r="D1306" s="1" t="s">
        <v>1702</v>
      </c>
      <c r="E1306" s="92" t="s">
        <v>2154</v>
      </c>
      <c r="F1306" s="92" t="s">
        <v>2155</v>
      </c>
      <c r="H1306" s="1" t="s">
        <v>1684</v>
      </c>
      <c r="I1306" s="1" t="s">
        <v>1689</v>
      </c>
      <c r="J1306" s="1" t="s">
        <v>1714</v>
      </c>
      <c r="K1306" s="1" t="s">
        <v>1715</v>
      </c>
      <c r="L1306" s="1" t="s">
        <v>1716</v>
      </c>
    </row>
    <row r="1307" spans="1:12">
      <c r="A1307" s="1" t="s">
        <v>1634</v>
      </c>
      <c r="B1307" s="1" t="s">
        <v>1630</v>
      </c>
      <c r="C1307" s="1" t="s">
        <v>1711</v>
      </c>
      <c r="D1307" s="1" t="s">
        <v>1705</v>
      </c>
      <c r="E1307" s="92" t="s">
        <v>2156</v>
      </c>
      <c r="F1307" s="92" t="s">
        <v>1750</v>
      </c>
      <c r="H1307" s="1" t="s">
        <v>1684</v>
      </c>
      <c r="I1307" s="1" t="s">
        <v>1689</v>
      </c>
      <c r="J1307" s="1" t="s">
        <v>1714</v>
      </c>
      <c r="K1307" s="1" t="s">
        <v>1715</v>
      </c>
      <c r="L1307" s="1" t="s">
        <v>1716</v>
      </c>
    </row>
    <row r="1308" spans="1:12">
      <c r="A1308" s="1" t="s">
        <v>1634</v>
      </c>
      <c r="B1308" s="1" t="s">
        <v>1630</v>
      </c>
      <c r="C1308" s="1" t="s">
        <v>1723</v>
      </c>
      <c r="D1308" s="1" t="s">
        <v>218</v>
      </c>
      <c r="E1308" s="92" t="s">
        <v>2157</v>
      </c>
      <c r="F1308" s="92" t="s">
        <v>2157</v>
      </c>
      <c r="G1308" s="92" t="s">
        <v>1755</v>
      </c>
      <c r="H1308" s="1" t="s">
        <v>1684</v>
      </c>
      <c r="I1308" s="1" t="s">
        <v>973</v>
      </c>
      <c r="J1308" s="1" t="s">
        <v>1726</v>
      </c>
      <c r="K1308" s="1" t="s">
        <v>1727</v>
      </c>
      <c r="L1308" s="1" t="s">
        <v>1728</v>
      </c>
    </row>
    <row r="1309" spans="1:12">
      <c r="A1309" s="1" t="s">
        <v>1634</v>
      </c>
      <c r="B1309" s="1" t="s">
        <v>1630</v>
      </c>
      <c r="C1309" s="1" t="s">
        <v>1723</v>
      </c>
      <c r="D1309" s="1" t="s">
        <v>1693</v>
      </c>
      <c r="E1309" s="1" t="s">
        <v>2142</v>
      </c>
      <c r="F1309" s="1" t="s">
        <v>2142</v>
      </c>
      <c r="H1309" s="1" t="s">
        <v>1684</v>
      </c>
      <c r="I1309" s="1" t="s">
        <v>973</v>
      </c>
      <c r="J1309" s="1" t="s">
        <v>1726</v>
      </c>
      <c r="K1309" s="1" t="s">
        <v>1727</v>
      </c>
      <c r="L1309" s="1" t="s">
        <v>1728</v>
      </c>
    </row>
    <row r="1310" spans="1:12">
      <c r="A1310" s="1" t="s">
        <v>1634</v>
      </c>
      <c r="B1310" s="1" t="s">
        <v>1630</v>
      </c>
      <c r="C1310" s="1" t="s">
        <v>1723</v>
      </c>
      <c r="D1310" s="1" t="s">
        <v>1695</v>
      </c>
      <c r="E1310" s="1" t="s">
        <v>1993</v>
      </c>
      <c r="F1310" s="1" t="s">
        <v>1993</v>
      </c>
      <c r="H1310" s="1" t="s">
        <v>1684</v>
      </c>
      <c r="I1310" s="1" t="s">
        <v>973</v>
      </c>
      <c r="J1310" s="1" t="s">
        <v>1726</v>
      </c>
      <c r="K1310" s="1" t="s">
        <v>1727</v>
      </c>
      <c r="L1310" s="1" t="s">
        <v>1728</v>
      </c>
    </row>
    <row r="1311" spans="1:12">
      <c r="A1311" s="1" t="s">
        <v>1634</v>
      </c>
      <c r="B1311" s="1" t="s">
        <v>1630</v>
      </c>
      <c r="C1311" s="1" t="s">
        <v>1723</v>
      </c>
      <c r="D1311" s="1" t="s">
        <v>1697</v>
      </c>
      <c r="E1311" s="1" t="s">
        <v>1698</v>
      </c>
      <c r="F1311" s="1" t="s">
        <v>1698</v>
      </c>
      <c r="H1311" s="1" t="s">
        <v>1684</v>
      </c>
      <c r="I1311" s="1" t="s">
        <v>973</v>
      </c>
      <c r="J1311" s="1" t="s">
        <v>1726</v>
      </c>
      <c r="K1311" s="1" t="s">
        <v>1727</v>
      </c>
      <c r="L1311" s="1" t="s">
        <v>1728</v>
      </c>
    </row>
    <row r="1312" spans="1:12">
      <c r="A1312" s="1" t="s">
        <v>1634</v>
      </c>
      <c r="B1312" s="1" t="s">
        <v>1630</v>
      </c>
      <c r="C1312" s="1" t="s">
        <v>1729</v>
      </c>
      <c r="D1312" s="1" t="s">
        <v>1708</v>
      </c>
      <c r="E1312" s="1" t="s">
        <v>1730</v>
      </c>
      <c r="F1312" s="1" t="s">
        <v>1730</v>
      </c>
      <c r="H1312" s="1" t="s">
        <v>1684</v>
      </c>
      <c r="I1312" s="1" t="s">
        <v>1731</v>
      </c>
      <c r="J1312" s="1" t="s">
        <v>1732</v>
      </c>
      <c r="K1312" s="1" t="s">
        <v>1733</v>
      </c>
      <c r="L1312" s="1" t="s">
        <v>1734</v>
      </c>
    </row>
    <row r="1313" spans="1:12">
      <c r="A1313" s="1" t="s">
        <v>1635</v>
      </c>
      <c r="B1313" s="1" t="s">
        <v>1630</v>
      </c>
      <c r="C1313" s="1" t="s">
        <v>1680</v>
      </c>
      <c r="D1313" s="1" t="s">
        <v>1681</v>
      </c>
      <c r="E1313" s="92" t="s">
        <v>1911</v>
      </c>
      <c r="F1313" s="92" t="s">
        <v>1912</v>
      </c>
      <c r="H1313" s="1" t="s">
        <v>1684</v>
      </c>
    </row>
    <row r="1314" spans="1:12">
      <c r="A1314" s="1" t="s">
        <v>1635</v>
      </c>
      <c r="B1314" s="1" t="s">
        <v>1630</v>
      </c>
      <c r="C1314" s="1" t="s">
        <v>1680</v>
      </c>
      <c r="D1314" s="1" t="s">
        <v>1685</v>
      </c>
      <c r="E1314" s="1" t="s">
        <v>1526</v>
      </c>
      <c r="F1314" s="1" t="s">
        <v>1526</v>
      </c>
      <c r="H1314" s="1" t="s">
        <v>1684</v>
      </c>
    </row>
    <row r="1315" spans="1:12">
      <c r="A1315" s="1" t="s">
        <v>1635</v>
      </c>
      <c r="B1315" s="1" t="s">
        <v>1630</v>
      </c>
      <c r="C1315" s="1" t="s">
        <v>1686</v>
      </c>
      <c r="D1315" s="1" t="s">
        <v>218</v>
      </c>
      <c r="E1315" s="92" t="s">
        <v>2158</v>
      </c>
      <c r="F1315" s="92" t="s">
        <v>2158</v>
      </c>
      <c r="G1315" s="92" t="s">
        <v>1713</v>
      </c>
      <c r="H1315" s="1" t="s">
        <v>1684</v>
      </c>
      <c r="I1315" s="1" t="s">
        <v>1689</v>
      </c>
      <c r="J1315" s="1" t="s">
        <v>1690</v>
      </c>
      <c r="K1315" s="1" t="s">
        <v>1691</v>
      </c>
      <c r="L1315" s="1" t="s">
        <v>1692</v>
      </c>
    </row>
    <row r="1316" spans="1:12">
      <c r="A1316" s="1" t="s">
        <v>1635</v>
      </c>
      <c r="B1316" s="1" t="s">
        <v>1630</v>
      </c>
      <c r="C1316" s="1" t="s">
        <v>1686</v>
      </c>
      <c r="D1316" s="1" t="s">
        <v>1693</v>
      </c>
      <c r="E1316" s="1" t="s">
        <v>1694</v>
      </c>
      <c r="F1316" s="1" t="s">
        <v>1694</v>
      </c>
      <c r="H1316" s="1" t="s">
        <v>1684</v>
      </c>
      <c r="I1316" s="1" t="s">
        <v>1689</v>
      </c>
      <c r="J1316" s="1" t="s">
        <v>1690</v>
      </c>
      <c r="K1316" s="1" t="s">
        <v>1691</v>
      </c>
      <c r="L1316" s="1" t="s">
        <v>1692</v>
      </c>
    </row>
    <row r="1317" spans="1:12">
      <c r="A1317" s="1" t="s">
        <v>1635</v>
      </c>
      <c r="B1317" s="1" t="s">
        <v>1630</v>
      </c>
      <c r="C1317" s="1" t="s">
        <v>1686</v>
      </c>
      <c r="D1317" s="1" t="s">
        <v>1695</v>
      </c>
      <c r="E1317" s="1" t="s">
        <v>1696</v>
      </c>
      <c r="F1317" s="1" t="s">
        <v>1696</v>
      </c>
      <c r="H1317" s="1" t="s">
        <v>1684</v>
      </c>
      <c r="I1317" s="1" t="s">
        <v>1689</v>
      </c>
      <c r="J1317" s="1" t="s">
        <v>1690</v>
      </c>
      <c r="K1317" s="1" t="s">
        <v>1691</v>
      </c>
      <c r="L1317" s="1" t="s">
        <v>1692</v>
      </c>
    </row>
    <row r="1318" spans="1:12">
      <c r="A1318" s="1" t="s">
        <v>1635</v>
      </c>
      <c r="B1318" s="1" t="s">
        <v>1630</v>
      </c>
      <c r="C1318" s="1" t="s">
        <v>1686</v>
      </c>
      <c r="D1318" s="1" t="s">
        <v>1697</v>
      </c>
      <c r="E1318" s="1" t="s">
        <v>1698</v>
      </c>
      <c r="F1318" s="1" t="s">
        <v>1698</v>
      </c>
      <c r="H1318" s="1" t="s">
        <v>1684</v>
      </c>
      <c r="I1318" s="1" t="s">
        <v>1689</v>
      </c>
      <c r="J1318" s="1" t="s">
        <v>1690</v>
      </c>
      <c r="K1318" s="1" t="s">
        <v>1691</v>
      </c>
      <c r="L1318" s="1" t="s">
        <v>1692</v>
      </c>
    </row>
    <row r="1319" spans="1:12">
      <c r="A1319" s="1" t="s">
        <v>1635</v>
      </c>
      <c r="B1319" s="1" t="s">
        <v>1630</v>
      </c>
      <c r="C1319" s="1" t="s">
        <v>1686</v>
      </c>
      <c r="D1319" s="1" t="s">
        <v>1699</v>
      </c>
      <c r="E1319" s="92" t="s">
        <v>1950</v>
      </c>
      <c r="F1319" s="92" t="s">
        <v>1951</v>
      </c>
      <c r="H1319" s="1" t="s">
        <v>1684</v>
      </c>
      <c r="I1319" s="1" t="s">
        <v>1689</v>
      </c>
      <c r="J1319" s="1" t="s">
        <v>1690</v>
      </c>
      <c r="K1319" s="1" t="s">
        <v>1691</v>
      </c>
      <c r="L1319" s="1" t="s">
        <v>1692</v>
      </c>
    </row>
    <row r="1320" spans="1:12">
      <c r="A1320" s="1" t="s">
        <v>1635</v>
      </c>
      <c r="B1320" s="1" t="s">
        <v>1630</v>
      </c>
      <c r="C1320" s="1" t="s">
        <v>1686</v>
      </c>
      <c r="D1320" s="1" t="s">
        <v>1702</v>
      </c>
      <c r="E1320" s="92" t="s">
        <v>1952</v>
      </c>
      <c r="F1320" s="92" t="s">
        <v>1953</v>
      </c>
      <c r="H1320" s="1" t="s">
        <v>1684</v>
      </c>
      <c r="I1320" s="1" t="s">
        <v>1689</v>
      </c>
      <c r="J1320" s="1" t="s">
        <v>1690</v>
      </c>
      <c r="K1320" s="1" t="s">
        <v>1691</v>
      </c>
      <c r="L1320" s="1" t="s">
        <v>1692</v>
      </c>
    </row>
    <row r="1321" spans="1:12">
      <c r="A1321" s="1" t="s">
        <v>1635</v>
      </c>
      <c r="B1321" s="1" t="s">
        <v>1630</v>
      </c>
      <c r="C1321" s="1" t="s">
        <v>1686</v>
      </c>
      <c r="D1321" s="1" t="s">
        <v>1705</v>
      </c>
      <c r="E1321" s="92" t="s">
        <v>1954</v>
      </c>
      <c r="F1321" s="92" t="s">
        <v>1740</v>
      </c>
      <c r="H1321" s="1" t="s">
        <v>1684</v>
      </c>
      <c r="I1321" s="1" t="s">
        <v>1689</v>
      </c>
      <c r="J1321" s="1" t="s">
        <v>1690</v>
      </c>
      <c r="K1321" s="1" t="s">
        <v>1691</v>
      </c>
      <c r="L1321" s="1" t="s">
        <v>1692</v>
      </c>
    </row>
    <row r="1322" spans="1:12">
      <c r="A1322" s="1" t="s">
        <v>1635</v>
      </c>
      <c r="B1322" s="1" t="s">
        <v>1630</v>
      </c>
      <c r="C1322" s="1" t="s">
        <v>1686</v>
      </c>
      <c r="D1322" s="1" t="s">
        <v>1787</v>
      </c>
      <c r="E1322" s="92" t="s">
        <v>2159</v>
      </c>
      <c r="F1322" s="92" t="s">
        <v>2158</v>
      </c>
      <c r="G1322" s="92" t="s">
        <v>2160</v>
      </c>
      <c r="H1322" s="1" t="s">
        <v>1534</v>
      </c>
      <c r="I1322" s="1" t="s">
        <v>1689</v>
      </c>
      <c r="J1322" s="1" t="s">
        <v>1690</v>
      </c>
      <c r="K1322" s="1" t="s">
        <v>1691</v>
      </c>
      <c r="L1322" s="1" t="s">
        <v>1692</v>
      </c>
    </row>
    <row r="1323" spans="1:12">
      <c r="A1323" s="1" t="s">
        <v>1635</v>
      </c>
      <c r="B1323" s="1" t="s">
        <v>1630</v>
      </c>
      <c r="C1323" s="1" t="s">
        <v>1394</v>
      </c>
      <c r="D1323" s="1" t="s">
        <v>1708</v>
      </c>
      <c r="E1323" s="1" t="s">
        <v>1709</v>
      </c>
      <c r="F1323" s="1" t="s">
        <v>1709</v>
      </c>
      <c r="H1323" s="1" t="s">
        <v>1684</v>
      </c>
      <c r="I1323" s="1" t="s">
        <v>973</v>
      </c>
      <c r="J1323" s="1" t="s">
        <v>1710</v>
      </c>
      <c r="K1323" s="1" t="s">
        <v>1691</v>
      </c>
      <c r="L1323" s="1" t="s">
        <v>1692</v>
      </c>
    </row>
    <row r="1324" spans="1:12">
      <c r="A1324" s="1" t="s">
        <v>1635</v>
      </c>
      <c r="B1324" s="1" t="s">
        <v>1630</v>
      </c>
      <c r="C1324" s="1" t="s">
        <v>1711</v>
      </c>
      <c r="D1324" s="1" t="s">
        <v>218</v>
      </c>
      <c r="E1324" s="92" t="s">
        <v>1891</v>
      </c>
      <c r="F1324" s="92" t="s">
        <v>1891</v>
      </c>
      <c r="G1324" s="92" t="s">
        <v>1791</v>
      </c>
      <c r="H1324" s="1" t="s">
        <v>1684</v>
      </c>
      <c r="I1324" s="1" t="s">
        <v>1689</v>
      </c>
      <c r="J1324" s="1" t="s">
        <v>1714</v>
      </c>
      <c r="K1324" s="1" t="s">
        <v>1715</v>
      </c>
      <c r="L1324" s="1" t="s">
        <v>1716</v>
      </c>
    </row>
    <row r="1325" spans="1:12">
      <c r="A1325" s="1" t="s">
        <v>1635</v>
      </c>
      <c r="B1325" s="1" t="s">
        <v>1630</v>
      </c>
      <c r="C1325" s="1" t="s">
        <v>1711</v>
      </c>
      <c r="D1325" s="1" t="s">
        <v>1693</v>
      </c>
      <c r="E1325" s="1" t="s">
        <v>1694</v>
      </c>
      <c r="F1325" s="1" t="s">
        <v>1694</v>
      </c>
      <c r="H1325" s="1" t="s">
        <v>1684</v>
      </c>
      <c r="I1325" s="1" t="s">
        <v>1689</v>
      </c>
      <c r="J1325" s="1" t="s">
        <v>1714</v>
      </c>
      <c r="K1325" s="1" t="s">
        <v>1715</v>
      </c>
      <c r="L1325" s="1" t="s">
        <v>1716</v>
      </c>
    </row>
    <row r="1326" spans="1:12">
      <c r="A1326" s="1" t="s">
        <v>1635</v>
      </c>
      <c r="B1326" s="1" t="s">
        <v>1630</v>
      </c>
      <c r="C1326" s="1" t="s">
        <v>1711</v>
      </c>
      <c r="D1326" s="1" t="s">
        <v>1695</v>
      </c>
      <c r="E1326" s="1" t="s">
        <v>1694</v>
      </c>
      <c r="F1326" s="1" t="s">
        <v>1694</v>
      </c>
      <c r="H1326" s="1" t="s">
        <v>1684</v>
      </c>
      <c r="I1326" s="1" t="s">
        <v>1689</v>
      </c>
      <c r="J1326" s="1" t="s">
        <v>1714</v>
      </c>
      <c r="K1326" s="1" t="s">
        <v>1715</v>
      </c>
      <c r="L1326" s="1" t="s">
        <v>1716</v>
      </c>
    </row>
    <row r="1327" spans="1:12">
      <c r="A1327" s="1" t="s">
        <v>1635</v>
      </c>
      <c r="B1327" s="1" t="s">
        <v>1630</v>
      </c>
      <c r="C1327" s="1" t="s">
        <v>1711</v>
      </c>
      <c r="D1327" s="1" t="s">
        <v>1697</v>
      </c>
      <c r="E1327" s="1" t="s">
        <v>1698</v>
      </c>
      <c r="F1327" s="1" t="s">
        <v>1698</v>
      </c>
      <c r="H1327" s="1" t="s">
        <v>1684</v>
      </c>
      <c r="I1327" s="1" t="s">
        <v>1689</v>
      </c>
      <c r="J1327" s="1" t="s">
        <v>1714</v>
      </c>
      <c r="K1327" s="1" t="s">
        <v>1715</v>
      </c>
      <c r="L1327" s="1" t="s">
        <v>1716</v>
      </c>
    </row>
    <row r="1328" spans="1:12">
      <c r="A1328" s="1" t="s">
        <v>1635</v>
      </c>
      <c r="B1328" s="1" t="s">
        <v>1630</v>
      </c>
      <c r="C1328" s="1" t="s">
        <v>1711</v>
      </c>
      <c r="D1328" s="1" t="s">
        <v>1699</v>
      </c>
      <c r="E1328" s="92" t="s">
        <v>1832</v>
      </c>
      <c r="F1328" s="92" t="s">
        <v>1833</v>
      </c>
      <c r="H1328" s="1" t="s">
        <v>1684</v>
      </c>
      <c r="I1328" s="1" t="s">
        <v>1689</v>
      </c>
      <c r="J1328" s="1" t="s">
        <v>1714</v>
      </c>
      <c r="K1328" s="1" t="s">
        <v>1715</v>
      </c>
      <c r="L1328" s="1" t="s">
        <v>1716</v>
      </c>
    </row>
    <row r="1329" spans="1:12">
      <c r="A1329" s="1" t="s">
        <v>1635</v>
      </c>
      <c r="B1329" s="1" t="s">
        <v>1630</v>
      </c>
      <c r="C1329" s="1" t="s">
        <v>1711</v>
      </c>
      <c r="D1329" s="1" t="s">
        <v>1702</v>
      </c>
      <c r="E1329" s="92" t="s">
        <v>2161</v>
      </c>
      <c r="F1329" s="92" t="s">
        <v>2162</v>
      </c>
      <c r="H1329" s="1" t="s">
        <v>1684</v>
      </c>
      <c r="I1329" s="1" t="s">
        <v>1689</v>
      </c>
      <c r="J1329" s="1" t="s">
        <v>1714</v>
      </c>
      <c r="K1329" s="1" t="s">
        <v>1715</v>
      </c>
      <c r="L1329" s="1" t="s">
        <v>1716</v>
      </c>
    </row>
    <row r="1330" spans="1:12">
      <c r="A1330" s="1" t="s">
        <v>1635</v>
      </c>
      <c r="B1330" s="1" t="s">
        <v>1630</v>
      </c>
      <c r="C1330" s="1" t="s">
        <v>1711</v>
      </c>
      <c r="D1330" s="1" t="s">
        <v>1705</v>
      </c>
      <c r="E1330" s="92" t="s">
        <v>2163</v>
      </c>
      <c r="F1330" s="92" t="s">
        <v>2164</v>
      </c>
      <c r="H1330" s="1" t="s">
        <v>1684</v>
      </c>
      <c r="I1330" s="1" t="s">
        <v>1689</v>
      </c>
      <c r="J1330" s="1" t="s">
        <v>1714</v>
      </c>
      <c r="K1330" s="1" t="s">
        <v>1715</v>
      </c>
      <c r="L1330" s="1" t="s">
        <v>1716</v>
      </c>
    </row>
    <row r="1331" spans="1:12">
      <c r="A1331" s="1" t="s">
        <v>1635</v>
      </c>
      <c r="B1331" s="1" t="s">
        <v>1630</v>
      </c>
      <c r="C1331" s="1" t="s">
        <v>1723</v>
      </c>
      <c r="D1331" s="1" t="s">
        <v>218</v>
      </c>
      <c r="E1331" s="92" t="s">
        <v>2165</v>
      </c>
      <c r="F1331" s="92" t="s">
        <v>2165</v>
      </c>
      <c r="G1331" s="92" t="s">
        <v>1725</v>
      </c>
      <c r="H1331" s="1" t="s">
        <v>1684</v>
      </c>
      <c r="I1331" s="1" t="s">
        <v>973</v>
      </c>
      <c r="J1331" s="1" t="s">
        <v>1726</v>
      </c>
      <c r="K1331" s="1" t="s">
        <v>1727</v>
      </c>
      <c r="L1331" s="1" t="s">
        <v>1728</v>
      </c>
    </row>
    <row r="1332" spans="1:12">
      <c r="A1332" s="1" t="s">
        <v>1635</v>
      </c>
      <c r="B1332" s="1" t="s">
        <v>1630</v>
      </c>
      <c r="C1332" s="1" t="s">
        <v>1723</v>
      </c>
      <c r="D1332" s="1" t="s">
        <v>1693</v>
      </c>
      <c r="E1332" s="1" t="s">
        <v>1982</v>
      </c>
      <c r="F1332" s="1" t="s">
        <v>1982</v>
      </c>
      <c r="H1332" s="1" t="s">
        <v>1684</v>
      </c>
      <c r="I1332" s="1" t="s">
        <v>973</v>
      </c>
      <c r="J1332" s="1" t="s">
        <v>1726</v>
      </c>
      <c r="K1332" s="1" t="s">
        <v>1727</v>
      </c>
      <c r="L1332" s="1" t="s">
        <v>1728</v>
      </c>
    </row>
    <row r="1333" spans="1:12">
      <c r="A1333" s="1" t="s">
        <v>1635</v>
      </c>
      <c r="B1333" s="1" t="s">
        <v>1630</v>
      </c>
      <c r="C1333" s="1" t="s">
        <v>1723</v>
      </c>
      <c r="D1333" s="1" t="s">
        <v>1695</v>
      </c>
      <c r="E1333" s="1" t="s">
        <v>1982</v>
      </c>
      <c r="F1333" s="1" t="s">
        <v>1982</v>
      </c>
      <c r="H1333" s="1" t="s">
        <v>1684</v>
      </c>
      <c r="I1333" s="1" t="s">
        <v>973</v>
      </c>
      <c r="J1333" s="1" t="s">
        <v>1726</v>
      </c>
      <c r="K1333" s="1" t="s">
        <v>1727</v>
      </c>
      <c r="L1333" s="1" t="s">
        <v>1728</v>
      </c>
    </row>
    <row r="1334" spans="1:12">
      <c r="A1334" s="1" t="s">
        <v>1635</v>
      </c>
      <c r="B1334" s="1" t="s">
        <v>1630</v>
      </c>
      <c r="C1334" s="1" t="s">
        <v>1723</v>
      </c>
      <c r="D1334" s="1" t="s">
        <v>1697</v>
      </c>
      <c r="E1334" s="1" t="s">
        <v>1698</v>
      </c>
      <c r="F1334" s="1" t="s">
        <v>1698</v>
      </c>
      <c r="H1334" s="1" t="s">
        <v>1684</v>
      </c>
      <c r="I1334" s="1" t="s">
        <v>973</v>
      </c>
      <c r="J1334" s="1" t="s">
        <v>1726</v>
      </c>
      <c r="K1334" s="1" t="s">
        <v>1727</v>
      </c>
      <c r="L1334" s="1" t="s">
        <v>1728</v>
      </c>
    </row>
    <row r="1335" spans="1:12">
      <c r="A1335" s="1" t="s">
        <v>1635</v>
      </c>
      <c r="B1335" s="1" t="s">
        <v>1630</v>
      </c>
      <c r="C1335" s="1" t="s">
        <v>1729</v>
      </c>
      <c r="D1335" s="1" t="s">
        <v>1708</v>
      </c>
      <c r="E1335" s="1" t="s">
        <v>1730</v>
      </c>
      <c r="F1335" s="1" t="s">
        <v>1730</v>
      </c>
      <c r="H1335" s="1" t="s">
        <v>1684</v>
      </c>
      <c r="I1335" s="1" t="s">
        <v>1731</v>
      </c>
      <c r="J1335" s="1" t="s">
        <v>1732</v>
      </c>
      <c r="K1335" s="1" t="s">
        <v>1733</v>
      </c>
      <c r="L1335" s="1" t="s">
        <v>1734</v>
      </c>
    </row>
    <row r="1336" spans="1:12">
      <c r="A1336" s="1" t="s">
        <v>1636</v>
      </c>
      <c r="B1336" s="1" t="s">
        <v>1630</v>
      </c>
      <c r="C1336" s="1" t="s">
        <v>1680</v>
      </c>
      <c r="D1336" s="1" t="s">
        <v>1681</v>
      </c>
      <c r="E1336" s="92" t="s">
        <v>1809</v>
      </c>
      <c r="F1336" s="92" t="s">
        <v>1810</v>
      </c>
      <c r="H1336" s="1" t="s">
        <v>1684</v>
      </c>
    </row>
    <row r="1337" spans="1:12">
      <c r="A1337" s="1" t="s">
        <v>1636</v>
      </c>
      <c r="B1337" s="1" t="s">
        <v>1630</v>
      </c>
      <c r="C1337" s="1" t="s">
        <v>1680</v>
      </c>
      <c r="D1337" s="1" t="s">
        <v>1685</v>
      </c>
      <c r="E1337" s="1" t="s">
        <v>1526</v>
      </c>
      <c r="F1337" s="1" t="s">
        <v>1526</v>
      </c>
      <c r="H1337" s="1" t="s">
        <v>1684</v>
      </c>
    </row>
    <row r="1338" spans="1:12">
      <c r="A1338" s="1" t="s">
        <v>1636</v>
      </c>
      <c r="B1338" s="1" t="s">
        <v>1630</v>
      </c>
      <c r="C1338" s="1" t="s">
        <v>1686</v>
      </c>
      <c r="D1338" s="1" t="s">
        <v>218</v>
      </c>
      <c r="E1338" s="92" t="s">
        <v>2166</v>
      </c>
      <c r="F1338" s="92" t="s">
        <v>2166</v>
      </c>
      <c r="G1338" s="92" t="s">
        <v>1688</v>
      </c>
      <c r="H1338" s="1" t="s">
        <v>1684</v>
      </c>
      <c r="I1338" s="1" t="s">
        <v>1689</v>
      </c>
      <c r="J1338" s="1" t="s">
        <v>1690</v>
      </c>
      <c r="K1338" s="1" t="s">
        <v>1691</v>
      </c>
      <c r="L1338" s="1" t="s">
        <v>1692</v>
      </c>
    </row>
    <row r="1339" spans="1:12">
      <c r="A1339" s="1" t="s">
        <v>1636</v>
      </c>
      <c r="B1339" s="1" t="s">
        <v>1630</v>
      </c>
      <c r="C1339" s="1" t="s">
        <v>1686</v>
      </c>
      <c r="D1339" s="1" t="s">
        <v>1693</v>
      </c>
      <c r="E1339" s="1" t="s">
        <v>1694</v>
      </c>
      <c r="F1339" s="1" t="s">
        <v>1694</v>
      </c>
      <c r="H1339" s="1" t="s">
        <v>1684</v>
      </c>
      <c r="I1339" s="1" t="s">
        <v>1689</v>
      </c>
      <c r="J1339" s="1" t="s">
        <v>1690</v>
      </c>
      <c r="K1339" s="1" t="s">
        <v>1691</v>
      </c>
      <c r="L1339" s="1" t="s">
        <v>1692</v>
      </c>
    </row>
    <row r="1340" spans="1:12">
      <c r="A1340" s="1" t="s">
        <v>1636</v>
      </c>
      <c r="B1340" s="1" t="s">
        <v>1630</v>
      </c>
      <c r="C1340" s="1" t="s">
        <v>1686</v>
      </c>
      <c r="D1340" s="1" t="s">
        <v>1695</v>
      </c>
      <c r="E1340" s="1" t="s">
        <v>1696</v>
      </c>
      <c r="F1340" s="1" t="s">
        <v>1696</v>
      </c>
      <c r="H1340" s="1" t="s">
        <v>1684</v>
      </c>
      <c r="I1340" s="1" t="s">
        <v>1689</v>
      </c>
      <c r="J1340" s="1" t="s">
        <v>1690</v>
      </c>
      <c r="K1340" s="1" t="s">
        <v>1691</v>
      </c>
      <c r="L1340" s="1" t="s">
        <v>1692</v>
      </c>
    </row>
    <row r="1341" spans="1:12">
      <c r="A1341" s="1" t="s">
        <v>1636</v>
      </c>
      <c r="B1341" s="1" t="s">
        <v>1630</v>
      </c>
      <c r="C1341" s="1" t="s">
        <v>1686</v>
      </c>
      <c r="D1341" s="1" t="s">
        <v>1697</v>
      </c>
      <c r="E1341" s="1" t="s">
        <v>1698</v>
      </c>
      <c r="F1341" s="1" t="s">
        <v>1698</v>
      </c>
      <c r="H1341" s="1" t="s">
        <v>1684</v>
      </c>
      <c r="I1341" s="1" t="s">
        <v>1689</v>
      </c>
      <c r="J1341" s="1" t="s">
        <v>1690</v>
      </c>
      <c r="K1341" s="1" t="s">
        <v>1691</v>
      </c>
      <c r="L1341" s="1" t="s">
        <v>1692</v>
      </c>
    </row>
    <row r="1342" spans="1:12">
      <c r="A1342" s="1" t="s">
        <v>1636</v>
      </c>
      <c r="B1342" s="1" t="s">
        <v>1630</v>
      </c>
      <c r="C1342" s="1" t="s">
        <v>1686</v>
      </c>
      <c r="D1342" s="1" t="s">
        <v>1699</v>
      </c>
      <c r="E1342" s="92" t="s">
        <v>1812</v>
      </c>
      <c r="F1342" s="92" t="s">
        <v>1813</v>
      </c>
      <c r="H1342" s="1" t="s">
        <v>1684</v>
      </c>
      <c r="I1342" s="1" t="s">
        <v>1689</v>
      </c>
      <c r="J1342" s="1" t="s">
        <v>1690</v>
      </c>
      <c r="K1342" s="1" t="s">
        <v>1691</v>
      </c>
      <c r="L1342" s="1" t="s">
        <v>1692</v>
      </c>
    </row>
    <row r="1343" spans="1:12">
      <c r="A1343" s="1" t="s">
        <v>1636</v>
      </c>
      <c r="B1343" s="1" t="s">
        <v>1630</v>
      </c>
      <c r="C1343" s="1" t="s">
        <v>1686</v>
      </c>
      <c r="D1343" s="1" t="s">
        <v>1702</v>
      </c>
      <c r="E1343" s="92" t="s">
        <v>1814</v>
      </c>
      <c r="F1343" s="92" t="s">
        <v>1815</v>
      </c>
      <c r="H1343" s="1" t="s">
        <v>1684</v>
      </c>
      <c r="I1343" s="1" t="s">
        <v>1689</v>
      </c>
      <c r="J1343" s="1" t="s">
        <v>1690</v>
      </c>
      <c r="K1343" s="1" t="s">
        <v>1691</v>
      </c>
      <c r="L1343" s="1" t="s">
        <v>1692</v>
      </c>
    </row>
    <row r="1344" spans="1:12">
      <c r="A1344" s="1" t="s">
        <v>1636</v>
      </c>
      <c r="B1344" s="1" t="s">
        <v>1630</v>
      </c>
      <c r="C1344" s="1" t="s">
        <v>1686</v>
      </c>
      <c r="D1344" s="1" t="s">
        <v>1705</v>
      </c>
      <c r="E1344" s="92" t="s">
        <v>1816</v>
      </c>
      <c r="F1344" s="92" t="s">
        <v>1817</v>
      </c>
      <c r="H1344" s="1" t="s">
        <v>1684</v>
      </c>
      <c r="I1344" s="1" t="s">
        <v>1689</v>
      </c>
      <c r="J1344" s="1" t="s">
        <v>1690</v>
      </c>
      <c r="K1344" s="1" t="s">
        <v>1691</v>
      </c>
      <c r="L1344" s="1" t="s">
        <v>1692</v>
      </c>
    </row>
    <row r="1345" spans="1:12">
      <c r="A1345" s="1" t="s">
        <v>1636</v>
      </c>
      <c r="B1345" s="1" t="s">
        <v>1630</v>
      </c>
      <c r="C1345" s="1" t="s">
        <v>1394</v>
      </c>
      <c r="D1345" s="1" t="s">
        <v>1708</v>
      </c>
      <c r="E1345" s="1" t="s">
        <v>1709</v>
      </c>
      <c r="F1345" s="1" t="s">
        <v>1709</v>
      </c>
      <c r="H1345" s="1" t="s">
        <v>1684</v>
      </c>
      <c r="I1345" s="1" t="s">
        <v>973</v>
      </c>
      <c r="J1345" s="1" t="s">
        <v>1710</v>
      </c>
      <c r="K1345" s="1" t="s">
        <v>1691</v>
      </c>
      <c r="L1345" s="1" t="s">
        <v>1692</v>
      </c>
    </row>
    <row r="1346" spans="1:12">
      <c r="A1346" s="1" t="s">
        <v>1636</v>
      </c>
      <c r="B1346" s="1" t="s">
        <v>1630</v>
      </c>
      <c r="C1346" s="1" t="s">
        <v>1711</v>
      </c>
      <c r="D1346" s="1" t="s">
        <v>218</v>
      </c>
      <c r="E1346" s="92" t="s">
        <v>2062</v>
      </c>
      <c r="F1346" s="92" t="s">
        <v>2062</v>
      </c>
      <c r="G1346" s="92" t="s">
        <v>1775</v>
      </c>
      <c r="H1346" s="1" t="s">
        <v>1684</v>
      </c>
      <c r="I1346" s="1" t="s">
        <v>1689</v>
      </c>
      <c r="J1346" s="1" t="s">
        <v>1714</v>
      </c>
      <c r="K1346" s="1" t="s">
        <v>1715</v>
      </c>
      <c r="L1346" s="1" t="s">
        <v>1716</v>
      </c>
    </row>
    <row r="1347" spans="1:12">
      <c r="A1347" s="1" t="s">
        <v>1636</v>
      </c>
      <c r="B1347" s="1" t="s">
        <v>1630</v>
      </c>
      <c r="C1347" s="1" t="s">
        <v>1711</v>
      </c>
      <c r="D1347" s="1" t="s">
        <v>1693</v>
      </c>
      <c r="E1347" s="1" t="s">
        <v>1694</v>
      </c>
      <c r="F1347" s="1" t="s">
        <v>1694</v>
      </c>
      <c r="H1347" s="1" t="s">
        <v>1684</v>
      </c>
      <c r="I1347" s="1" t="s">
        <v>1689</v>
      </c>
      <c r="J1347" s="1" t="s">
        <v>1714</v>
      </c>
      <c r="K1347" s="1" t="s">
        <v>1715</v>
      </c>
      <c r="L1347" s="1" t="s">
        <v>1716</v>
      </c>
    </row>
    <row r="1348" spans="1:12">
      <c r="A1348" s="1" t="s">
        <v>1636</v>
      </c>
      <c r="B1348" s="1" t="s">
        <v>1630</v>
      </c>
      <c r="C1348" s="1" t="s">
        <v>1711</v>
      </c>
      <c r="D1348" s="1" t="s">
        <v>1695</v>
      </c>
      <c r="E1348" s="1" t="s">
        <v>1694</v>
      </c>
      <c r="F1348" s="1" t="s">
        <v>1694</v>
      </c>
      <c r="H1348" s="1" t="s">
        <v>1684</v>
      </c>
      <c r="I1348" s="1" t="s">
        <v>1689</v>
      </c>
      <c r="J1348" s="1" t="s">
        <v>1714</v>
      </c>
      <c r="K1348" s="1" t="s">
        <v>1715</v>
      </c>
      <c r="L1348" s="1" t="s">
        <v>1716</v>
      </c>
    </row>
    <row r="1349" spans="1:12">
      <c r="A1349" s="1" t="s">
        <v>1636</v>
      </c>
      <c r="B1349" s="1" t="s">
        <v>1630</v>
      </c>
      <c r="C1349" s="1" t="s">
        <v>1711</v>
      </c>
      <c r="D1349" s="1" t="s">
        <v>1697</v>
      </c>
      <c r="E1349" s="1" t="s">
        <v>1698</v>
      </c>
      <c r="F1349" s="1" t="s">
        <v>1698</v>
      </c>
      <c r="H1349" s="1" t="s">
        <v>1684</v>
      </c>
      <c r="I1349" s="1" t="s">
        <v>1689</v>
      </c>
      <c r="J1349" s="1" t="s">
        <v>1714</v>
      </c>
      <c r="K1349" s="1" t="s">
        <v>1715</v>
      </c>
      <c r="L1349" s="1" t="s">
        <v>1716</v>
      </c>
    </row>
    <row r="1350" spans="1:12">
      <c r="A1350" s="1" t="s">
        <v>1636</v>
      </c>
      <c r="B1350" s="1" t="s">
        <v>1630</v>
      </c>
      <c r="C1350" s="1" t="s">
        <v>1711</v>
      </c>
      <c r="D1350" s="1" t="s">
        <v>1699</v>
      </c>
      <c r="E1350" s="92" t="s">
        <v>1717</v>
      </c>
      <c r="F1350" s="92" t="s">
        <v>1718</v>
      </c>
      <c r="H1350" s="1" t="s">
        <v>1684</v>
      </c>
      <c r="I1350" s="1" t="s">
        <v>1689</v>
      </c>
      <c r="J1350" s="1" t="s">
        <v>1714</v>
      </c>
      <c r="K1350" s="1" t="s">
        <v>1715</v>
      </c>
      <c r="L1350" s="1" t="s">
        <v>1716</v>
      </c>
    </row>
    <row r="1351" spans="1:12">
      <c r="A1351" s="1" t="s">
        <v>1636</v>
      </c>
      <c r="B1351" s="1" t="s">
        <v>1630</v>
      </c>
      <c r="C1351" s="1" t="s">
        <v>1711</v>
      </c>
      <c r="D1351" s="1" t="s">
        <v>1702</v>
      </c>
      <c r="E1351" s="92" t="s">
        <v>1819</v>
      </c>
      <c r="F1351" s="92" t="s">
        <v>1820</v>
      </c>
      <c r="H1351" s="1" t="s">
        <v>1684</v>
      </c>
      <c r="I1351" s="1" t="s">
        <v>1689</v>
      </c>
      <c r="J1351" s="1" t="s">
        <v>1714</v>
      </c>
      <c r="K1351" s="1" t="s">
        <v>1715</v>
      </c>
      <c r="L1351" s="1" t="s">
        <v>1716</v>
      </c>
    </row>
    <row r="1352" spans="1:12">
      <c r="A1352" s="1" t="s">
        <v>1636</v>
      </c>
      <c r="B1352" s="1" t="s">
        <v>1630</v>
      </c>
      <c r="C1352" s="1" t="s">
        <v>1711</v>
      </c>
      <c r="D1352" s="1" t="s">
        <v>1705</v>
      </c>
      <c r="E1352" s="92" t="s">
        <v>1821</v>
      </c>
      <c r="F1352" s="92" t="s">
        <v>1821</v>
      </c>
      <c r="H1352" s="1" t="s">
        <v>1684</v>
      </c>
      <c r="I1352" s="1" t="s">
        <v>1689</v>
      </c>
      <c r="J1352" s="1" t="s">
        <v>1714</v>
      </c>
      <c r="K1352" s="1" t="s">
        <v>1715</v>
      </c>
      <c r="L1352" s="1" t="s">
        <v>1716</v>
      </c>
    </row>
    <row r="1353" spans="1:12">
      <c r="A1353" s="1" t="s">
        <v>1636</v>
      </c>
      <c r="B1353" s="1" t="s">
        <v>1630</v>
      </c>
      <c r="C1353" s="1" t="s">
        <v>1723</v>
      </c>
      <c r="D1353" s="1" t="s">
        <v>218</v>
      </c>
      <c r="E1353" s="92" t="s">
        <v>1822</v>
      </c>
      <c r="F1353" s="92" t="s">
        <v>1822</v>
      </c>
      <c r="G1353" s="92" t="s">
        <v>1822</v>
      </c>
      <c r="H1353" s="1" t="s">
        <v>1684</v>
      </c>
      <c r="I1353" s="1" t="s">
        <v>973</v>
      </c>
      <c r="J1353" s="1" t="s">
        <v>1726</v>
      </c>
      <c r="K1353" s="1" t="s">
        <v>1727</v>
      </c>
      <c r="L1353" s="1" t="s">
        <v>1728</v>
      </c>
    </row>
    <row r="1354" spans="1:12">
      <c r="A1354" s="1" t="s">
        <v>1636</v>
      </c>
      <c r="B1354" s="1" t="s">
        <v>1630</v>
      </c>
      <c r="C1354" s="1" t="s">
        <v>1723</v>
      </c>
      <c r="D1354" s="1" t="s">
        <v>1693</v>
      </c>
      <c r="E1354" s="1" t="s">
        <v>1694</v>
      </c>
      <c r="F1354" s="1" t="s">
        <v>1694</v>
      </c>
      <c r="H1354" s="1" t="s">
        <v>1684</v>
      </c>
      <c r="I1354" s="1" t="s">
        <v>973</v>
      </c>
      <c r="J1354" s="1" t="s">
        <v>1726</v>
      </c>
      <c r="K1354" s="1" t="s">
        <v>1727</v>
      </c>
      <c r="L1354" s="1" t="s">
        <v>1728</v>
      </c>
    </row>
    <row r="1355" spans="1:12">
      <c r="A1355" s="1" t="s">
        <v>1636</v>
      </c>
      <c r="B1355" s="1" t="s">
        <v>1630</v>
      </c>
      <c r="C1355" s="1" t="s">
        <v>1723</v>
      </c>
      <c r="D1355" s="1" t="s">
        <v>1695</v>
      </c>
      <c r="E1355" s="1" t="s">
        <v>1694</v>
      </c>
      <c r="F1355" s="1" t="s">
        <v>1694</v>
      </c>
      <c r="H1355" s="1" t="s">
        <v>1684</v>
      </c>
      <c r="I1355" s="1" t="s">
        <v>973</v>
      </c>
      <c r="J1355" s="1" t="s">
        <v>1726</v>
      </c>
      <c r="K1355" s="1" t="s">
        <v>1727</v>
      </c>
      <c r="L1355" s="1" t="s">
        <v>1728</v>
      </c>
    </row>
    <row r="1356" spans="1:12">
      <c r="A1356" s="1" t="s">
        <v>1636</v>
      </c>
      <c r="B1356" s="1" t="s">
        <v>1630</v>
      </c>
      <c r="C1356" s="1" t="s">
        <v>1723</v>
      </c>
      <c r="D1356" s="1" t="s">
        <v>1697</v>
      </c>
      <c r="E1356" s="1" t="s">
        <v>1698</v>
      </c>
      <c r="F1356" s="1" t="s">
        <v>1698</v>
      </c>
      <c r="H1356" s="1" t="s">
        <v>1684</v>
      </c>
      <c r="I1356" s="1" t="s">
        <v>973</v>
      </c>
      <c r="J1356" s="1" t="s">
        <v>1726</v>
      </c>
      <c r="K1356" s="1" t="s">
        <v>1727</v>
      </c>
      <c r="L1356" s="1" t="s">
        <v>1728</v>
      </c>
    </row>
    <row r="1357" spans="1:12">
      <c r="A1357" s="1" t="s">
        <v>1636</v>
      </c>
      <c r="B1357" s="1" t="s">
        <v>1630</v>
      </c>
      <c r="C1357" s="1" t="s">
        <v>1729</v>
      </c>
      <c r="D1357" s="1" t="s">
        <v>1708</v>
      </c>
      <c r="E1357" s="1" t="s">
        <v>1730</v>
      </c>
      <c r="F1357" s="1" t="s">
        <v>1709</v>
      </c>
      <c r="H1357" s="1" t="s">
        <v>1684</v>
      </c>
      <c r="I1357" s="1" t="s">
        <v>1731</v>
      </c>
      <c r="J1357" s="1" t="s">
        <v>1732</v>
      </c>
      <c r="K1357" s="1" t="s">
        <v>1733</v>
      </c>
      <c r="L1357" s="1" t="s">
        <v>1734</v>
      </c>
    </row>
    <row r="1358" spans="1:12">
      <c r="A1358" s="1" t="s">
        <v>1637</v>
      </c>
      <c r="B1358" s="1" t="s">
        <v>1630</v>
      </c>
      <c r="C1358" s="1" t="s">
        <v>1680</v>
      </c>
      <c r="D1358" s="1" t="s">
        <v>1681</v>
      </c>
      <c r="E1358" s="92" t="s">
        <v>1972</v>
      </c>
      <c r="F1358" s="92" t="s">
        <v>1973</v>
      </c>
      <c r="H1358" s="1" t="s">
        <v>1684</v>
      </c>
    </row>
    <row r="1359" spans="1:12">
      <c r="A1359" s="1" t="s">
        <v>1637</v>
      </c>
      <c r="B1359" s="1" t="s">
        <v>1630</v>
      </c>
      <c r="C1359" s="1" t="s">
        <v>1680</v>
      </c>
      <c r="D1359" s="1" t="s">
        <v>1685</v>
      </c>
      <c r="E1359" s="1" t="s">
        <v>1526</v>
      </c>
      <c r="F1359" s="1" t="s">
        <v>1526</v>
      </c>
      <c r="H1359" s="1" t="s">
        <v>1684</v>
      </c>
    </row>
    <row r="1360" spans="1:12">
      <c r="A1360" s="1" t="s">
        <v>1637</v>
      </c>
      <c r="B1360" s="1" t="s">
        <v>1630</v>
      </c>
      <c r="C1360" s="1" t="s">
        <v>1686</v>
      </c>
      <c r="D1360" s="1" t="s">
        <v>1708</v>
      </c>
      <c r="E1360" s="1" t="s">
        <v>1709</v>
      </c>
      <c r="F1360" s="1" t="s">
        <v>1709</v>
      </c>
      <c r="H1360" s="1" t="s">
        <v>1684</v>
      </c>
      <c r="I1360" s="1" t="s">
        <v>1689</v>
      </c>
      <c r="J1360" s="1" t="s">
        <v>1690</v>
      </c>
      <c r="K1360" s="1" t="s">
        <v>1691</v>
      </c>
      <c r="L1360" s="1" t="s">
        <v>1692</v>
      </c>
    </row>
    <row r="1361" spans="1:12">
      <c r="A1361" s="1" t="s">
        <v>1637</v>
      </c>
      <c r="B1361" s="1" t="s">
        <v>1630</v>
      </c>
      <c r="C1361" s="1" t="s">
        <v>1394</v>
      </c>
      <c r="D1361" s="1" t="s">
        <v>218</v>
      </c>
      <c r="E1361" s="92" t="s">
        <v>1941</v>
      </c>
      <c r="F1361" s="92" t="s">
        <v>1941</v>
      </c>
      <c r="G1361" s="92" t="s">
        <v>1688</v>
      </c>
      <c r="H1361" s="1" t="s">
        <v>1684</v>
      </c>
      <c r="I1361" s="1" t="s">
        <v>973</v>
      </c>
      <c r="J1361" s="1" t="s">
        <v>1710</v>
      </c>
      <c r="K1361" s="1" t="s">
        <v>1691</v>
      </c>
      <c r="L1361" s="1" t="s">
        <v>1692</v>
      </c>
    </row>
    <row r="1362" spans="1:12">
      <c r="A1362" s="1" t="s">
        <v>1637</v>
      </c>
      <c r="B1362" s="1" t="s">
        <v>1630</v>
      </c>
      <c r="C1362" s="1" t="s">
        <v>1394</v>
      </c>
      <c r="D1362" s="1" t="s">
        <v>1693</v>
      </c>
      <c r="E1362" s="1" t="s">
        <v>1694</v>
      </c>
      <c r="F1362" s="1" t="s">
        <v>1694</v>
      </c>
      <c r="H1362" s="1" t="s">
        <v>1684</v>
      </c>
      <c r="I1362" s="1" t="s">
        <v>973</v>
      </c>
      <c r="J1362" s="1" t="s">
        <v>1710</v>
      </c>
      <c r="K1362" s="1" t="s">
        <v>1691</v>
      </c>
      <c r="L1362" s="1" t="s">
        <v>1692</v>
      </c>
    </row>
    <row r="1363" spans="1:12">
      <c r="A1363" s="1" t="s">
        <v>1637</v>
      </c>
      <c r="B1363" s="1" t="s">
        <v>1630</v>
      </c>
      <c r="C1363" s="1" t="s">
        <v>1394</v>
      </c>
      <c r="D1363" s="1" t="s">
        <v>1695</v>
      </c>
      <c r="E1363" s="1" t="s">
        <v>1694</v>
      </c>
      <c r="F1363" s="1" t="s">
        <v>1694</v>
      </c>
      <c r="H1363" s="1" t="s">
        <v>1684</v>
      </c>
      <c r="I1363" s="1" t="s">
        <v>973</v>
      </c>
      <c r="J1363" s="1" t="s">
        <v>1710</v>
      </c>
      <c r="K1363" s="1" t="s">
        <v>1691</v>
      </c>
      <c r="L1363" s="1" t="s">
        <v>1692</v>
      </c>
    </row>
    <row r="1364" spans="1:12">
      <c r="A1364" s="1" t="s">
        <v>1637</v>
      </c>
      <c r="B1364" s="1" t="s">
        <v>1630</v>
      </c>
      <c r="C1364" s="1" t="s">
        <v>1394</v>
      </c>
      <c r="D1364" s="1" t="s">
        <v>1697</v>
      </c>
      <c r="E1364" s="1" t="s">
        <v>1698</v>
      </c>
      <c r="F1364" s="1" t="s">
        <v>1698</v>
      </c>
      <c r="H1364" s="1" t="s">
        <v>1684</v>
      </c>
      <c r="I1364" s="1" t="s">
        <v>973</v>
      </c>
      <c r="J1364" s="1" t="s">
        <v>1710</v>
      </c>
      <c r="K1364" s="1" t="s">
        <v>1691</v>
      </c>
      <c r="L1364" s="1" t="s">
        <v>1692</v>
      </c>
    </row>
    <row r="1365" spans="1:12">
      <c r="A1365" s="1" t="s">
        <v>1637</v>
      </c>
      <c r="B1365" s="1" t="s">
        <v>1630</v>
      </c>
      <c r="C1365" s="1" t="s">
        <v>1394</v>
      </c>
      <c r="D1365" s="1" t="s">
        <v>1699</v>
      </c>
      <c r="E1365" s="92" t="s">
        <v>1975</v>
      </c>
      <c r="F1365" s="92" t="s">
        <v>1976</v>
      </c>
      <c r="H1365" s="1" t="s">
        <v>1684</v>
      </c>
      <c r="I1365" s="1" t="s">
        <v>973</v>
      </c>
      <c r="J1365" s="1" t="s">
        <v>1710</v>
      </c>
      <c r="K1365" s="1" t="s">
        <v>1691</v>
      </c>
      <c r="L1365" s="1" t="s">
        <v>1692</v>
      </c>
    </row>
    <row r="1366" spans="1:12">
      <c r="A1366" s="1" t="s">
        <v>1637</v>
      </c>
      <c r="B1366" s="1" t="s">
        <v>1630</v>
      </c>
      <c r="C1366" s="1" t="s">
        <v>1394</v>
      </c>
      <c r="D1366" s="1" t="s">
        <v>1702</v>
      </c>
      <c r="E1366" s="92" t="s">
        <v>1977</v>
      </c>
      <c r="F1366" s="92" t="s">
        <v>1978</v>
      </c>
      <c r="H1366" s="1" t="s">
        <v>1684</v>
      </c>
      <c r="I1366" s="1" t="s">
        <v>973</v>
      </c>
      <c r="J1366" s="1" t="s">
        <v>1710</v>
      </c>
      <c r="K1366" s="1" t="s">
        <v>1691</v>
      </c>
      <c r="L1366" s="1" t="s">
        <v>1692</v>
      </c>
    </row>
    <row r="1367" spans="1:12">
      <c r="A1367" s="1" t="s">
        <v>1637</v>
      </c>
      <c r="B1367" s="1" t="s">
        <v>1630</v>
      </c>
      <c r="C1367" s="1" t="s">
        <v>1394</v>
      </c>
      <c r="D1367" s="1" t="s">
        <v>1705</v>
      </c>
      <c r="E1367" s="92" t="s">
        <v>1979</v>
      </c>
      <c r="F1367" s="92" t="s">
        <v>1980</v>
      </c>
      <c r="H1367" s="1" t="s">
        <v>1684</v>
      </c>
      <c r="I1367" s="1" t="s">
        <v>973</v>
      </c>
      <c r="J1367" s="1" t="s">
        <v>1710</v>
      </c>
      <c r="K1367" s="1" t="s">
        <v>1691</v>
      </c>
      <c r="L1367" s="1" t="s">
        <v>1692</v>
      </c>
    </row>
    <row r="1368" spans="1:12">
      <c r="A1368" s="1" t="s">
        <v>1637</v>
      </c>
      <c r="B1368" s="1" t="s">
        <v>1630</v>
      </c>
      <c r="C1368" s="1" t="s">
        <v>1711</v>
      </c>
      <c r="D1368" s="1" t="s">
        <v>1708</v>
      </c>
      <c r="E1368" s="1" t="s">
        <v>1709</v>
      </c>
      <c r="F1368" s="1" t="s">
        <v>1709</v>
      </c>
      <c r="H1368" s="1" t="s">
        <v>1684</v>
      </c>
      <c r="I1368" s="1" t="s">
        <v>1689</v>
      </c>
      <c r="J1368" s="1" t="s">
        <v>1714</v>
      </c>
      <c r="K1368" s="1" t="s">
        <v>1715</v>
      </c>
      <c r="L1368" s="1" t="s">
        <v>1716</v>
      </c>
    </row>
    <row r="1369" spans="1:12">
      <c r="A1369" s="1" t="s">
        <v>1637</v>
      </c>
      <c r="B1369" s="1" t="s">
        <v>1630</v>
      </c>
      <c r="C1369" s="1" t="s">
        <v>1723</v>
      </c>
      <c r="D1369" s="1" t="s">
        <v>218</v>
      </c>
      <c r="E1369" s="92" t="s">
        <v>2167</v>
      </c>
      <c r="F1369" s="92" t="s">
        <v>2167</v>
      </c>
      <c r="G1369" s="92" t="s">
        <v>1688</v>
      </c>
      <c r="H1369" s="1" t="s">
        <v>1684</v>
      </c>
      <c r="I1369" s="1" t="s">
        <v>973</v>
      </c>
      <c r="J1369" s="1" t="s">
        <v>1726</v>
      </c>
      <c r="K1369" s="1" t="s">
        <v>1727</v>
      </c>
      <c r="L1369" s="1" t="s">
        <v>1728</v>
      </c>
    </row>
    <row r="1370" spans="1:12">
      <c r="A1370" s="1" t="s">
        <v>1637</v>
      </c>
      <c r="B1370" s="1" t="s">
        <v>1630</v>
      </c>
      <c r="C1370" s="1" t="s">
        <v>1723</v>
      </c>
      <c r="D1370" s="1" t="s">
        <v>1693</v>
      </c>
      <c r="E1370" s="1" t="s">
        <v>1694</v>
      </c>
      <c r="F1370" s="1" t="s">
        <v>1694</v>
      </c>
      <c r="H1370" s="1" t="s">
        <v>1684</v>
      </c>
      <c r="I1370" s="1" t="s">
        <v>973</v>
      </c>
      <c r="J1370" s="1" t="s">
        <v>1726</v>
      </c>
      <c r="K1370" s="1" t="s">
        <v>1727</v>
      </c>
      <c r="L1370" s="1" t="s">
        <v>1728</v>
      </c>
    </row>
    <row r="1371" spans="1:12">
      <c r="A1371" s="1" t="s">
        <v>1637</v>
      </c>
      <c r="B1371" s="1" t="s">
        <v>1630</v>
      </c>
      <c r="C1371" s="1" t="s">
        <v>1723</v>
      </c>
      <c r="D1371" s="1" t="s">
        <v>1695</v>
      </c>
      <c r="E1371" s="1" t="s">
        <v>1694</v>
      </c>
      <c r="F1371" s="1" t="s">
        <v>1694</v>
      </c>
      <c r="H1371" s="1" t="s">
        <v>1684</v>
      </c>
      <c r="I1371" s="1" t="s">
        <v>973</v>
      </c>
      <c r="J1371" s="1" t="s">
        <v>1726</v>
      </c>
      <c r="K1371" s="1" t="s">
        <v>1727</v>
      </c>
      <c r="L1371" s="1" t="s">
        <v>1728</v>
      </c>
    </row>
    <row r="1372" spans="1:12">
      <c r="A1372" s="1" t="s">
        <v>1637</v>
      </c>
      <c r="B1372" s="1" t="s">
        <v>1630</v>
      </c>
      <c r="C1372" s="1" t="s">
        <v>1723</v>
      </c>
      <c r="D1372" s="1" t="s">
        <v>1697</v>
      </c>
      <c r="E1372" s="1" t="s">
        <v>1698</v>
      </c>
      <c r="F1372" s="1" t="s">
        <v>1698</v>
      </c>
      <c r="H1372" s="1" t="s">
        <v>1684</v>
      </c>
      <c r="I1372" s="1" t="s">
        <v>973</v>
      </c>
      <c r="J1372" s="1" t="s">
        <v>1726</v>
      </c>
      <c r="K1372" s="1" t="s">
        <v>1727</v>
      </c>
      <c r="L1372" s="1" t="s">
        <v>1728</v>
      </c>
    </row>
    <row r="1373" spans="1:12">
      <c r="A1373" s="1" t="s">
        <v>1637</v>
      </c>
      <c r="B1373" s="1" t="s">
        <v>1630</v>
      </c>
      <c r="C1373" s="1" t="s">
        <v>1729</v>
      </c>
      <c r="D1373" s="1" t="s">
        <v>1708</v>
      </c>
      <c r="E1373" s="1" t="s">
        <v>1730</v>
      </c>
      <c r="F1373" s="1" t="s">
        <v>1709</v>
      </c>
      <c r="H1373" s="1" t="s">
        <v>1684</v>
      </c>
      <c r="I1373" s="1" t="s">
        <v>1731</v>
      </c>
      <c r="J1373" s="1" t="s">
        <v>1732</v>
      </c>
      <c r="K1373" s="1" t="s">
        <v>1733</v>
      </c>
      <c r="L1373" s="1" t="s">
        <v>1734</v>
      </c>
    </row>
    <row r="1374" spans="1:12">
      <c r="A1374" s="1" t="s">
        <v>1638</v>
      </c>
      <c r="B1374" s="1" t="s">
        <v>1552</v>
      </c>
      <c r="C1374" s="1" t="s">
        <v>1680</v>
      </c>
      <c r="D1374" s="1" t="s">
        <v>1681</v>
      </c>
      <c r="E1374" s="92" t="s">
        <v>2168</v>
      </c>
      <c r="F1374" s="92" t="s">
        <v>2169</v>
      </c>
      <c r="H1374" s="1" t="s">
        <v>1684</v>
      </c>
    </row>
    <row r="1375" spans="1:12">
      <c r="A1375" s="1" t="s">
        <v>1638</v>
      </c>
      <c r="B1375" s="1" t="s">
        <v>1552</v>
      </c>
      <c r="C1375" s="1" t="s">
        <v>1680</v>
      </c>
      <c r="D1375" s="1" t="s">
        <v>1685</v>
      </c>
      <c r="E1375" s="1" t="s">
        <v>1526</v>
      </c>
      <c r="F1375" s="1" t="s">
        <v>1526</v>
      </c>
      <c r="H1375" s="1" t="s">
        <v>1684</v>
      </c>
    </row>
    <row r="1376" spans="1:12">
      <c r="A1376" s="1" t="s">
        <v>1638</v>
      </c>
      <c r="B1376" s="1" t="s">
        <v>1552</v>
      </c>
      <c r="C1376" s="1" t="s">
        <v>1686</v>
      </c>
      <c r="D1376" s="1" t="s">
        <v>218</v>
      </c>
      <c r="E1376" s="92" t="s">
        <v>2170</v>
      </c>
      <c r="F1376" s="92" t="s">
        <v>2170</v>
      </c>
      <c r="G1376" s="92" t="s">
        <v>1713</v>
      </c>
      <c r="H1376" s="1" t="s">
        <v>1684</v>
      </c>
      <c r="I1376" s="1" t="s">
        <v>1689</v>
      </c>
      <c r="J1376" s="1" t="s">
        <v>1690</v>
      </c>
      <c r="K1376" s="1" t="s">
        <v>1691</v>
      </c>
      <c r="L1376" s="1" t="s">
        <v>1692</v>
      </c>
    </row>
    <row r="1377" spans="1:12">
      <c r="A1377" s="1" t="s">
        <v>1638</v>
      </c>
      <c r="B1377" s="1" t="s">
        <v>1552</v>
      </c>
      <c r="C1377" s="1" t="s">
        <v>1686</v>
      </c>
      <c r="D1377" s="1" t="s">
        <v>1693</v>
      </c>
      <c r="E1377" s="1" t="s">
        <v>1694</v>
      </c>
      <c r="F1377" s="1" t="s">
        <v>1694</v>
      </c>
      <c r="H1377" s="1" t="s">
        <v>1684</v>
      </c>
      <c r="I1377" s="1" t="s">
        <v>1689</v>
      </c>
      <c r="J1377" s="1" t="s">
        <v>1690</v>
      </c>
      <c r="K1377" s="1" t="s">
        <v>1691</v>
      </c>
      <c r="L1377" s="1" t="s">
        <v>1692</v>
      </c>
    </row>
    <row r="1378" spans="1:12">
      <c r="A1378" s="1" t="s">
        <v>1638</v>
      </c>
      <c r="B1378" s="1" t="s">
        <v>1552</v>
      </c>
      <c r="C1378" s="1" t="s">
        <v>1686</v>
      </c>
      <c r="D1378" s="1" t="s">
        <v>1695</v>
      </c>
      <c r="E1378" s="1" t="s">
        <v>1696</v>
      </c>
      <c r="F1378" s="1" t="s">
        <v>1696</v>
      </c>
      <c r="H1378" s="1" t="s">
        <v>1684</v>
      </c>
      <c r="I1378" s="1" t="s">
        <v>1689</v>
      </c>
      <c r="J1378" s="1" t="s">
        <v>1690</v>
      </c>
      <c r="K1378" s="1" t="s">
        <v>1691</v>
      </c>
      <c r="L1378" s="1" t="s">
        <v>1692</v>
      </c>
    </row>
    <row r="1379" spans="1:12">
      <c r="A1379" s="1" t="s">
        <v>1638</v>
      </c>
      <c r="B1379" s="1" t="s">
        <v>1552</v>
      </c>
      <c r="C1379" s="1" t="s">
        <v>1686</v>
      </c>
      <c r="D1379" s="1" t="s">
        <v>1697</v>
      </c>
      <c r="E1379" s="1" t="s">
        <v>1698</v>
      </c>
      <c r="F1379" s="1" t="s">
        <v>1698</v>
      </c>
      <c r="H1379" s="1" t="s">
        <v>1684</v>
      </c>
      <c r="I1379" s="1" t="s">
        <v>1689</v>
      </c>
      <c r="J1379" s="1" t="s">
        <v>1690</v>
      </c>
      <c r="K1379" s="1" t="s">
        <v>1691</v>
      </c>
      <c r="L1379" s="1" t="s">
        <v>1692</v>
      </c>
    </row>
    <row r="1380" spans="1:12">
      <c r="A1380" s="1" t="s">
        <v>1638</v>
      </c>
      <c r="B1380" s="1" t="s">
        <v>1552</v>
      </c>
      <c r="C1380" s="1" t="s">
        <v>1686</v>
      </c>
      <c r="D1380" s="1" t="s">
        <v>1699</v>
      </c>
      <c r="E1380" s="92" t="s">
        <v>2171</v>
      </c>
      <c r="F1380" s="92" t="s">
        <v>2172</v>
      </c>
      <c r="H1380" s="1" t="s">
        <v>1684</v>
      </c>
      <c r="I1380" s="1" t="s">
        <v>1689</v>
      </c>
      <c r="J1380" s="1" t="s">
        <v>1690</v>
      </c>
      <c r="K1380" s="1" t="s">
        <v>1691</v>
      </c>
      <c r="L1380" s="1" t="s">
        <v>1692</v>
      </c>
    </row>
    <row r="1381" spans="1:12">
      <c r="A1381" s="1" t="s">
        <v>1638</v>
      </c>
      <c r="B1381" s="1" t="s">
        <v>1552</v>
      </c>
      <c r="C1381" s="1" t="s">
        <v>1686</v>
      </c>
      <c r="D1381" s="1" t="s">
        <v>1702</v>
      </c>
      <c r="E1381" s="92" t="s">
        <v>2173</v>
      </c>
      <c r="F1381" s="92" t="s">
        <v>2174</v>
      </c>
      <c r="H1381" s="1" t="s">
        <v>1684</v>
      </c>
      <c r="I1381" s="1" t="s">
        <v>1689</v>
      </c>
      <c r="J1381" s="1" t="s">
        <v>1690</v>
      </c>
      <c r="K1381" s="1" t="s">
        <v>1691</v>
      </c>
      <c r="L1381" s="1" t="s">
        <v>1692</v>
      </c>
    </row>
    <row r="1382" spans="1:12">
      <c r="A1382" s="1" t="s">
        <v>1638</v>
      </c>
      <c r="B1382" s="1" t="s">
        <v>1552</v>
      </c>
      <c r="C1382" s="1" t="s">
        <v>1686</v>
      </c>
      <c r="D1382" s="1" t="s">
        <v>1705</v>
      </c>
      <c r="E1382" s="92" t="s">
        <v>2175</v>
      </c>
      <c r="F1382" s="92" t="s">
        <v>1855</v>
      </c>
      <c r="H1382" s="1" t="s">
        <v>1684</v>
      </c>
      <c r="I1382" s="1" t="s">
        <v>1689</v>
      </c>
      <c r="J1382" s="1" t="s">
        <v>1690</v>
      </c>
      <c r="K1382" s="1" t="s">
        <v>1691</v>
      </c>
      <c r="L1382" s="1" t="s">
        <v>1692</v>
      </c>
    </row>
    <row r="1383" spans="1:12">
      <c r="A1383" s="1" t="s">
        <v>1638</v>
      </c>
      <c r="B1383" s="1" t="s">
        <v>1552</v>
      </c>
      <c r="C1383" s="1" t="s">
        <v>1394</v>
      </c>
      <c r="D1383" s="1" t="s">
        <v>1708</v>
      </c>
      <c r="E1383" s="1" t="s">
        <v>1709</v>
      </c>
      <c r="F1383" s="1" t="s">
        <v>1709</v>
      </c>
      <c r="H1383" s="1" t="s">
        <v>1684</v>
      </c>
      <c r="I1383" s="1" t="s">
        <v>973</v>
      </c>
      <c r="J1383" s="1" t="s">
        <v>1710</v>
      </c>
      <c r="K1383" s="1" t="s">
        <v>1691</v>
      </c>
      <c r="L1383" s="1" t="s">
        <v>1692</v>
      </c>
    </row>
    <row r="1384" spans="1:12">
      <c r="A1384" s="1" t="s">
        <v>1638</v>
      </c>
      <c r="B1384" s="1" t="s">
        <v>1552</v>
      </c>
      <c r="C1384" s="1" t="s">
        <v>1711</v>
      </c>
      <c r="D1384" s="1" t="s">
        <v>218</v>
      </c>
      <c r="E1384" s="92" t="s">
        <v>1974</v>
      </c>
      <c r="F1384" s="92" t="s">
        <v>1974</v>
      </c>
      <c r="G1384" s="92" t="s">
        <v>1738</v>
      </c>
      <c r="H1384" s="1" t="s">
        <v>1684</v>
      </c>
      <c r="I1384" s="1" t="s">
        <v>1689</v>
      </c>
      <c r="J1384" s="1" t="s">
        <v>1714</v>
      </c>
      <c r="K1384" s="1" t="s">
        <v>1715</v>
      </c>
      <c r="L1384" s="1" t="s">
        <v>1716</v>
      </c>
    </row>
    <row r="1385" spans="1:12">
      <c r="A1385" s="1" t="s">
        <v>1638</v>
      </c>
      <c r="B1385" s="1" t="s">
        <v>1552</v>
      </c>
      <c r="C1385" s="1" t="s">
        <v>1711</v>
      </c>
      <c r="D1385" s="1" t="s">
        <v>1693</v>
      </c>
      <c r="E1385" s="1" t="s">
        <v>1694</v>
      </c>
      <c r="F1385" s="1" t="s">
        <v>1694</v>
      </c>
      <c r="H1385" s="1" t="s">
        <v>1684</v>
      </c>
      <c r="I1385" s="1" t="s">
        <v>1689</v>
      </c>
      <c r="J1385" s="1" t="s">
        <v>1714</v>
      </c>
      <c r="K1385" s="1" t="s">
        <v>1715</v>
      </c>
      <c r="L1385" s="1" t="s">
        <v>1716</v>
      </c>
    </row>
    <row r="1386" spans="1:12">
      <c r="A1386" s="1" t="s">
        <v>1638</v>
      </c>
      <c r="B1386" s="1" t="s">
        <v>1552</v>
      </c>
      <c r="C1386" s="1" t="s">
        <v>1711</v>
      </c>
      <c r="D1386" s="1" t="s">
        <v>1695</v>
      </c>
      <c r="E1386" s="1" t="s">
        <v>1694</v>
      </c>
      <c r="F1386" s="1" t="s">
        <v>1694</v>
      </c>
      <c r="H1386" s="1" t="s">
        <v>1684</v>
      </c>
      <c r="I1386" s="1" t="s">
        <v>1689</v>
      </c>
      <c r="J1386" s="1" t="s">
        <v>1714</v>
      </c>
      <c r="K1386" s="1" t="s">
        <v>1715</v>
      </c>
      <c r="L1386" s="1" t="s">
        <v>1716</v>
      </c>
    </row>
    <row r="1387" spans="1:12">
      <c r="A1387" s="1" t="s">
        <v>1638</v>
      </c>
      <c r="B1387" s="1" t="s">
        <v>1552</v>
      </c>
      <c r="C1387" s="1" t="s">
        <v>1711</v>
      </c>
      <c r="D1387" s="1" t="s">
        <v>1697</v>
      </c>
      <c r="E1387" s="1" t="s">
        <v>1698</v>
      </c>
      <c r="F1387" s="1" t="s">
        <v>1698</v>
      </c>
      <c r="H1387" s="1" t="s">
        <v>1684</v>
      </c>
      <c r="I1387" s="1" t="s">
        <v>1689</v>
      </c>
      <c r="J1387" s="1" t="s">
        <v>1714</v>
      </c>
      <c r="K1387" s="1" t="s">
        <v>1715</v>
      </c>
      <c r="L1387" s="1" t="s">
        <v>1716</v>
      </c>
    </row>
    <row r="1388" spans="1:12">
      <c r="A1388" s="1" t="s">
        <v>1638</v>
      </c>
      <c r="B1388" s="1" t="s">
        <v>1552</v>
      </c>
      <c r="C1388" s="1" t="s">
        <v>1711</v>
      </c>
      <c r="D1388" s="1" t="s">
        <v>1699</v>
      </c>
      <c r="E1388" s="92" t="s">
        <v>1832</v>
      </c>
      <c r="F1388" s="92" t="s">
        <v>1833</v>
      </c>
      <c r="H1388" s="1" t="s">
        <v>1684</v>
      </c>
      <c r="I1388" s="1" t="s">
        <v>1689</v>
      </c>
      <c r="J1388" s="1" t="s">
        <v>1714</v>
      </c>
      <c r="K1388" s="1" t="s">
        <v>1715</v>
      </c>
      <c r="L1388" s="1" t="s">
        <v>1716</v>
      </c>
    </row>
    <row r="1389" spans="1:12">
      <c r="A1389" s="1" t="s">
        <v>1638</v>
      </c>
      <c r="B1389" s="1" t="s">
        <v>1552</v>
      </c>
      <c r="C1389" s="1" t="s">
        <v>1711</v>
      </c>
      <c r="D1389" s="1" t="s">
        <v>1702</v>
      </c>
      <c r="E1389" s="92" t="s">
        <v>2176</v>
      </c>
      <c r="F1389" s="92" t="s">
        <v>2177</v>
      </c>
      <c r="H1389" s="1" t="s">
        <v>1684</v>
      </c>
      <c r="I1389" s="1" t="s">
        <v>1689</v>
      </c>
      <c r="J1389" s="1" t="s">
        <v>1714</v>
      </c>
      <c r="K1389" s="1" t="s">
        <v>1715</v>
      </c>
      <c r="L1389" s="1" t="s">
        <v>1716</v>
      </c>
    </row>
    <row r="1390" spans="1:12">
      <c r="A1390" s="1" t="s">
        <v>1638</v>
      </c>
      <c r="B1390" s="1" t="s">
        <v>1552</v>
      </c>
      <c r="C1390" s="1" t="s">
        <v>1711</v>
      </c>
      <c r="D1390" s="1" t="s">
        <v>1705</v>
      </c>
      <c r="E1390" s="92" t="s">
        <v>2178</v>
      </c>
      <c r="F1390" s="92" t="s">
        <v>1860</v>
      </c>
      <c r="H1390" s="1" t="s">
        <v>1684</v>
      </c>
      <c r="I1390" s="1" t="s">
        <v>1689</v>
      </c>
      <c r="J1390" s="1" t="s">
        <v>1714</v>
      </c>
      <c r="K1390" s="1" t="s">
        <v>1715</v>
      </c>
      <c r="L1390" s="1" t="s">
        <v>1716</v>
      </c>
    </row>
    <row r="1391" spans="1:12">
      <c r="A1391" s="1" t="s">
        <v>1638</v>
      </c>
      <c r="B1391" s="1" t="s">
        <v>1552</v>
      </c>
      <c r="C1391" s="1" t="s">
        <v>1723</v>
      </c>
      <c r="D1391" s="1" t="s">
        <v>218</v>
      </c>
      <c r="E1391" s="92" t="s">
        <v>2179</v>
      </c>
      <c r="F1391" s="92" t="s">
        <v>2179</v>
      </c>
      <c r="G1391" s="92" t="s">
        <v>1738</v>
      </c>
      <c r="H1391" s="1" t="s">
        <v>1684</v>
      </c>
      <c r="I1391" s="1" t="s">
        <v>973</v>
      </c>
      <c r="J1391" s="1" t="s">
        <v>1726</v>
      </c>
      <c r="K1391" s="1" t="s">
        <v>1727</v>
      </c>
      <c r="L1391" s="1" t="s">
        <v>1728</v>
      </c>
    </row>
    <row r="1392" spans="1:12">
      <c r="A1392" s="1" t="s">
        <v>1638</v>
      </c>
      <c r="B1392" s="1" t="s">
        <v>1552</v>
      </c>
      <c r="C1392" s="1" t="s">
        <v>1723</v>
      </c>
      <c r="D1392" s="1" t="s">
        <v>1693</v>
      </c>
      <c r="E1392" s="1" t="s">
        <v>1694</v>
      </c>
      <c r="F1392" s="1" t="s">
        <v>1694</v>
      </c>
      <c r="H1392" s="1" t="s">
        <v>1684</v>
      </c>
      <c r="I1392" s="1" t="s">
        <v>973</v>
      </c>
      <c r="J1392" s="1" t="s">
        <v>1726</v>
      </c>
      <c r="K1392" s="1" t="s">
        <v>1727</v>
      </c>
      <c r="L1392" s="1" t="s">
        <v>1728</v>
      </c>
    </row>
    <row r="1393" spans="1:12">
      <c r="A1393" s="1" t="s">
        <v>1638</v>
      </c>
      <c r="B1393" s="1" t="s">
        <v>1552</v>
      </c>
      <c r="C1393" s="1" t="s">
        <v>1723</v>
      </c>
      <c r="D1393" s="1" t="s">
        <v>1695</v>
      </c>
      <c r="E1393" s="1" t="s">
        <v>2004</v>
      </c>
      <c r="F1393" s="1" t="s">
        <v>2004</v>
      </c>
      <c r="H1393" s="1" t="s">
        <v>1684</v>
      </c>
      <c r="I1393" s="1" t="s">
        <v>973</v>
      </c>
      <c r="J1393" s="1" t="s">
        <v>1726</v>
      </c>
      <c r="K1393" s="1" t="s">
        <v>1727</v>
      </c>
      <c r="L1393" s="1" t="s">
        <v>1728</v>
      </c>
    </row>
    <row r="1394" spans="1:12">
      <c r="A1394" s="1" t="s">
        <v>1638</v>
      </c>
      <c r="B1394" s="1" t="s">
        <v>1552</v>
      </c>
      <c r="C1394" s="1" t="s">
        <v>1723</v>
      </c>
      <c r="D1394" s="1" t="s">
        <v>1697</v>
      </c>
      <c r="E1394" s="1" t="s">
        <v>1698</v>
      </c>
      <c r="F1394" s="1" t="s">
        <v>1698</v>
      </c>
      <c r="H1394" s="1" t="s">
        <v>1684</v>
      </c>
      <c r="I1394" s="1" t="s">
        <v>973</v>
      </c>
      <c r="J1394" s="1" t="s">
        <v>1726</v>
      </c>
      <c r="K1394" s="1" t="s">
        <v>1727</v>
      </c>
      <c r="L1394" s="1" t="s">
        <v>1728</v>
      </c>
    </row>
    <row r="1395" spans="1:12">
      <c r="A1395" s="1" t="s">
        <v>1638</v>
      </c>
      <c r="B1395" s="1" t="s">
        <v>1552</v>
      </c>
      <c r="C1395" s="1" t="s">
        <v>1729</v>
      </c>
      <c r="D1395" s="1" t="s">
        <v>1708</v>
      </c>
      <c r="E1395" s="1" t="s">
        <v>1730</v>
      </c>
      <c r="F1395" s="1" t="s">
        <v>1730</v>
      </c>
      <c r="H1395" s="1" t="s">
        <v>1684</v>
      </c>
      <c r="I1395" s="1" t="s">
        <v>1731</v>
      </c>
      <c r="J1395" s="1" t="s">
        <v>1732</v>
      </c>
      <c r="K1395" s="1" t="s">
        <v>1733</v>
      </c>
      <c r="L1395" s="1" t="s">
        <v>1734</v>
      </c>
    </row>
    <row r="1396" spans="1:12">
      <c r="A1396" s="1" t="s">
        <v>1639</v>
      </c>
      <c r="B1396" s="1" t="s">
        <v>1640</v>
      </c>
      <c r="C1396" s="1" t="s">
        <v>1680</v>
      </c>
      <c r="D1396" s="1" t="s">
        <v>1685</v>
      </c>
      <c r="E1396" s="1" t="s">
        <v>1642</v>
      </c>
      <c r="F1396" s="1" t="s">
        <v>1642</v>
      </c>
      <c r="H1396" s="1" t="s">
        <v>1684</v>
      </c>
    </row>
    <row r="1397" spans="1:12">
      <c r="A1397" s="1" t="s">
        <v>1643</v>
      </c>
      <c r="B1397" s="1" t="s">
        <v>1644</v>
      </c>
      <c r="C1397" s="1" t="s">
        <v>1680</v>
      </c>
      <c r="D1397" s="1" t="s">
        <v>1685</v>
      </c>
      <c r="E1397" s="1" t="s">
        <v>1645</v>
      </c>
      <c r="F1397" s="1" t="s">
        <v>1645</v>
      </c>
      <c r="H1397" s="1" t="s">
        <v>1684</v>
      </c>
    </row>
    <row r="1398" spans="1:12">
      <c r="A1398" s="1" t="s">
        <v>1646</v>
      </c>
      <c r="B1398" s="1" t="s">
        <v>1644</v>
      </c>
      <c r="C1398" s="1" t="s">
        <v>1680</v>
      </c>
      <c r="D1398" s="1" t="s">
        <v>1681</v>
      </c>
      <c r="E1398" s="92" t="s">
        <v>2180</v>
      </c>
      <c r="F1398" s="92" t="s">
        <v>2181</v>
      </c>
      <c r="H1398" s="1" t="s">
        <v>1684</v>
      </c>
    </row>
    <row r="1399" spans="1:12">
      <c r="A1399" s="1" t="s">
        <v>1646</v>
      </c>
      <c r="B1399" s="1" t="s">
        <v>1644</v>
      </c>
      <c r="C1399" s="1" t="s">
        <v>1680</v>
      </c>
      <c r="D1399" s="1" t="s">
        <v>1685</v>
      </c>
      <c r="E1399" s="1" t="s">
        <v>1647</v>
      </c>
      <c r="F1399" s="1" t="s">
        <v>1647</v>
      </c>
      <c r="H1399" s="1" t="s">
        <v>1684</v>
      </c>
    </row>
    <row r="1400" spans="1:12">
      <c r="A1400" s="1" t="s">
        <v>1646</v>
      </c>
      <c r="B1400" s="1" t="s">
        <v>1644</v>
      </c>
      <c r="C1400" s="1" t="s">
        <v>1686</v>
      </c>
      <c r="D1400" s="1" t="s">
        <v>1708</v>
      </c>
      <c r="E1400" s="1" t="s">
        <v>1709</v>
      </c>
      <c r="F1400" s="1" t="s">
        <v>1709</v>
      </c>
      <c r="H1400" s="1" t="s">
        <v>1684</v>
      </c>
      <c r="I1400" s="1" t="s">
        <v>1689</v>
      </c>
      <c r="J1400" s="1" t="s">
        <v>1690</v>
      </c>
      <c r="K1400" s="1" t="s">
        <v>1691</v>
      </c>
      <c r="L1400" s="1" t="s">
        <v>1692</v>
      </c>
    </row>
    <row r="1401" spans="1:12">
      <c r="A1401" s="1" t="s">
        <v>1646</v>
      </c>
      <c r="B1401" s="1" t="s">
        <v>1644</v>
      </c>
      <c r="C1401" s="1" t="s">
        <v>1394</v>
      </c>
      <c r="D1401" s="1" t="s">
        <v>1708</v>
      </c>
      <c r="E1401" s="1" t="s">
        <v>1709</v>
      </c>
      <c r="F1401" s="1" t="s">
        <v>1709</v>
      </c>
      <c r="H1401" s="1" t="s">
        <v>1684</v>
      </c>
      <c r="I1401" s="1" t="s">
        <v>973</v>
      </c>
      <c r="J1401" s="1" t="s">
        <v>1710</v>
      </c>
      <c r="K1401" s="1" t="s">
        <v>1691</v>
      </c>
      <c r="L1401" s="1" t="s">
        <v>1692</v>
      </c>
    </row>
    <row r="1402" spans="1:12">
      <c r="A1402" s="1" t="s">
        <v>1646</v>
      </c>
      <c r="B1402" s="1" t="s">
        <v>1644</v>
      </c>
      <c r="C1402" s="1" t="s">
        <v>1711</v>
      </c>
      <c r="D1402" s="1" t="s">
        <v>1708</v>
      </c>
      <c r="E1402" s="1" t="s">
        <v>1709</v>
      </c>
      <c r="F1402" s="1" t="s">
        <v>1709</v>
      </c>
      <c r="H1402" s="1" t="s">
        <v>1684</v>
      </c>
      <c r="I1402" s="1" t="s">
        <v>1689</v>
      </c>
      <c r="J1402" s="1" t="s">
        <v>1714</v>
      </c>
      <c r="K1402" s="1" t="s">
        <v>1715</v>
      </c>
      <c r="L1402" s="1" t="s">
        <v>1716</v>
      </c>
    </row>
    <row r="1403" spans="1:12">
      <c r="A1403" s="1" t="s">
        <v>1646</v>
      </c>
      <c r="B1403" s="1" t="s">
        <v>1644</v>
      </c>
      <c r="C1403" s="1" t="s">
        <v>1723</v>
      </c>
      <c r="D1403" s="1" t="s">
        <v>1708</v>
      </c>
      <c r="E1403" s="1" t="s">
        <v>1709</v>
      </c>
      <c r="F1403" s="1" t="s">
        <v>1709</v>
      </c>
      <c r="H1403" s="1" t="s">
        <v>1684</v>
      </c>
      <c r="I1403" s="1" t="s">
        <v>973</v>
      </c>
      <c r="J1403" s="1" t="s">
        <v>1726</v>
      </c>
      <c r="K1403" s="1" t="s">
        <v>1727</v>
      </c>
      <c r="L1403" s="1" t="s">
        <v>1728</v>
      </c>
    </row>
    <row r="1404" spans="1:12">
      <c r="A1404" s="1" t="s">
        <v>1646</v>
      </c>
      <c r="B1404" s="1" t="s">
        <v>1644</v>
      </c>
      <c r="C1404" s="1" t="s">
        <v>1729</v>
      </c>
      <c r="D1404" s="1" t="s">
        <v>1708</v>
      </c>
      <c r="E1404" s="1" t="s">
        <v>1730</v>
      </c>
      <c r="F1404" s="1" t="s">
        <v>1709</v>
      </c>
      <c r="H1404" s="1" t="s">
        <v>1684</v>
      </c>
      <c r="I1404" s="1" t="s">
        <v>1731</v>
      </c>
      <c r="J1404" s="1" t="s">
        <v>1732</v>
      </c>
      <c r="K1404" s="1" t="s">
        <v>1733</v>
      </c>
      <c r="L1404" s="1" t="s">
        <v>1734</v>
      </c>
    </row>
    <row r="1405" spans="1:12">
      <c r="A1405" s="1" t="s">
        <v>1648</v>
      </c>
      <c r="B1405" s="1" t="s">
        <v>1649</v>
      </c>
      <c r="C1405" s="1" t="s">
        <v>1680</v>
      </c>
      <c r="D1405" s="1" t="s">
        <v>1681</v>
      </c>
      <c r="E1405" s="92" t="s">
        <v>1752</v>
      </c>
      <c r="F1405" s="92" t="s">
        <v>1753</v>
      </c>
      <c r="H1405" s="1" t="s">
        <v>1684</v>
      </c>
    </row>
    <row r="1406" spans="1:12">
      <c r="A1406" s="1" t="s">
        <v>1648</v>
      </c>
      <c r="B1406" s="1" t="s">
        <v>1649</v>
      </c>
      <c r="C1406" s="1" t="s">
        <v>1680</v>
      </c>
      <c r="D1406" s="1" t="s">
        <v>1685</v>
      </c>
      <c r="E1406" s="1" t="s">
        <v>1650</v>
      </c>
      <c r="F1406" s="1" t="s">
        <v>1650</v>
      </c>
      <c r="H1406" s="1" t="s">
        <v>1684</v>
      </c>
    </row>
    <row r="1407" spans="1:12">
      <c r="A1407" s="1" t="s">
        <v>1652</v>
      </c>
      <c r="B1407" s="1" t="s">
        <v>1653</v>
      </c>
      <c r="C1407" s="1" t="s">
        <v>1680</v>
      </c>
      <c r="D1407" s="1" t="s">
        <v>1681</v>
      </c>
      <c r="E1407" s="92" t="s">
        <v>1752</v>
      </c>
      <c r="F1407" s="92" t="s">
        <v>1753</v>
      </c>
      <c r="H1407" s="1" t="s">
        <v>1684</v>
      </c>
    </row>
    <row r="1408" spans="1:12">
      <c r="A1408" s="1" t="s">
        <v>1652</v>
      </c>
      <c r="B1408" s="1" t="s">
        <v>1653</v>
      </c>
      <c r="C1408" s="1" t="s">
        <v>1680</v>
      </c>
      <c r="D1408" s="1" t="s">
        <v>1685</v>
      </c>
      <c r="E1408" s="1" t="s">
        <v>1650</v>
      </c>
      <c r="F1408" s="1" t="s">
        <v>1650</v>
      </c>
      <c r="H1408" s="1" t="s">
        <v>1684</v>
      </c>
    </row>
    <row r="1409" spans="1:12">
      <c r="A1409" s="1" t="s">
        <v>1654</v>
      </c>
      <c r="B1409" s="1" t="s">
        <v>1655</v>
      </c>
      <c r="C1409" s="1" t="s">
        <v>1680</v>
      </c>
      <c r="D1409" s="1" t="s">
        <v>1681</v>
      </c>
      <c r="E1409" s="92" t="s">
        <v>1752</v>
      </c>
      <c r="F1409" s="92" t="s">
        <v>1753</v>
      </c>
      <c r="H1409" s="1" t="s">
        <v>1684</v>
      </c>
    </row>
    <row r="1410" spans="1:12">
      <c r="A1410" s="1" t="s">
        <v>1654</v>
      </c>
      <c r="B1410" s="1" t="s">
        <v>1655</v>
      </c>
      <c r="C1410" s="1" t="s">
        <v>1680</v>
      </c>
      <c r="D1410" s="1" t="s">
        <v>1685</v>
      </c>
      <c r="E1410" s="1" t="s">
        <v>1656</v>
      </c>
      <c r="F1410" s="1" t="s">
        <v>1656</v>
      </c>
      <c r="H1410" s="1" t="s">
        <v>1684</v>
      </c>
    </row>
    <row r="1411" spans="1:12">
      <c r="A1411" s="1" t="s">
        <v>1657</v>
      </c>
      <c r="B1411" s="1" t="s">
        <v>1655</v>
      </c>
      <c r="C1411" s="1" t="s">
        <v>1680</v>
      </c>
      <c r="D1411" s="1" t="s">
        <v>1685</v>
      </c>
      <c r="E1411" s="1" t="s">
        <v>1658</v>
      </c>
      <c r="F1411" s="1" t="s">
        <v>1658</v>
      </c>
      <c r="H1411" s="1" t="s">
        <v>1684</v>
      </c>
    </row>
    <row r="1412" spans="1:12">
      <c r="A1412" s="1" t="s">
        <v>1659</v>
      </c>
      <c r="B1412" s="1" t="s">
        <v>1660</v>
      </c>
      <c r="C1412" s="1" t="s">
        <v>1680</v>
      </c>
      <c r="D1412" s="1" t="s">
        <v>1681</v>
      </c>
      <c r="E1412" s="92" t="s">
        <v>2182</v>
      </c>
      <c r="F1412" s="92" t="s">
        <v>2183</v>
      </c>
      <c r="H1412" s="1" t="s">
        <v>1684</v>
      </c>
    </row>
    <row r="1413" spans="1:12">
      <c r="A1413" s="1" t="s">
        <v>1659</v>
      </c>
      <c r="B1413" s="1" t="s">
        <v>1660</v>
      </c>
      <c r="C1413" s="1" t="s">
        <v>1680</v>
      </c>
      <c r="D1413" s="1" t="s">
        <v>1685</v>
      </c>
      <c r="E1413" s="1" t="s">
        <v>1526</v>
      </c>
      <c r="F1413" s="1" t="s">
        <v>1526</v>
      </c>
      <c r="H1413" s="1" t="s">
        <v>1684</v>
      </c>
    </row>
    <row r="1414" spans="1:12">
      <c r="A1414" s="1" t="s">
        <v>1659</v>
      </c>
      <c r="B1414" s="1" t="s">
        <v>1660</v>
      </c>
      <c r="C1414" s="1" t="s">
        <v>1680</v>
      </c>
      <c r="D1414" s="1" t="s">
        <v>2184</v>
      </c>
      <c r="E1414" s="1" t="s">
        <v>2185</v>
      </c>
      <c r="F1414" s="1" t="s">
        <v>2185</v>
      </c>
      <c r="H1414" s="1" t="s">
        <v>1684</v>
      </c>
    </row>
    <row r="1415" spans="1:12">
      <c r="A1415" s="1" t="s">
        <v>1659</v>
      </c>
      <c r="B1415" s="1" t="s">
        <v>1660</v>
      </c>
      <c r="C1415" s="1" t="s">
        <v>1680</v>
      </c>
      <c r="D1415" s="1" t="s">
        <v>2186</v>
      </c>
      <c r="E1415" s="92" t="s">
        <v>1735</v>
      </c>
      <c r="F1415" s="92" t="s">
        <v>1735</v>
      </c>
      <c r="H1415" s="1" t="s">
        <v>1684</v>
      </c>
    </row>
    <row r="1416" spans="1:12">
      <c r="A1416" s="1" t="s">
        <v>1659</v>
      </c>
      <c r="B1416" s="1" t="s">
        <v>1660</v>
      </c>
      <c r="C1416" s="1" t="s">
        <v>1686</v>
      </c>
      <c r="D1416" s="1" t="s">
        <v>218</v>
      </c>
      <c r="E1416" s="92" t="s">
        <v>2187</v>
      </c>
      <c r="F1416" s="92" t="s">
        <v>2187</v>
      </c>
      <c r="G1416" s="92" t="s">
        <v>1831</v>
      </c>
      <c r="H1416" s="1" t="s">
        <v>1684</v>
      </c>
      <c r="I1416" s="1" t="s">
        <v>1689</v>
      </c>
      <c r="J1416" s="1" t="s">
        <v>1690</v>
      </c>
      <c r="K1416" s="1" t="s">
        <v>1691</v>
      </c>
      <c r="L1416" s="1" t="s">
        <v>1692</v>
      </c>
    </row>
    <row r="1417" spans="1:12">
      <c r="A1417" s="1" t="s">
        <v>1659</v>
      </c>
      <c r="B1417" s="1" t="s">
        <v>1660</v>
      </c>
      <c r="C1417" s="1" t="s">
        <v>1686</v>
      </c>
      <c r="D1417" s="1" t="s">
        <v>1693</v>
      </c>
      <c r="E1417" s="1" t="s">
        <v>1694</v>
      </c>
      <c r="F1417" s="1" t="s">
        <v>1694</v>
      </c>
      <c r="H1417" s="1" t="s">
        <v>1684</v>
      </c>
      <c r="I1417" s="1" t="s">
        <v>1689</v>
      </c>
      <c r="J1417" s="1" t="s">
        <v>1690</v>
      </c>
      <c r="K1417" s="1" t="s">
        <v>1691</v>
      </c>
      <c r="L1417" s="1" t="s">
        <v>1692</v>
      </c>
    </row>
    <row r="1418" spans="1:12">
      <c r="A1418" s="1" t="s">
        <v>1659</v>
      </c>
      <c r="B1418" s="1" t="s">
        <v>1660</v>
      </c>
      <c r="C1418" s="1" t="s">
        <v>1686</v>
      </c>
      <c r="D1418" s="1" t="s">
        <v>1695</v>
      </c>
      <c r="E1418" s="1" t="s">
        <v>1696</v>
      </c>
      <c r="F1418" s="1" t="s">
        <v>1696</v>
      </c>
      <c r="H1418" s="1" t="s">
        <v>1684</v>
      </c>
      <c r="I1418" s="1" t="s">
        <v>1689</v>
      </c>
      <c r="J1418" s="1" t="s">
        <v>1690</v>
      </c>
      <c r="K1418" s="1" t="s">
        <v>1691</v>
      </c>
      <c r="L1418" s="1" t="s">
        <v>1692</v>
      </c>
    </row>
    <row r="1419" spans="1:12">
      <c r="A1419" s="1" t="s">
        <v>1659</v>
      </c>
      <c r="B1419" s="1" t="s">
        <v>1660</v>
      </c>
      <c r="C1419" s="1" t="s">
        <v>1686</v>
      </c>
      <c r="D1419" s="1" t="s">
        <v>1697</v>
      </c>
      <c r="E1419" s="1" t="s">
        <v>1698</v>
      </c>
      <c r="F1419" s="1" t="s">
        <v>1698</v>
      </c>
      <c r="H1419" s="1" t="s">
        <v>1684</v>
      </c>
      <c r="I1419" s="1" t="s">
        <v>1689</v>
      </c>
      <c r="J1419" s="1" t="s">
        <v>1690</v>
      </c>
      <c r="K1419" s="1" t="s">
        <v>1691</v>
      </c>
      <c r="L1419" s="1" t="s">
        <v>1692</v>
      </c>
    </row>
    <row r="1420" spans="1:12">
      <c r="A1420" s="1" t="s">
        <v>1659</v>
      </c>
      <c r="B1420" s="1" t="s">
        <v>1660</v>
      </c>
      <c r="C1420" s="1" t="s">
        <v>1686</v>
      </c>
      <c r="D1420" s="1" t="s">
        <v>1699</v>
      </c>
      <c r="E1420" s="92" t="s">
        <v>2188</v>
      </c>
      <c r="F1420" s="92" t="s">
        <v>2189</v>
      </c>
      <c r="H1420" s="1" t="s">
        <v>1684</v>
      </c>
      <c r="I1420" s="1" t="s">
        <v>1689</v>
      </c>
      <c r="J1420" s="1" t="s">
        <v>1690</v>
      </c>
      <c r="K1420" s="1" t="s">
        <v>1691</v>
      </c>
      <c r="L1420" s="1" t="s">
        <v>1692</v>
      </c>
    </row>
    <row r="1421" spans="1:12">
      <c r="A1421" s="1" t="s">
        <v>1659</v>
      </c>
      <c r="B1421" s="1" t="s">
        <v>1660</v>
      </c>
      <c r="C1421" s="1" t="s">
        <v>1686</v>
      </c>
      <c r="D1421" s="1" t="s">
        <v>1702</v>
      </c>
      <c r="E1421" s="92" t="s">
        <v>2190</v>
      </c>
      <c r="F1421" s="92" t="s">
        <v>2191</v>
      </c>
      <c r="H1421" s="1" t="s">
        <v>1684</v>
      </c>
      <c r="I1421" s="1" t="s">
        <v>1689</v>
      </c>
      <c r="J1421" s="1" t="s">
        <v>1690</v>
      </c>
      <c r="K1421" s="1" t="s">
        <v>1691</v>
      </c>
      <c r="L1421" s="1" t="s">
        <v>1692</v>
      </c>
    </row>
    <row r="1422" spans="1:12">
      <c r="A1422" s="1" t="s">
        <v>1659</v>
      </c>
      <c r="B1422" s="1" t="s">
        <v>1660</v>
      </c>
      <c r="C1422" s="1" t="s">
        <v>1686</v>
      </c>
      <c r="D1422" s="1" t="s">
        <v>1705</v>
      </c>
      <c r="E1422" s="92" t="s">
        <v>2192</v>
      </c>
      <c r="F1422" s="92" t="s">
        <v>2193</v>
      </c>
      <c r="H1422" s="1" t="s">
        <v>1684</v>
      </c>
      <c r="I1422" s="1" t="s">
        <v>1689</v>
      </c>
      <c r="J1422" s="1" t="s">
        <v>1690</v>
      </c>
      <c r="K1422" s="1" t="s">
        <v>1691</v>
      </c>
      <c r="L1422" s="1" t="s">
        <v>1692</v>
      </c>
    </row>
    <row r="1423" spans="1:12">
      <c r="A1423" s="1" t="s">
        <v>1659</v>
      </c>
      <c r="B1423" s="1" t="s">
        <v>1660</v>
      </c>
      <c r="C1423" s="1" t="s">
        <v>1394</v>
      </c>
      <c r="D1423" s="1" t="s">
        <v>1708</v>
      </c>
      <c r="E1423" s="1" t="s">
        <v>1709</v>
      </c>
      <c r="F1423" s="1" t="s">
        <v>1709</v>
      </c>
      <c r="H1423" s="1" t="s">
        <v>1684</v>
      </c>
      <c r="I1423" s="1" t="s">
        <v>973</v>
      </c>
      <c r="J1423" s="1" t="s">
        <v>1710</v>
      </c>
      <c r="K1423" s="1" t="s">
        <v>1691</v>
      </c>
      <c r="L1423" s="1" t="s">
        <v>1692</v>
      </c>
    </row>
    <row r="1424" spans="1:12">
      <c r="A1424" s="1" t="s">
        <v>1659</v>
      </c>
      <c r="B1424" s="1" t="s">
        <v>1660</v>
      </c>
      <c r="C1424" s="1" t="s">
        <v>1711</v>
      </c>
      <c r="D1424" s="1" t="s">
        <v>218</v>
      </c>
      <c r="E1424" s="92" t="s">
        <v>2194</v>
      </c>
      <c r="F1424" s="92" t="s">
        <v>2194</v>
      </c>
      <c r="G1424" s="92" t="s">
        <v>1775</v>
      </c>
      <c r="H1424" s="1" t="s">
        <v>1684</v>
      </c>
      <c r="I1424" s="1" t="s">
        <v>1689</v>
      </c>
      <c r="J1424" s="1" t="s">
        <v>1714</v>
      </c>
      <c r="K1424" s="1" t="s">
        <v>1715</v>
      </c>
      <c r="L1424" s="1" t="s">
        <v>1716</v>
      </c>
    </row>
    <row r="1425" spans="1:12">
      <c r="A1425" s="1" t="s">
        <v>1659</v>
      </c>
      <c r="B1425" s="1" t="s">
        <v>1660</v>
      </c>
      <c r="C1425" s="1" t="s">
        <v>1711</v>
      </c>
      <c r="D1425" s="1" t="s">
        <v>1693</v>
      </c>
      <c r="E1425" s="1" t="s">
        <v>1694</v>
      </c>
      <c r="F1425" s="1" t="s">
        <v>1694</v>
      </c>
      <c r="H1425" s="1" t="s">
        <v>1684</v>
      </c>
      <c r="I1425" s="1" t="s">
        <v>1689</v>
      </c>
      <c r="J1425" s="1" t="s">
        <v>1714</v>
      </c>
      <c r="K1425" s="1" t="s">
        <v>1715</v>
      </c>
      <c r="L1425" s="1" t="s">
        <v>1716</v>
      </c>
    </row>
    <row r="1426" spans="1:12">
      <c r="A1426" s="1" t="s">
        <v>1659</v>
      </c>
      <c r="B1426" s="1" t="s">
        <v>1660</v>
      </c>
      <c r="C1426" s="1" t="s">
        <v>1711</v>
      </c>
      <c r="D1426" s="1" t="s">
        <v>1695</v>
      </c>
      <c r="E1426" s="1" t="s">
        <v>1694</v>
      </c>
      <c r="F1426" s="1" t="s">
        <v>1694</v>
      </c>
      <c r="H1426" s="1" t="s">
        <v>1684</v>
      </c>
      <c r="I1426" s="1" t="s">
        <v>1689</v>
      </c>
      <c r="J1426" s="1" t="s">
        <v>1714</v>
      </c>
      <c r="K1426" s="1" t="s">
        <v>1715</v>
      </c>
      <c r="L1426" s="1" t="s">
        <v>1716</v>
      </c>
    </row>
    <row r="1427" spans="1:12">
      <c r="A1427" s="1" t="s">
        <v>1659</v>
      </c>
      <c r="B1427" s="1" t="s">
        <v>1660</v>
      </c>
      <c r="C1427" s="1" t="s">
        <v>1711</v>
      </c>
      <c r="D1427" s="1" t="s">
        <v>1697</v>
      </c>
      <c r="E1427" s="1" t="s">
        <v>1698</v>
      </c>
      <c r="F1427" s="1" t="s">
        <v>1698</v>
      </c>
      <c r="H1427" s="1" t="s">
        <v>1684</v>
      </c>
      <c r="I1427" s="1" t="s">
        <v>1689</v>
      </c>
      <c r="J1427" s="1" t="s">
        <v>1714</v>
      </c>
      <c r="K1427" s="1" t="s">
        <v>1715</v>
      </c>
      <c r="L1427" s="1" t="s">
        <v>1716</v>
      </c>
    </row>
    <row r="1428" spans="1:12">
      <c r="A1428" s="1" t="s">
        <v>1659</v>
      </c>
      <c r="B1428" s="1" t="s">
        <v>1660</v>
      </c>
      <c r="C1428" s="1" t="s">
        <v>1711</v>
      </c>
      <c r="D1428" s="1" t="s">
        <v>1699</v>
      </c>
      <c r="E1428" s="92" t="s">
        <v>1717</v>
      </c>
      <c r="F1428" s="92" t="s">
        <v>1718</v>
      </c>
      <c r="H1428" s="1" t="s">
        <v>1684</v>
      </c>
      <c r="I1428" s="1" t="s">
        <v>1689</v>
      </c>
      <c r="J1428" s="1" t="s">
        <v>1714</v>
      </c>
      <c r="K1428" s="1" t="s">
        <v>1715</v>
      </c>
      <c r="L1428" s="1" t="s">
        <v>1716</v>
      </c>
    </row>
    <row r="1429" spans="1:12">
      <c r="A1429" s="1" t="s">
        <v>1659</v>
      </c>
      <c r="B1429" s="1" t="s">
        <v>1660</v>
      </c>
      <c r="C1429" s="1" t="s">
        <v>1711</v>
      </c>
      <c r="D1429" s="1" t="s">
        <v>1702</v>
      </c>
      <c r="E1429" s="92" t="s">
        <v>2195</v>
      </c>
      <c r="F1429" s="92" t="s">
        <v>2196</v>
      </c>
      <c r="H1429" s="1" t="s">
        <v>1684</v>
      </c>
      <c r="I1429" s="1" t="s">
        <v>1689</v>
      </c>
      <c r="J1429" s="1" t="s">
        <v>1714</v>
      </c>
      <c r="K1429" s="1" t="s">
        <v>1715</v>
      </c>
      <c r="L1429" s="1" t="s">
        <v>1716</v>
      </c>
    </row>
    <row r="1430" spans="1:12">
      <c r="A1430" s="1" t="s">
        <v>1659</v>
      </c>
      <c r="B1430" s="1" t="s">
        <v>1660</v>
      </c>
      <c r="C1430" s="1" t="s">
        <v>1711</v>
      </c>
      <c r="D1430" s="1" t="s">
        <v>1705</v>
      </c>
      <c r="E1430" s="92" t="s">
        <v>2058</v>
      </c>
      <c r="F1430" s="92" t="s">
        <v>1770</v>
      </c>
      <c r="H1430" s="1" t="s">
        <v>1684</v>
      </c>
      <c r="I1430" s="1" t="s">
        <v>1689</v>
      </c>
      <c r="J1430" s="1" t="s">
        <v>1714</v>
      </c>
      <c r="K1430" s="1" t="s">
        <v>1715</v>
      </c>
      <c r="L1430" s="1" t="s">
        <v>1716</v>
      </c>
    </row>
    <row r="1431" spans="1:12">
      <c r="A1431" s="1" t="s">
        <v>1659</v>
      </c>
      <c r="B1431" s="1" t="s">
        <v>1660</v>
      </c>
      <c r="C1431" s="1" t="s">
        <v>1723</v>
      </c>
      <c r="D1431" s="1" t="s">
        <v>218</v>
      </c>
      <c r="E1431" s="92" t="s">
        <v>2197</v>
      </c>
      <c r="F1431" s="92" t="s">
        <v>2197</v>
      </c>
      <c r="G1431" s="92" t="s">
        <v>1765</v>
      </c>
      <c r="H1431" s="1" t="s">
        <v>1684</v>
      </c>
      <c r="I1431" s="1" t="s">
        <v>973</v>
      </c>
      <c r="J1431" s="1" t="s">
        <v>1726</v>
      </c>
      <c r="K1431" s="1" t="s">
        <v>1727</v>
      </c>
      <c r="L1431" s="1" t="s">
        <v>1728</v>
      </c>
    </row>
    <row r="1432" spans="1:12">
      <c r="A1432" s="1" t="s">
        <v>1659</v>
      </c>
      <c r="B1432" s="1" t="s">
        <v>1660</v>
      </c>
      <c r="C1432" s="1" t="s">
        <v>1723</v>
      </c>
      <c r="D1432" s="1" t="s">
        <v>1693</v>
      </c>
      <c r="E1432" s="1" t="s">
        <v>1694</v>
      </c>
      <c r="F1432" s="1" t="s">
        <v>1694</v>
      </c>
      <c r="H1432" s="1" t="s">
        <v>1684</v>
      </c>
      <c r="I1432" s="1" t="s">
        <v>973</v>
      </c>
      <c r="J1432" s="1" t="s">
        <v>1726</v>
      </c>
      <c r="K1432" s="1" t="s">
        <v>1727</v>
      </c>
      <c r="L1432" s="1" t="s">
        <v>1728</v>
      </c>
    </row>
    <row r="1433" spans="1:12">
      <c r="A1433" s="1" t="s">
        <v>1659</v>
      </c>
      <c r="B1433" s="1" t="s">
        <v>1660</v>
      </c>
      <c r="C1433" s="1" t="s">
        <v>1723</v>
      </c>
      <c r="D1433" s="1" t="s">
        <v>1695</v>
      </c>
      <c r="E1433" s="1" t="s">
        <v>1694</v>
      </c>
      <c r="F1433" s="1" t="s">
        <v>1694</v>
      </c>
      <c r="H1433" s="1" t="s">
        <v>1684</v>
      </c>
      <c r="I1433" s="1" t="s">
        <v>973</v>
      </c>
      <c r="J1433" s="1" t="s">
        <v>1726</v>
      </c>
      <c r="K1433" s="1" t="s">
        <v>1727</v>
      </c>
      <c r="L1433" s="1" t="s">
        <v>1728</v>
      </c>
    </row>
    <row r="1434" spans="1:12">
      <c r="A1434" s="1" t="s">
        <v>1659</v>
      </c>
      <c r="B1434" s="1" t="s">
        <v>1660</v>
      </c>
      <c r="C1434" s="1" t="s">
        <v>1723</v>
      </c>
      <c r="D1434" s="1" t="s">
        <v>1697</v>
      </c>
      <c r="E1434" s="1" t="s">
        <v>1698</v>
      </c>
      <c r="F1434" s="1" t="s">
        <v>1698</v>
      </c>
      <c r="H1434" s="1" t="s">
        <v>1684</v>
      </c>
      <c r="I1434" s="1" t="s">
        <v>973</v>
      </c>
      <c r="J1434" s="1" t="s">
        <v>1726</v>
      </c>
      <c r="K1434" s="1" t="s">
        <v>1727</v>
      </c>
      <c r="L1434" s="1" t="s">
        <v>1728</v>
      </c>
    </row>
    <row r="1435" spans="1:12">
      <c r="A1435" s="1" t="s">
        <v>1659</v>
      </c>
      <c r="B1435" s="1" t="s">
        <v>1660</v>
      </c>
      <c r="C1435" s="1" t="s">
        <v>1729</v>
      </c>
      <c r="D1435" s="1" t="s">
        <v>1708</v>
      </c>
      <c r="E1435" s="1" t="s">
        <v>1730</v>
      </c>
      <c r="F1435" s="1" t="s">
        <v>1730</v>
      </c>
      <c r="H1435" s="1" t="s">
        <v>1684</v>
      </c>
      <c r="I1435" s="1" t="s">
        <v>1731</v>
      </c>
      <c r="J1435" s="1" t="s">
        <v>1732</v>
      </c>
      <c r="K1435" s="1" t="s">
        <v>1733</v>
      </c>
      <c r="L1435" s="1" t="s">
        <v>1734</v>
      </c>
    </row>
    <row r="1436" spans="1:12">
      <c r="A1436" s="1" t="s">
        <v>1663</v>
      </c>
      <c r="B1436" s="1" t="s">
        <v>1660</v>
      </c>
      <c r="C1436" s="1" t="s">
        <v>1680</v>
      </c>
      <c r="D1436" s="1" t="s">
        <v>1681</v>
      </c>
      <c r="E1436" s="92" t="s">
        <v>2198</v>
      </c>
      <c r="F1436" s="92" t="s">
        <v>2199</v>
      </c>
      <c r="H1436" s="1" t="s">
        <v>1684</v>
      </c>
    </row>
    <row r="1437" spans="1:12">
      <c r="A1437" s="1" t="s">
        <v>1663</v>
      </c>
      <c r="B1437" s="1" t="s">
        <v>1660</v>
      </c>
      <c r="C1437" s="1" t="s">
        <v>1680</v>
      </c>
      <c r="D1437" s="1" t="s">
        <v>1685</v>
      </c>
      <c r="E1437" s="1" t="s">
        <v>1526</v>
      </c>
      <c r="F1437" s="1" t="s">
        <v>1526</v>
      </c>
      <c r="H1437" s="1" t="s">
        <v>1684</v>
      </c>
    </row>
    <row r="1438" spans="1:12">
      <c r="A1438" s="1" t="s">
        <v>1663</v>
      </c>
      <c r="B1438" s="1" t="s">
        <v>1660</v>
      </c>
      <c r="C1438" s="1" t="s">
        <v>1680</v>
      </c>
      <c r="D1438" s="1" t="s">
        <v>2184</v>
      </c>
      <c r="E1438" s="1" t="s">
        <v>2200</v>
      </c>
      <c r="F1438" s="1" t="s">
        <v>2200</v>
      </c>
      <c r="H1438" s="1" t="s">
        <v>1684</v>
      </c>
    </row>
    <row r="1439" spans="1:12">
      <c r="A1439" s="1" t="s">
        <v>1663</v>
      </c>
      <c r="B1439" s="1" t="s">
        <v>1660</v>
      </c>
      <c r="C1439" s="1" t="s">
        <v>1680</v>
      </c>
      <c r="D1439" s="1" t="s">
        <v>2186</v>
      </c>
      <c r="E1439" s="92" t="s">
        <v>1772</v>
      </c>
      <c r="F1439" s="92" t="s">
        <v>1772</v>
      </c>
      <c r="H1439" s="1" t="s">
        <v>1684</v>
      </c>
    </row>
    <row r="1440" spans="1:12">
      <c r="A1440" s="1" t="s">
        <v>1663</v>
      </c>
      <c r="B1440" s="1" t="s">
        <v>1660</v>
      </c>
      <c r="C1440" s="1" t="s">
        <v>1686</v>
      </c>
      <c r="D1440" s="1" t="s">
        <v>218</v>
      </c>
      <c r="E1440" s="92" t="s">
        <v>2201</v>
      </c>
      <c r="F1440" s="92" t="s">
        <v>2201</v>
      </c>
      <c r="G1440" s="92" t="s">
        <v>1725</v>
      </c>
      <c r="H1440" s="1" t="s">
        <v>1684</v>
      </c>
      <c r="I1440" s="1" t="s">
        <v>1689</v>
      </c>
      <c r="J1440" s="1" t="s">
        <v>1690</v>
      </c>
      <c r="K1440" s="1" t="s">
        <v>1691</v>
      </c>
      <c r="L1440" s="1" t="s">
        <v>1692</v>
      </c>
    </row>
    <row r="1441" spans="1:12">
      <c r="A1441" s="1" t="s">
        <v>1663</v>
      </c>
      <c r="B1441" s="1" t="s">
        <v>1660</v>
      </c>
      <c r="C1441" s="1" t="s">
        <v>1686</v>
      </c>
      <c r="D1441" s="1" t="s">
        <v>1693</v>
      </c>
      <c r="E1441" s="1" t="s">
        <v>1694</v>
      </c>
      <c r="F1441" s="1" t="s">
        <v>1694</v>
      </c>
      <c r="H1441" s="1" t="s">
        <v>1684</v>
      </c>
      <c r="I1441" s="1" t="s">
        <v>1689</v>
      </c>
      <c r="J1441" s="1" t="s">
        <v>1690</v>
      </c>
      <c r="K1441" s="1" t="s">
        <v>1691</v>
      </c>
      <c r="L1441" s="1" t="s">
        <v>1692</v>
      </c>
    </row>
    <row r="1442" spans="1:12">
      <c r="A1442" s="1" t="s">
        <v>1663</v>
      </c>
      <c r="B1442" s="1" t="s">
        <v>1660</v>
      </c>
      <c r="C1442" s="1" t="s">
        <v>1686</v>
      </c>
      <c r="D1442" s="1" t="s">
        <v>1695</v>
      </c>
      <c r="E1442" s="1" t="s">
        <v>1696</v>
      </c>
      <c r="F1442" s="1" t="s">
        <v>1696</v>
      </c>
      <c r="H1442" s="1" t="s">
        <v>1684</v>
      </c>
      <c r="I1442" s="1" t="s">
        <v>1689</v>
      </c>
      <c r="J1442" s="1" t="s">
        <v>1690</v>
      </c>
      <c r="K1442" s="1" t="s">
        <v>1691</v>
      </c>
      <c r="L1442" s="1" t="s">
        <v>1692</v>
      </c>
    </row>
    <row r="1443" spans="1:12">
      <c r="A1443" s="1" t="s">
        <v>1663</v>
      </c>
      <c r="B1443" s="1" t="s">
        <v>1660</v>
      </c>
      <c r="C1443" s="1" t="s">
        <v>1686</v>
      </c>
      <c r="D1443" s="1" t="s">
        <v>1697</v>
      </c>
      <c r="E1443" s="1" t="s">
        <v>1698</v>
      </c>
      <c r="F1443" s="1" t="s">
        <v>1698</v>
      </c>
      <c r="H1443" s="1" t="s">
        <v>1684</v>
      </c>
      <c r="I1443" s="1" t="s">
        <v>1689</v>
      </c>
      <c r="J1443" s="1" t="s">
        <v>1690</v>
      </c>
      <c r="K1443" s="1" t="s">
        <v>1691</v>
      </c>
      <c r="L1443" s="1" t="s">
        <v>1692</v>
      </c>
    </row>
    <row r="1444" spans="1:12">
      <c r="A1444" s="1" t="s">
        <v>1663</v>
      </c>
      <c r="B1444" s="1" t="s">
        <v>1660</v>
      </c>
      <c r="C1444" s="1" t="s">
        <v>1686</v>
      </c>
      <c r="D1444" s="1" t="s">
        <v>1699</v>
      </c>
      <c r="E1444" s="92" t="s">
        <v>2202</v>
      </c>
      <c r="F1444" s="92" t="s">
        <v>2203</v>
      </c>
      <c r="H1444" s="1" t="s">
        <v>1684</v>
      </c>
      <c r="I1444" s="1" t="s">
        <v>1689</v>
      </c>
      <c r="J1444" s="1" t="s">
        <v>1690</v>
      </c>
      <c r="K1444" s="1" t="s">
        <v>1691</v>
      </c>
      <c r="L1444" s="1" t="s">
        <v>1692</v>
      </c>
    </row>
    <row r="1445" spans="1:12">
      <c r="A1445" s="1" t="s">
        <v>1663</v>
      </c>
      <c r="B1445" s="1" t="s">
        <v>1660</v>
      </c>
      <c r="C1445" s="1" t="s">
        <v>1686</v>
      </c>
      <c r="D1445" s="1" t="s">
        <v>1702</v>
      </c>
      <c r="E1445" s="92" t="s">
        <v>2204</v>
      </c>
      <c r="F1445" s="92" t="s">
        <v>2205</v>
      </c>
      <c r="H1445" s="1" t="s">
        <v>1684</v>
      </c>
      <c r="I1445" s="1" t="s">
        <v>1689</v>
      </c>
      <c r="J1445" s="1" t="s">
        <v>1690</v>
      </c>
      <c r="K1445" s="1" t="s">
        <v>1691</v>
      </c>
      <c r="L1445" s="1" t="s">
        <v>1692</v>
      </c>
    </row>
    <row r="1446" spans="1:12">
      <c r="A1446" s="1" t="s">
        <v>1663</v>
      </c>
      <c r="B1446" s="1" t="s">
        <v>1660</v>
      </c>
      <c r="C1446" s="1" t="s">
        <v>1686</v>
      </c>
      <c r="D1446" s="1" t="s">
        <v>1705</v>
      </c>
      <c r="E1446" s="92" t="s">
        <v>2206</v>
      </c>
      <c r="F1446" s="92" t="s">
        <v>1843</v>
      </c>
      <c r="H1446" s="1" t="s">
        <v>1684</v>
      </c>
      <c r="I1446" s="1" t="s">
        <v>1689</v>
      </c>
      <c r="J1446" s="1" t="s">
        <v>1690</v>
      </c>
      <c r="K1446" s="1" t="s">
        <v>1691</v>
      </c>
      <c r="L1446" s="1" t="s">
        <v>1692</v>
      </c>
    </row>
    <row r="1447" spans="1:12">
      <c r="A1447" s="1" t="s">
        <v>1663</v>
      </c>
      <c r="B1447" s="1" t="s">
        <v>1660</v>
      </c>
      <c r="C1447" s="1" t="s">
        <v>1394</v>
      </c>
      <c r="D1447" s="1" t="s">
        <v>1708</v>
      </c>
      <c r="E1447" s="1" t="s">
        <v>1709</v>
      </c>
      <c r="F1447" s="1" t="s">
        <v>1709</v>
      </c>
      <c r="H1447" s="1" t="s">
        <v>1684</v>
      </c>
      <c r="I1447" s="1" t="s">
        <v>973</v>
      </c>
      <c r="J1447" s="1" t="s">
        <v>1710</v>
      </c>
      <c r="K1447" s="1" t="s">
        <v>1691</v>
      </c>
      <c r="L1447" s="1" t="s">
        <v>1692</v>
      </c>
    </row>
    <row r="1448" spans="1:12">
      <c r="A1448" s="1" t="s">
        <v>1663</v>
      </c>
      <c r="B1448" s="1" t="s">
        <v>1660</v>
      </c>
      <c r="C1448" s="1" t="s">
        <v>1711</v>
      </c>
      <c r="D1448" s="1" t="s">
        <v>218</v>
      </c>
      <c r="E1448" s="92" t="s">
        <v>2207</v>
      </c>
      <c r="F1448" s="92" t="s">
        <v>2207</v>
      </c>
      <c r="G1448" s="92" t="s">
        <v>1725</v>
      </c>
      <c r="H1448" s="1" t="s">
        <v>1684</v>
      </c>
      <c r="I1448" s="1" t="s">
        <v>1689</v>
      </c>
      <c r="J1448" s="1" t="s">
        <v>1714</v>
      </c>
      <c r="K1448" s="1" t="s">
        <v>1715</v>
      </c>
      <c r="L1448" s="1" t="s">
        <v>1716</v>
      </c>
    </row>
    <row r="1449" spans="1:12">
      <c r="A1449" s="1" t="s">
        <v>1663</v>
      </c>
      <c r="B1449" s="1" t="s">
        <v>1660</v>
      </c>
      <c r="C1449" s="1" t="s">
        <v>1711</v>
      </c>
      <c r="D1449" s="1" t="s">
        <v>1693</v>
      </c>
      <c r="E1449" s="1" t="s">
        <v>1694</v>
      </c>
      <c r="F1449" s="1" t="s">
        <v>1694</v>
      </c>
      <c r="H1449" s="1" t="s">
        <v>1684</v>
      </c>
      <c r="I1449" s="1" t="s">
        <v>1689</v>
      </c>
      <c r="J1449" s="1" t="s">
        <v>1714</v>
      </c>
      <c r="K1449" s="1" t="s">
        <v>1715</v>
      </c>
      <c r="L1449" s="1" t="s">
        <v>1716</v>
      </c>
    </row>
    <row r="1450" spans="1:12">
      <c r="A1450" s="1" t="s">
        <v>1663</v>
      </c>
      <c r="B1450" s="1" t="s">
        <v>1660</v>
      </c>
      <c r="C1450" s="1" t="s">
        <v>1711</v>
      </c>
      <c r="D1450" s="1" t="s">
        <v>1695</v>
      </c>
      <c r="E1450" s="1" t="s">
        <v>1849</v>
      </c>
      <c r="F1450" s="1" t="s">
        <v>1849</v>
      </c>
      <c r="H1450" s="1" t="s">
        <v>1684</v>
      </c>
      <c r="I1450" s="1" t="s">
        <v>1689</v>
      </c>
      <c r="J1450" s="1" t="s">
        <v>1714</v>
      </c>
      <c r="K1450" s="1" t="s">
        <v>1715</v>
      </c>
      <c r="L1450" s="1" t="s">
        <v>1716</v>
      </c>
    </row>
    <row r="1451" spans="1:12">
      <c r="A1451" s="1" t="s">
        <v>1663</v>
      </c>
      <c r="B1451" s="1" t="s">
        <v>1660</v>
      </c>
      <c r="C1451" s="1" t="s">
        <v>1711</v>
      </c>
      <c r="D1451" s="1" t="s">
        <v>1697</v>
      </c>
      <c r="E1451" s="1" t="s">
        <v>1698</v>
      </c>
      <c r="F1451" s="1" t="s">
        <v>1698</v>
      </c>
      <c r="H1451" s="1" t="s">
        <v>1684</v>
      </c>
      <c r="I1451" s="1" t="s">
        <v>1689</v>
      </c>
      <c r="J1451" s="1" t="s">
        <v>1714</v>
      </c>
      <c r="K1451" s="1" t="s">
        <v>1715</v>
      </c>
      <c r="L1451" s="1" t="s">
        <v>1716</v>
      </c>
    </row>
    <row r="1452" spans="1:12">
      <c r="A1452" s="1" t="s">
        <v>1663</v>
      </c>
      <c r="B1452" s="1" t="s">
        <v>1660</v>
      </c>
      <c r="C1452" s="1" t="s">
        <v>1711</v>
      </c>
      <c r="D1452" s="1" t="s">
        <v>1699</v>
      </c>
      <c r="E1452" s="92" t="s">
        <v>1832</v>
      </c>
      <c r="F1452" s="92" t="s">
        <v>1833</v>
      </c>
      <c r="H1452" s="1" t="s">
        <v>1684</v>
      </c>
      <c r="I1452" s="1" t="s">
        <v>1689</v>
      </c>
      <c r="J1452" s="1" t="s">
        <v>1714</v>
      </c>
      <c r="K1452" s="1" t="s">
        <v>1715</v>
      </c>
      <c r="L1452" s="1" t="s">
        <v>1716</v>
      </c>
    </row>
    <row r="1453" spans="1:12">
      <c r="A1453" s="1" t="s">
        <v>1663</v>
      </c>
      <c r="B1453" s="1" t="s">
        <v>1660</v>
      </c>
      <c r="C1453" s="1" t="s">
        <v>1711</v>
      </c>
      <c r="D1453" s="1" t="s">
        <v>1702</v>
      </c>
      <c r="E1453" s="92" t="s">
        <v>2208</v>
      </c>
      <c r="F1453" s="92" t="s">
        <v>2209</v>
      </c>
      <c r="H1453" s="1" t="s">
        <v>1684</v>
      </c>
      <c r="I1453" s="1" t="s">
        <v>1689</v>
      </c>
      <c r="J1453" s="1" t="s">
        <v>1714</v>
      </c>
      <c r="K1453" s="1" t="s">
        <v>1715</v>
      </c>
      <c r="L1453" s="1" t="s">
        <v>1716</v>
      </c>
    </row>
    <row r="1454" spans="1:12">
      <c r="A1454" s="1" t="s">
        <v>1663</v>
      </c>
      <c r="B1454" s="1" t="s">
        <v>1660</v>
      </c>
      <c r="C1454" s="1" t="s">
        <v>1711</v>
      </c>
      <c r="D1454" s="1" t="s">
        <v>1705</v>
      </c>
      <c r="E1454" s="92" t="s">
        <v>2210</v>
      </c>
      <c r="F1454" s="92" t="s">
        <v>1836</v>
      </c>
      <c r="H1454" s="1" t="s">
        <v>1684</v>
      </c>
      <c r="I1454" s="1" t="s">
        <v>1689</v>
      </c>
      <c r="J1454" s="1" t="s">
        <v>1714</v>
      </c>
      <c r="K1454" s="1" t="s">
        <v>1715</v>
      </c>
      <c r="L1454" s="1" t="s">
        <v>1716</v>
      </c>
    </row>
    <row r="1455" spans="1:12">
      <c r="A1455" s="1" t="s">
        <v>1663</v>
      </c>
      <c r="B1455" s="1" t="s">
        <v>1660</v>
      </c>
      <c r="C1455" s="1" t="s">
        <v>1723</v>
      </c>
      <c r="D1455" s="1" t="s">
        <v>218</v>
      </c>
      <c r="E1455" s="92" t="s">
        <v>2211</v>
      </c>
      <c r="F1455" s="92" t="s">
        <v>2211</v>
      </c>
      <c r="G1455" s="92" t="s">
        <v>2028</v>
      </c>
      <c r="H1455" s="1" t="s">
        <v>1684</v>
      </c>
      <c r="I1455" s="1" t="s">
        <v>973</v>
      </c>
      <c r="J1455" s="1" t="s">
        <v>1726</v>
      </c>
      <c r="K1455" s="1" t="s">
        <v>1727</v>
      </c>
      <c r="L1455" s="1" t="s">
        <v>1728</v>
      </c>
    </row>
    <row r="1456" spans="1:12">
      <c r="A1456" s="1" t="s">
        <v>1663</v>
      </c>
      <c r="B1456" s="1" t="s">
        <v>1660</v>
      </c>
      <c r="C1456" s="1" t="s">
        <v>1723</v>
      </c>
      <c r="D1456" s="1" t="s">
        <v>1693</v>
      </c>
      <c r="E1456" s="1" t="s">
        <v>1694</v>
      </c>
      <c r="F1456" s="1" t="s">
        <v>1694</v>
      </c>
      <c r="H1456" s="1" t="s">
        <v>1684</v>
      </c>
      <c r="I1456" s="1" t="s">
        <v>973</v>
      </c>
      <c r="J1456" s="1" t="s">
        <v>1726</v>
      </c>
      <c r="K1456" s="1" t="s">
        <v>1727</v>
      </c>
      <c r="L1456" s="1" t="s">
        <v>1728</v>
      </c>
    </row>
    <row r="1457" spans="1:12">
      <c r="A1457" s="1" t="s">
        <v>1663</v>
      </c>
      <c r="B1457" s="1" t="s">
        <v>1660</v>
      </c>
      <c r="C1457" s="1" t="s">
        <v>1723</v>
      </c>
      <c r="D1457" s="1" t="s">
        <v>1695</v>
      </c>
      <c r="E1457" s="1" t="s">
        <v>1694</v>
      </c>
      <c r="F1457" s="1" t="s">
        <v>1694</v>
      </c>
      <c r="H1457" s="1" t="s">
        <v>1684</v>
      </c>
      <c r="I1457" s="1" t="s">
        <v>973</v>
      </c>
      <c r="J1457" s="1" t="s">
        <v>1726</v>
      </c>
      <c r="K1457" s="1" t="s">
        <v>1727</v>
      </c>
      <c r="L1457" s="1" t="s">
        <v>1728</v>
      </c>
    </row>
    <row r="1458" spans="1:12">
      <c r="A1458" s="1" t="s">
        <v>1663</v>
      </c>
      <c r="B1458" s="1" t="s">
        <v>1660</v>
      </c>
      <c r="C1458" s="1" t="s">
        <v>1723</v>
      </c>
      <c r="D1458" s="1" t="s">
        <v>1697</v>
      </c>
      <c r="E1458" s="1" t="s">
        <v>1698</v>
      </c>
      <c r="F1458" s="1" t="s">
        <v>1698</v>
      </c>
      <c r="H1458" s="1" t="s">
        <v>1684</v>
      </c>
      <c r="I1458" s="1" t="s">
        <v>973</v>
      </c>
      <c r="J1458" s="1" t="s">
        <v>1726</v>
      </c>
      <c r="K1458" s="1" t="s">
        <v>1727</v>
      </c>
      <c r="L1458" s="1" t="s">
        <v>1728</v>
      </c>
    </row>
    <row r="1459" spans="1:12">
      <c r="A1459" s="1" t="s">
        <v>1663</v>
      </c>
      <c r="B1459" s="1" t="s">
        <v>1660</v>
      </c>
      <c r="C1459" s="1" t="s">
        <v>1729</v>
      </c>
      <c r="D1459" s="1" t="s">
        <v>1708</v>
      </c>
      <c r="E1459" s="1" t="s">
        <v>1730</v>
      </c>
      <c r="F1459" s="1" t="s">
        <v>1730</v>
      </c>
      <c r="H1459" s="1" t="s">
        <v>1684</v>
      </c>
      <c r="I1459" s="1" t="s">
        <v>1731</v>
      </c>
      <c r="J1459" s="1" t="s">
        <v>1732</v>
      </c>
      <c r="K1459" s="1" t="s">
        <v>1733</v>
      </c>
      <c r="L1459" s="1" t="s">
        <v>1734</v>
      </c>
    </row>
    <row r="1460" spans="1:12">
      <c r="A1460" s="1" t="s">
        <v>1665</v>
      </c>
      <c r="B1460" s="1" t="s">
        <v>1660</v>
      </c>
      <c r="C1460" s="1" t="s">
        <v>1680</v>
      </c>
      <c r="D1460" s="1" t="s">
        <v>1681</v>
      </c>
      <c r="E1460" s="92" t="s">
        <v>2182</v>
      </c>
      <c r="F1460" s="92" t="s">
        <v>2183</v>
      </c>
      <c r="H1460" s="1" t="s">
        <v>1684</v>
      </c>
    </row>
    <row r="1461" spans="1:12">
      <c r="A1461" s="1" t="s">
        <v>1665</v>
      </c>
      <c r="B1461" s="1" t="s">
        <v>1660</v>
      </c>
      <c r="C1461" s="1" t="s">
        <v>1680</v>
      </c>
      <c r="D1461" s="1" t="s">
        <v>1685</v>
      </c>
      <c r="E1461" s="1" t="s">
        <v>1666</v>
      </c>
      <c r="F1461" s="1" t="s">
        <v>1666</v>
      </c>
      <c r="H1461" s="1" t="s">
        <v>1684</v>
      </c>
    </row>
    <row r="1462" spans="1:12">
      <c r="A1462" s="1" t="s">
        <v>1665</v>
      </c>
      <c r="B1462" s="1" t="s">
        <v>1660</v>
      </c>
      <c r="C1462" s="1" t="s">
        <v>1680</v>
      </c>
      <c r="D1462" s="1" t="s">
        <v>2184</v>
      </c>
      <c r="E1462" s="1" t="s">
        <v>2185</v>
      </c>
      <c r="F1462" s="1" t="s">
        <v>2185</v>
      </c>
      <c r="H1462" s="1" t="s">
        <v>1684</v>
      </c>
    </row>
    <row r="1463" spans="1:12">
      <c r="A1463" s="1" t="s">
        <v>1665</v>
      </c>
      <c r="B1463" s="1" t="s">
        <v>1660</v>
      </c>
      <c r="C1463" s="1" t="s">
        <v>1680</v>
      </c>
      <c r="D1463" s="1" t="s">
        <v>2186</v>
      </c>
      <c r="E1463" s="92" t="s">
        <v>1735</v>
      </c>
      <c r="F1463" s="92" t="s">
        <v>1735</v>
      </c>
      <c r="H1463" s="1" t="s">
        <v>1684</v>
      </c>
    </row>
    <row r="1464" spans="1:12">
      <c r="A1464" s="1" t="s">
        <v>1665</v>
      </c>
      <c r="B1464" s="1" t="s">
        <v>1660</v>
      </c>
      <c r="C1464" s="1" t="s">
        <v>1686</v>
      </c>
      <c r="D1464" s="1" t="s">
        <v>218</v>
      </c>
      <c r="E1464" s="92" t="s">
        <v>2187</v>
      </c>
      <c r="F1464" s="92" t="s">
        <v>2187</v>
      </c>
      <c r="G1464" s="92" t="s">
        <v>1831</v>
      </c>
      <c r="H1464" s="1" t="s">
        <v>1684</v>
      </c>
      <c r="I1464" s="1" t="s">
        <v>1689</v>
      </c>
      <c r="J1464" s="1" t="s">
        <v>1690</v>
      </c>
      <c r="K1464" s="1" t="s">
        <v>1691</v>
      </c>
      <c r="L1464" s="1" t="s">
        <v>1692</v>
      </c>
    </row>
    <row r="1465" spans="1:12">
      <c r="A1465" s="1" t="s">
        <v>1665</v>
      </c>
      <c r="B1465" s="1" t="s">
        <v>1660</v>
      </c>
      <c r="C1465" s="1" t="s">
        <v>1686</v>
      </c>
      <c r="D1465" s="1" t="s">
        <v>1693</v>
      </c>
      <c r="E1465" s="1" t="s">
        <v>1694</v>
      </c>
      <c r="F1465" s="1" t="s">
        <v>1694</v>
      </c>
      <c r="H1465" s="1" t="s">
        <v>1684</v>
      </c>
      <c r="I1465" s="1" t="s">
        <v>1689</v>
      </c>
      <c r="J1465" s="1" t="s">
        <v>1690</v>
      </c>
      <c r="K1465" s="1" t="s">
        <v>1691</v>
      </c>
      <c r="L1465" s="1" t="s">
        <v>1692</v>
      </c>
    </row>
    <row r="1466" spans="1:12">
      <c r="A1466" s="1" t="s">
        <v>1665</v>
      </c>
      <c r="B1466" s="1" t="s">
        <v>1660</v>
      </c>
      <c r="C1466" s="1" t="s">
        <v>1686</v>
      </c>
      <c r="D1466" s="1" t="s">
        <v>1695</v>
      </c>
      <c r="E1466" s="1" t="s">
        <v>1696</v>
      </c>
      <c r="F1466" s="1" t="s">
        <v>1696</v>
      </c>
      <c r="H1466" s="1" t="s">
        <v>1684</v>
      </c>
      <c r="I1466" s="1" t="s">
        <v>1689</v>
      </c>
      <c r="J1466" s="1" t="s">
        <v>1690</v>
      </c>
      <c r="K1466" s="1" t="s">
        <v>1691</v>
      </c>
      <c r="L1466" s="1" t="s">
        <v>1692</v>
      </c>
    </row>
    <row r="1467" spans="1:12">
      <c r="A1467" s="1" t="s">
        <v>1665</v>
      </c>
      <c r="B1467" s="1" t="s">
        <v>1660</v>
      </c>
      <c r="C1467" s="1" t="s">
        <v>1686</v>
      </c>
      <c r="D1467" s="1" t="s">
        <v>1697</v>
      </c>
      <c r="E1467" s="1" t="s">
        <v>1698</v>
      </c>
      <c r="F1467" s="1" t="s">
        <v>1698</v>
      </c>
      <c r="H1467" s="1" t="s">
        <v>1684</v>
      </c>
      <c r="I1467" s="1" t="s">
        <v>1689</v>
      </c>
      <c r="J1467" s="1" t="s">
        <v>1690</v>
      </c>
      <c r="K1467" s="1" t="s">
        <v>1691</v>
      </c>
      <c r="L1467" s="1" t="s">
        <v>1692</v>
      </c>
    </row>
    <row r="1468" spans="1:12">
      <c r="A1468" s="1" t="s">
        <v>1665</v>
      </c>
      <c r="B1468" s="1" t="s">
        <v>1660</v>
      </c>
      <c r="C1468" s="1" t="s">
        <v>1686</v>
      </c>
      <c r="D1468" s="1" t="s">
        <v>1699</v>
      </c>
      <c r="E1468" s="92" t="s">
        <v>2188</v>
      </c>
      <c r="F1468" s="92" t="s">
        <v>2189</v>
      </c>
      <c r="H1468" s="1" t="s">
        <v>1684</v>
      </c>
      <c r="I1468" s="1" t="s">
        <v>1689</v>
      </c>
      <c r="J1468" s="1" t="s">
        <v>1690</v>
      </c>
      <c r="K1468" s="1" t="s">
        <v>1691</v>
      </c>
      <c r="L1468" s="1" t="s">
        <v>1692</v>
      </c>
    </row>
    <row r="1469" spans="1:12">
      <c r="A1469" s="1" t="s">
        <v>1665</v>
      </c>
      <c r="B1469" s="1" t="s">
        <v>1660</v>
      </c>
      <c r="C1469" s="1" t="s">
        <v>1686</v>
      </c>
      <c r="D1469" s="1" t="s">
        <v>1702</v>
      </c>
      <c r="E1469" s="92" t="s">
        <v>2190</v>
      </c>
      <c r="F1469" s="92" t="s">
        <v>2191</v>
      </c>
      <c r="H1469" s="1" t="s">
        <v>1684</v>
      </c>
      <c r="I1469" s="1" t="s">
        <v>1689</v>
      </c>
      <c r="J1469" s="1" t="s">
        <v>1690</v>
      </c>
      <c r="K1469" s="1" t="s">
        <v>1691</v>
      </c>
      <c r="L1469" s="1" t="s">
        <v>1692</v>
      </c>
    </row>
    <row r="1470" spans="1:12">
      <c r="A1470" s="1" t="s">
        <v>1665</v>
      </c>
      <c r="B1470" s="1" t="s">
        <v>1660</v>
      </c>
      <c r="C1470" s="1" t="s">
        <v>1686</v>
      </c>
      <c r="D1470" s="1" t="s">
        <v>1705</v>
      </c>
      <c r="E1470" s="92" t="s">
        <v>2192</v>
      </c>
      <c r="F1470" s="92" t="s">
        <v>2193</v>
      </c>
      <c r="H1470" s="1" t="s">
        <v>1684</v>
      </c>
      <c r="I1470" s="1" t="s">
        <v>1689</v>
      </c>
      <c r="J1470" s="1" t="s">
        <v>1690</v>
      </c>
      <c r="K1470" s="1" t="s">
        <v>1691</v>
      </c>
      <c r="L1470" s="1" t="s">
        <v>1692</v>
      </c>
    </row>
    <row r="1471" spans="1:12">
      <c r="A1471" s="1" t="s">
        <v>1665</v>
      </c>
      <c r="B1471" s="1" t="s">
        <v>1660</v>
      </c>
      <c r="C1471" s="1" t="s">
        <v>1394</v>
      </c>
      <c r="D1471" s="1" t="s">
        <v>1708</v>
      </c>
      <c r="E1471" s="1" t="s">
        <v>1709</v>
      </c>
      <c r="F1471" s="1" t="s">
        <v>1709</v>
      </c>
      <c r="H1471" s="1" t="s">
        <v>1684</v>
      </c>
      <c r="I1471" s="1" t="s">
        <v>973</v>
      </c>
      <c r="J1471" s="1" t="s">
        <v>1710</v>
      </c>
      <c r="K1471" s="1" t="s">
        <v>1691</v>
      </c>
      <c r="L1471" s="1" t="s">
        <v>1692</v>
      </c>
    </row>
    <row r="1472" spans="1:12">
      <c r="A1472" s="1" t="s">
        <v>1665</v>
      </c>
      <c r="B1472" s="1" t="s">
        <v>1660</v>
      </c>
      <c r="C1472" s="1" t="s">
        <v>1711</v>
      </c>
      <c r="D1472" s="1" t="s">
        <v>218</v>
      </c>
      <c r="E1472" s="92" t="s">
        <v>2194</v>
      </c>
      <c r="F1472" s="92" t="s">
        <v>2194</v>
      </c>
      <c r="G1472" s="92" t="s">
        <v>1775</v>
      </c>
      <c r="H1472" s="1" t="s">
        <v>1684</v>
      </c>
      <c r="I1472" s="1" t="s">
        <v>1689</v>
      </c>
      <c r="J1472" s="1" t="s">
        <v>1714</v>
      </c>
      <c r="K1472" s="1" t="s">
        <v>1715</v>
      </c>
      <c r="L1472" s="1" t="s">
        <v>1716</v>
      </c>
    </row>
    <row r="1473" spans="1:12">
      <c r="A1473" s="1" t="s">
        <v>1665</v>
      </c>
      <c r="B1473" s="1" t="s">
        <v>1660</v>
      </c>
      <c r="C1473" s="1" t="s">
        <v>1711</v>
      </c>
      <c r="D1473" s="1" t="s">
        <v>1693</v>
      </c>
      <c r="E1473" s="1" t="s">
        <v>1694</v>
      </c>
      <c r="F1473" s="1" t="s">
        <v>1694</v>
      </c>
      <c r="H1473" s="1" t="s">
        <v>1684</v>
      </c>
      <c r="I1473" s="1" t="s">
        <v>1689</v>
      </c>
      <c r="J1473" s="1" t="s">
        <v>1714</v>
      </c>
      <c r="K1473" s="1" t="s">
        <v>1715</v>
      </c>
      <c r="L1473" s="1" t="s">
        <v>1716</v>
      </c>
    </row>
    <row r="1474" spans="1:12">
      <c r="A1474" s="1" t="s">
        <v>1665</v>
      </c>
      <c r="B1474" s="1" t="s">
        <v>1660</v>
      </c>
      <c r="C1474" s="1" t="s">
        <v>1711</v>
      </c>
      <c r="D1474" s="1" t="s">
        <v>1695</v>
      </c>
      <c r="E1474" s="1" t="s">
        <v>1694</v>
      </c>
      <c r="F1474" s="1" t="s">
        <v>1694</v>
      </c>
      <c r="H1474" s="1" t="s">
        <v>1684</v>
      </c>
      <c r="I1474" s="1" t="s">
        <v>1689</v>
      </c>
      <c r="J1474" s="1" t="s">
        <v>1714</v>
      </c>
      <c r="K1474" s="1" t="s">
        <v>1715</v>
      </c>
      <c r="L1474" s="1" t="s">
        <v>1716</v>
      </c>
    </row>
    <row r="1475" spans="1:12">
      <c r="A1475" s="1" t="s">
        <v>1665</v>
      </c>
      <c r="B1475" s="1" t="s">
        <v>1660</v>
      </c>
      <c r="C1475" s="1" t="s">
        <v>1711</v>
      </c>
      <c r="D1475" s="1" t="s">
        <v>1697</v>
      </c>
      <c r="E1475" s="1" t="s">
        <v>1698</v>
      </c>
      <c r="F1475" s="1" t="s">
        <v>1698</v>
      </c>
      <c r="H1475" s="1" t="s">
        <v>1684</v>
      </c>
      <c r="I1475" s="1" t="s">
        <v>1689</v>
      </c>
      <c r="J1475" s="1" t="s">
        <v>1714</v>
      </c>
      <c r="K1475" s="1" t="s">
        <v>1715</v>
      </c>
      <c r="L1475" s="1" t="s">
        <v>1716</v>
      </c>
    </row>
    <row r="1476" spans="1:12">
      <c r="A1476" s="1" t="s">
        <v>1665</v>
      </c>
      <c r="B1476" s="1" t="s">
        <v>1660</v>
      </c>
      <c r="C1476" s="1" t="s">
        <v>1711</v>
      </c>
      <c r="D1476" s="1" t="s">
        <v>1699</v>
      </c>
      <c r="E1476" s="92" t="s">
        <v>1717</v>
      </c>
      <c r="F1476" s="92" t="s">
        <v>1718</v>
      </c>
      <c r="H1476" s="1" t="s">
        <v>1684</v>
      </c>
      <c r="I1476" s="1" t="s">
        <v>1689</v>
      </c>
      <c r="J1476" s="1" t="s">
        <v>1714</v>
      </c>
      <c r="K1476" s="1" t="s">
        <v>1715</v>
      </c>
      <c r="L1476" s="1" t="s">
        <v>1716</v>
      </c>
    </row>
    <row r="1477" spans="1:12">
      <c r="A1477" s="1" t="s">
        <v>1665</v>
      </c>
      <c r="B1477" s="1" t="s">
        <v>1660</v>
      </c>
      <c r="C1477" s="1" t="s">
        <v>1711</v>
      </c>
      <c r="D1477" s="1" t="s">
        <v>1702</v>
      </c>
      <c r="E1477" s="92" t="s">
        <v>2195</v>
      </c>
      <c r="F1477" s="92" t="s">
        <v>2196</v>
      </c>
      <c r="H1477" s="1" t="s">
        <v>1684</v>
      </c>
      <c r="I1477" s="1" t="s">
        <v>1689</v>
      </c>
      <c r="J1477" s="1" t="s">
        <v>1714</v>
      </c>
      <c r="K1477" s="1" t="s">
        <v>1715</v>
      </c>
      <c r="L1477" s="1" t="s">
        <v>1716</v>
      </c>
    </row>
    <row r="1478" spans="1:12">
      <c r="A1478" s="1" t="s">
        <v>1665</v>
      </c>
      <c r="B1478" s="1" t="s">
        <v>1660</v>
      </c>
      <c r="C1478" s="1" t="s">
        <v>1711</v>
      </c>
      <c r="D1478" s="1" t="s">
        <v>1705</v>
      </c>
      <c r="E1478" s="92" t="s">
        <v>2058</v>
      </c>
      <c r="F1478" s="92" t="s">
        <v>1770</v>
      </c>
      <c r="H1478" s="1" t="s">
        <v>1684</v>
      </c>
      <c r="I1478" s="1" t="s">
        <v>1689</v>
      </c>
      <c r="J1478" s="1" t="s">
        <v>1714</v>
      </c>
      <c r="K1478" s="1" t="s">
        <v>1715</v>
      </c>
      <c r="L1478" s="1" t="s">
        <v>1716</v>
      </c>
    </row>
    <row r="1479" spans="1:12">
      <c r="A1479" s="1" t="s">
        <v>1665</v>
      </c>
      <c r="B1479" s="1" t="s">
        <v>1660</v>
      </c>
      <c r="C1479" s="1" t="s">
        <v>1723</v>
      </c>
      <c r="D1479" s="1" t="s">
        <v>218</v>
      </c>
      <c r="E1479" s="92" t="s">
        <v>2197</v>
      </c>
      <c r="F1479" s="92" t="s">
        <v>2197</v>
      </c>
      <c r="G1479" s="92" t="s">
        <v>1765</v>
      </c>
      <c r="H1479" s="1" t="s">
        <v>1684</v>
      </c>
      <c r="I1479" s="1" t="s">
        <v>973</v>
      </c>
      <c r="J1479" s="1" t="s">
        <v>1726</v>
      </c>
      <c r="K1479" s="1" t="s">
        <v>1727</v>
      </c>
      <c r="L1479" s="1" t="s">
        <v>1728</v>
      </c>
    </row>
    <row r="1480" spans="1:12">
      <c r="A1480" s="1" t="s">
        <v>1665</v>
      </c>
      <c r="B1480" s="1" t="s">
        <v>1660</v>
      </c>
      <c r="C1480" s="1" t="s">
        <v>1723</v>
      </c>
      <c r="D1480" s="1" t="s">
        <v>1693</v>
      </c>
      <c r="E1480" s="1" t="s">
        <v>1694</v>
      </c>
      <c r="F1480" s="1" t="s">
        <v>1694</v>
      </c>
      <c r="H1480" s="1" t="s">
        <v>1684</v>
      </c>
      <c r="I1480" s="1" t="s">
        <v>973</v>
      </c>
      <c r="J1480" s="1" t="s">
        <v>1726</v>
      </c>
      <c r="K1480" s="1" t="s">
        <v>1727</v>
      </c>
      <c r="L1480" s="1" t="s">
        <v>1728</v>
      </c>
    </row>
    <row r="1481" spans="1:12">
      <c r="A1481" s="1" t="s">
        <v>1665</v>
      </c>
      <c r="B1481" s="1" t="s">
        <v>1660</v>
      </c>
      <c r="C1481" s="1" t="s">
        <v>1723</v>
      </c>
      <c r="D1481" s="1" t="s">
        <v>1695</v>
      </c>
      <c r="E1481" s="1" t="s">
        <v>1694</v>
      </c>
      <c r="F1481" s="1" t="s">
        <v>1694</v>
      </c>
      <c r="H1481" s="1" t="s">
        <v>1684</v>
      </c>
      <c r="I1481" s="1" t="s">
        <v>973</v>
      </c>
      <c r="J1481" s="1" t="s">
        <v>1726</v>
      </c>
      <c r="K1481" s="1" t="s">
        <v>1727</v>
      </c>
      <c r="L1481" s="1" t="s">
        <v>1728</v>
      </c>
    </row>
    <row r="1482" spans="1:12">
      <c r="A1482" s="1" t="s">
        <v>1665</v>
      </c>
      <c r="B1482" s="1" t="s">
        <v>1660</v>
      </c>
      <c r="C1482" s="1" t="s">
        <v>1723</v>
      </c>
      <c r="D1482" s="1" t="s">
        <v>1697</v>
      </c>
      <c r="E1482" s="1" t="s">
        <v>1698</v>
      </c>
      <c r="F1482" s="1" t="s">
        <v>1698</v>
      </c>
      <c r="H1482" s="1" t="s">
        <v>1684</v>
      </c>
      <c r="I1482" s="1" t="s">
        <v>973</v>
      </c>
      <c r="J1482" s="1" t="s">
        <v>1726</v>
      </c>
      <c r="K1482" s="1" t="s">
        <v>1727</v>
      </c>
      <c r="L1482" s="1" t="s">
        <v>1728</v>
      </c>
    </row>
    <row r="1483" spans="1:12">
      <c r="A1483" s="1" t="s">
        <v>1665</v>
      </c>
      <c r="B1483" s="1" t="s">
        <v>1660</v>
      </c>
      <c r="C1483" s="1" t="s">
        <v>1729</v>
      </c>
      <c r="D1483" s="1" t="s">
        <v>1708</v>
      </c>
      <c r="E1483" s="1" t="s">
        <v>1730</v>
      </c>
      <c r="F1483" s="1" t="s">
        <v>1730</v>
      </c>
      <c r="H1483" s="1" t="s">
        <v>1684</v>
      </c>
      <c r="I1483" s="1" t="s">
        <v>1731</v>
      </c>
      <c r="J1483" s="1" t="s">
        <v>1732</v>
      </c>
      <c r="K1483" s="1" t="s">
        <v>1733</v>
      </c>
      <c r="L1483" s="1" t="s">
        <v>1734</v>
      </c>
    </row>
    <row r="1484" spans="1:12">
      <c r="A1484" s="1" t="s">
        <v>1667</v>
      </c>
      <c r="B1484" s="1" t="s">
        <v>1668</v>
      </c>
      <c r="C1484" s="1" t="s">
        <v>1680</v>
      </c>
      <c r="D1484" s="1" t="s">
        <v>1681</v>
      </c>
      <c r="E1484" s="92" t="s">
        <v>1772</v>
      </c>
      <c r="F1484" s="92" t="s">
        <v>1773</v>
      </c>
      <c r="H1484" s="1" t="s">
        <v>1684</v>
      </c>
    </row>
    <row r="1485" spans="1:12">
      <c r="A1485" s="1" t="s">
        <v>1667</v>
      </c>
      <c r="B1485" s="1" t="s">
        <v>1668</v>
      </c>
      <c r="C1485" s="1" t="s">
        <v>1680</v>
      </c>
      <c r="D1485" s="1" t="s">
        <v>1685</v>
      </c>
      <c r="E1485" s="1" t="s">
        <v>1669</v>
      </c>
      <c r="F1485" s="1" t="s">
        <v>1526</v>
      </c>
      <c r="H1485" s="1" t="s">
        <v>2212</v>
      </c>
    </row>
    <row r="1486" spans="1:12">
      <c r="A1486" s="1" t="s">
        <v>1667</v>
      </c>
      <c r="B1486" s="1" t="s">
        <v>1668</v>
      </c>
      <c r="C1486" s="1" t="s">
        <v>1680</v>
      </c>
      <c r="D1486" s="1" t="s">
        <v>2213</v>
      </c>
      <c r="E1486" s="1" t="s">
        <v>2214</v>
      </c>
      <c r="F1486" s="1" t="s">
        <v>2215</v>
      </c>
      <c r="H1486" s="1" t="s">
        <v>1684</v>
      </c>
    </row>
    <row r="1487" spans="1:12">
      <c r="A1487" s="1" t="s">
        <v>1670</v>
      </c>
      <c r="B1487" s="1" t="s">
        <v>1668</v>
      </c>
      <c r="C1487" s="1" t="s">
        <v>1680</v>
      </c>
      <c r="D1487" s="1" t="s">
        <v>1681</v>
      </c>
      <c r="E1487" s="92" t="s">
        <v>1809</v>
      </c>
      <c r="F1487" s="92" t="s">
        <v>1810</v>
      </c>
      <c r="H1487" s="1" t="s">
        <v>1684</v>
      </c>
    </row>
    <row r="1488" spans="1:12">
      <c r="A1488" s="1" t="s">
        <v>1670</v>
      </c>
      <c r="B1488" s="1" t="s">
        <v>1668</v>
      </c>
      <c r="C1488" s="1" t="s">
        <v>1680</v>
      </c>
      <c r="D1488" s="1" t="s">
        <v>1685</v>
      </c>
      <c r="E1488" s="1" t="s">
        <v>1672</v>
      </c>
      <c r="F1488" s="1" t="s">
        <v>1672</v>
      </c>
      <c r="H1488" s="1" t="s">
        <v>1684</v>
      </c>
    </row>
    <row r="1489" spans="1:8">
      <c r="A1489" s="1" t="s">
        <v>1670</v>
      </c>
      <c r="B1489" s="1" t="s">
        <v>1668</v>
      </c>
      <c r="C1489" s="1" t="s">
        <v>1680</v>
      </c>
      <c r="D1489" s="1" t="s">
        <v>2213</v>
      </c>
      <c r="E1489" s="1" t="s">
        <v>2214</v>
      </c>
      <c r="F1489" s="1" t="s">
        <v>2215</v>
      </c>
      <c r="H1489" s="1" t="s">
        <v>1684</v>
      </c>
    </row>
    <row r="1490" spans="1:8">
      <c r="A1490" s="1" t="s">
        <v>1673</v>
      </c>
      <c r="B1490" s="1" t="s">
        <v>1668</v>
      </c>
      <c r="C1490" s="1" t="s">
        <v>1680</v>
      </c>
      <c r="D1490" s="1" t="s">
        <v>1681</v>
      </c>
      <c r="E1490" s="92" t="s">
        <v>1911</v>
      </c>
      <c r="F1490" s="92" t="s">
        <v>1912</v>
      </c>
      <c r="H1490" s="1" t="s">
        <v>1684</v>
      </c>
    </row>
    <row r="1491" spans="1:8">
      <c r="A1491" s="1" t="s">
        <v>1673</v>
      </c>
      <c r="B1491" s="1" t="s">
        <v>1668</v>
      </c>
      <c r="C1491" s="1" t="s">
        <v>1680</v>
      </c>
      <c r="D1491" s="1" t="s">
        <v>1685</v>
      </c>
      <c r="E1491" s="1" t="s">
        <v>917</v>
      </c>
      <c r="F1491" s="1" t="s">
        <v>917</v>
      </c>
      <c r="H1491" s="1" t="s">
        <v>1684</v>
      </c>
    </row>
    <row r="1492" spans="1:8">
      <c r="A1492" s="1" t="s">
        <v>1673</v>
      </c>
      <c r="B1492" s="1" t="s">
        <v>1668</v>
      </c>
      <c r="C1492" s="1" t="s">
        <v>1680</v>
      </c>
      <c r="D1492" s="1" t="s">
        <v>2213</v>
      </c>
      <c r="E1492" s="1" t="s">
        <v>2214</v>
      </c>
      <c r="F1492" s="1" t="s">
        <v>2215</v>
      </c>
      <c r="H1492" s="1" t="s">
        <v>1684</v>
      </c>
    </row>
    <row r="1493" spans="1:8">
      <c r="A1493" s="1" t="s">
        <v>1648</v>
      </c>
      <c r="B1493" s="1" t="s">
        <v>1649</v>
      </c>
      <c r="C1493" s="1" t="s">
        <v>1680</v>
      </c>
      <c r="D1493" s="1" t="s">
        <v>2216</v>
      </c>
      <c r="E1493" s="1" t="s">
        <v>2217</v>
      </c>
      <c r="F1493" s="1" t="s">
        <v>2218</v>
      </c>
      <c r="H1493" s="1" t="s">
        <v>1534</v>
      </c>
    </row>
    <row r="1494" spans="1:8">
      <c r="A1494" s="1" t="s">
        <v>1648</v>
      </c>
      <c r="B1494" s="1" t="s">
        <v>1649</v>
      </c>
      <c r="C1494" s="1" t="s">
        <v>1680</v>
      </c>
      <c r="D1494" s="1" t="s">
        <v>2216</v>
      </c>
      <c r="E1494" s="1" t="s">
        <v>2217</v>
      </c>
      <c r="F1494" s="1" t="s">
        <v>2219</v>
      </c>
      <c r="H1494" s="1" t="s">
        <v>1534</v>
      </c>
    </row>
    <row r="1495" spans="1:8">
      <c r="A1495" s="1" t="s">
        <v>1648</v>
      </c>
      <c r="B1495" s="1" t="s">
        <v>1649</v>
      </c>
      <c r="C1495" s="1" t="s">
        <v>1680</v>
      </c>
      <c r="D1495" s="1" t="s">
        <v>2216</v>
      </c>
      <c r="E1495" s="1" t="s">
        <v>2217</v>
      </c>
      <c r="F1495" s="1" t="s">
        <v>2220</v>
      </c>
      <c r="H1495" s="1" t="s">
        <v>1534</v>
      </c>
    </row>
    <row r="1496" spans="1:8">
      <c r="A1496" s="1" t="s">
        <v>1648</v>
      </c>
      <c r="B1496" s="1" t="s">
        <v>1649</v>
      </c>
      <c r="C1496" s="1" t="s">
        <v>1680</v>
      </c>
      <c r="D1496" s="1" t="s">
        <v>2216</v>
      </c>
      <c r="E1496" s="1" t="s">
        <v>2217</v>
      </c>
      <c r="F1496" s="1" t="s">
        <v>2221</v>
      </c>
      <c r="H1496" s="1" t="s">
        <v>1534</v>
      </c>
    </row>
    <row r="1497" spans="1:8">
      <c r="A1497" s="1" t="s">
        <v>1648</v>
      </c>
      <c r="B1497" s="1" t="s">
        <v>1649</v>
      </c>
      <c r="C1497" s="1" t="s">
        <v>1680</v>
      </c>
      <c r="D1497" s="1" t="s">
        <v>2216</v>
      </c>
      <c r="E1497" s="1" t="s">
        <v>2217</v>
      </c>
      <c r="F1497" s="1" t="s">
        <v>2222</v>
      </c>
      <c r="H1497" s="1" t="s">
        <v>1534</v>
      </c>
    </row>
    <row r="1498" spans="1:8">
      <c r="A1498" s="1" t="s">
        <v>1648</v>
      </c>
      <c r="B1498" s="1" t="s">
        <v>1649</v>
      </c>
      <c r="C1498" s="1" t="s">
        <v>1680</v>
      </c>
      <c r="D1498" s="1" t="s">
        <v>2216</v>
      </c>
      <c r="E1498" s="1" t="s">
        <v>2217</v>
      </c>
      <c r="F1498" s="1" t="s">
        <v>2223</v>
      </c>
      <c r="H1498" s="1" t="s">
        <v>1534</v>
      </c>
    </row>
    <row r="1499" spans="1:8">
      <c r="A1499" s="1" t="s">
        <v>1648</v>
      </c>
      <c r="B1499" s="1" t="s">
        <v>1649</v>
      </c>
      <c r="C1499" s="1" t="s">
        <v>1680</v>
      </c>
      <c r="D1499" s="1" t="s">
        <v>2216</v>
      </c>
      <c r="E1499" s="1" t="s">
        <v>2217</v>
      </c>
      <c r="F1499" s="1" t="s">
        <v>2224</v>
      </c>
      <c r="H1499" s="1" t="s">
        <v>1534</v>
      </c>
    </row>
    <row r="1500" spans="1:8">
      <c r="A1500" s="1" t="s">
        <v>1648</v>
      </c>
      <c r="B1500" s="1" t="s">
        <v>1649</v>
      </c>
      <c r="C1500" s="1" t="s">
        <v>1680</v>
      </c>
      <c r="D1500" s="1" t="s">
        <v>2216</v>
      </c>
      <c r="E1500" s="1" t="s">
        <v>2217</v>
      </c>
      <c r="F1500" s="1" t="s">
        <v>2225</v>
      </c>
      <c r="H1500" s="1" t="s">
        <v>1534</v>
      </c>
    </row>
    <row r="1501" spans="1:8">
      <c r="A1501" s="1" t="s">
        <v>1648</v>
      </c>
      <c r="B1501" s="1" t="s">
        <v>1649</v>
      </c>
      <c r="C1501" s="1" t="s">
        <v>1680</v>
      </c>
      <c r="D1501" s="1" t="s">
        <v>2216</v>
      </c>
      <c r="E1501" s="1" t="s">
        <v>2217</v>
      </c>
      <c r="F1501" s="1" t="s">
        <v>2226</v>
      </c>
      <c r="H1501" s="1" t="s">
        <v>1534</v>
      </c>
    </row>
    <row r="1502" spans="1:8">
      <c r="A1502" s="1" t="s">
        <v>1648</v>
      </c>
      <c r="B1502" s="1" t="s">
        <v>1649</v>
      </c>
      <c r="C1502" s="1" t="s">
        <v>1680</v>
      </c>
      <c r="D1502" s="1" t="s">
        <v>2216</v>
      </c>
      <c r="E1502" s="1" t="s">
        <v>2217</v>
      </c>
      <c r="F1502" s="1" t="s">
        <v>2227</v>
      </c>
      <c r="H1502" s="1" t="s">
        <v>1534</v>
      </c>
    </row>
    <row r="1503" spans="1:8">
      <c r="A1503" s="1" t="s">
        <v>1648</v>
      </c>
      <c r="B1503" s="1" t="s">
        <v>1649</v>
      </c>
      <c r="C1503" s="1" t="s">
        <v>1680</v>
      </c>
      <c r="D1503" s="1" t="s">
        <v>2216</v>
      </c>
      <c r="E1503" s="1" t="s">
        <v>2217</v>
      </c>
      <c r="F1503" s="1" t="s">
        <v>2228</v>
      </c>
      <c r="H1503" s="1" t="s">
        <v>1534</v>
      </c>
    </row>
    <row r="1504" spans="1:8">
      <c r="A1504" s="1" t="s">
        <v>1648</v>
      </c>
      <c r="B1504" s="1" t="s">
        <v>1649</v>
      </c>
      <c r="C1504" s="1" t="s">
        <v>1680</v>
      </c>
      <c r="D1504" s="1" t="s">
        <v>2216</v>
      </c>
      <c r="E1504" s="1" t="s">
        <v>2217</v>
      </c>
      <c r="F1504" s="1" t="s">
        <v>2229</v>
      </c>
      <c r="H1504" s="1" t="s">
        <v>1534</v>
      </c>
    </row>
    <row r="1505" spans="1:8">
      <c r="A1505" s="1" t="s">
        <v>1648</v>
      </c>
      <c r="B1505" s="1" t="s">
        <v>1649</v>
      </c>
      <c r="C1505" s="1" t="s">
        <v>1680</v>
      </c>
      <c r="D1505" s="1" t="s">
        <v>2216</v>
      </c>
      <c r="E1505" s="1" t="s">
        <v>2217</v>
      </c>
      <c r="F1505" s="1" t="s">
        <v>2230</v>
      </c>
      <c r="H1505" s="1" t="s">
        <v>1534</v>
      </c>
    </row>
    <row r="1506" spans="1:8">
      <c r="A1506" s="1" t="s">
        <v>1648</v>
      </c>
      <c r="B1506" s="1" t="s">
        <v>1649</v>
      </c>
      <c r="C1506" s="1" t="s">
        <v>1680</v>
      </c>
      <c r="D1506" s="1" t="s">
        <v>2216</v>
      </c>
      <c r="E1506" s="1" t="s">
        <v>2217</v>
      </c>
      <c r="F1506" s="1" t="s">
        <v>2231</v>
      </c>
      <c r="H1506" s="1" t="s">
        <v>1534</v>
      </c>
    </row>
    <row r="1507" spans="1:8">
      <c r="A1507" s="1" t="s">
        <v>1648</v>
      </c>
      <c r="B1507" s="1" t="s">
        <v>1649</v>
      </c>
      <c r="C1507" s="1" t="s">
        <v>1680</v>
      </c>
      <c r="D1507" s="1" t="s">
        <v>2216</v>
      </c>
      <c r="E1507" s="1" t="s">
        <v>2217</v>
      </c>
      <c r="F1507" s="1" t="s">
        <v>2232</v>
      </c>
      <c r="H1507" s="1" t="s">
        <v>1534</v>
      </c>
    </row>
    <row r="1508" spans="1:8">
      <c r="A1508" s="1" t="s">
        <v>1648</v>
      </c>
      <c r="B1508" s="1" t="s">
        <v>1649</v>
      </c>
      <c r="C1508" s="1" t="s">
        <v>1680</v>
      </c>
      <c r="D1508" s="1" t="s">
        <v>2216</v>
      </c>
      <c r="E1508" s="1" t="s">
        <v>2217</v>
      </c>
      <c r="F1508" s="1" t="s">
        <v>2233</v>
      </c>
      <c r="H1508" s="1" t="s">
        <v>1534</v>
      </c>
    </row>
    <row r="1509" spans="1:8">
      <c r="A1509" s="1" t="s">
        <v>1648</v>
      </c>
      <c r="B1509" s="1" t="s">
        <v>1649</v>
      </c>
      <c r="C1509" s="1" t="s">
        <v>1680</v>
      </c>
      <c r="D1509" s="1" t="s">
        <v>2216</v>
      </c>
      <c r="E1509" s="1" t="s">
        <v>2217</v>
      </c>
      <c r="F1509" s="1" t="s">
        <v>2234</v>
      </c>
      <c r="H1509" s="1" t="s">
        <v>1534</v>
      </c>
    </row>
  </sheetData>
  <pageMargins left="0.78749999999999998" right="0.78749999999999998" top="1.05277777777778" bottom="1.05277777777778" header="0.78749999999999998" footer="0.78749999999999998"/>
  <pageSetup paperSize="9" orientation="portrait" horizontalDpi="300" verticalDpi="300"/>
  <headerFooter>
    <oddHeader>&amp;C&amp;"Times New Roman,Regular"&amp;12&amp;Kffffff&amp;A</oddHeader>
    <oddFooter>&amp;C&amp;"Times New Roman,Regular"&amp;12&amp;KffffffPage &amp;P</oddFooter>
  </headerFooter>
</worksheet>
</file>

<file path=xl/worksheets/sheet2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C00-000000000000}">
  <dimension ref="A1:F7"/>
  <sheetViews>
    <sheetView zoomScaleNormal="100" workbookViewId="0"/>
  </sheetViews>
  <sheetFormatPr baseColWidth="10" defaultColWidth="11.5703125" defaultRowHeight="15"/>
  <cols>
    <col min="1" max="1" width="9.140625" style="1" customWidth="1"/>
    <col min="2" max="2" width="21.42578125" style="1" customWidth="1"/>
    <col min="3" max="3" width="46" style="1" customWidth="1"/>
    <col min="4" max="4" width="102.140625" style="1" customWidth="1"/>
    <col min="5" max="5" width="17.42578125" style="1" customWidth="1"/>
    <col min="6" max="6" width="81.7109375" style="1" customWidth="1"/>
  </cols>
  <sheetData>
    <row r="1" spans="1:6" ht="17.25">
      <c r="A1" s="89" t="s">
        <v>2235</v>
      </c>
    </row>
    <row r="3" spans="1:6">
      <c r="A3" s="91" t="s">
        <v>1443</v>
      </c>
      <c r="B3" s="91" t="s">
        <v>2236</v>
      </c>
      <c r="C3" s="91" t="s">
        <v>2237</v>
      </c>
      <c r="D3" s="91" t="s">
        <v>2238</v>
      </c>
      <c r="E3" s="91" t="s">
        <v>2239</v>
      </c>
      <c r="F3" s="91" t="s">
        <v>2240</v>
      </c>
    </row>
    <row r="4" spans="1:6">
      <c r="A4" s="1" t="s">
        <v>2241</v>
      </c>
      <c r="B4" s="1" t="s">
        <v>2242</v>
      </c>
      <c r="C4" s="1" t="s">
        <v>2243</v>
      </c>
      <c r="D4" s="1" t="s">
        <v>2244</v>
      </c>
      <c r="E4" s="1" t="s">
        <v>2245</v>
      </c>
      <c r="F4" s="1" t="s">
        <v>2246</v>
      </c>
    </row>
    <row r="5" spans="1:6">
      <c r="A5" s="1" t="s">
        <v>2247</v>
      </c>
      <c r="B5" s="1" t="s">
        <v>2248</v>
      </c>
      <c r="C5" s="1" t="s">
        <v>2249</v>
      </c>
      <c r="D5" s="1" t="s">
        <v>2250</v>
      </c>
      <c r="E5" s="1" t="s">
        <v>2251</v>
      </c>
      <c r="F5" s="1" t="s">
        <v>2252</v>
      </c>
    </row>
    <row r="6" spans="1:6">
      <c r="A6" s="1" t="s">
        <v>2253</v>
      </c>
      <c r="B6" s="1" t="s">
        <v>2254</v>
      </c>
      <c r="C6" s="1" t="s">
        <v>2255</v>
      </c>
      <c r="D6" s="1" t="s">
        <v>2256</v>
      </c>
      <c r="E6" s="1" t="s">
        <v>2257</v>
      </c>
      <c r="F6" s="1" t="s">
        <v>2258</v>
      </c>
    </row>
    <row r="7" spans="1:6">
      <c r="A7" s="1" t="s">
        <v>2259</v>
      </c>
      <c r="B7" s="1" t="s">
        <v>929</v>
      </c>
      <c r="C7" s="1" t="s">
        <v>2260</v>
      </c>
      <c r="D7" s="1" t="s">
        <v>2261</v>
      </c>
      <c r="E7" s="1" t="s">
        <v>2257</v>
      </c>
      <c r="F7" s="1" t="s">
        <v>2262</v>
      </c>
    </row>
  </sheetData>
  <pageMargins left="0.78749999999999998" right="0.78749999999999998" top="1.05277777777778" bottom="1.05277777777778" header="0.78749999999999998" footer="0.78749999999999998"/>
  <pageSetup paperSize="9" orientation="portrait" horizontalDpi="300" verticalDpi="300"/>
  <headerFooter>
    <oddHeader>&amp;C&amp;"Times New Roman,Regular"&amp;12&amp;Kffffff&amp;A</oddHeader>
    <oddFooter>&amp;C&amp;"Times New Roman,Regular"&amp;12&amp;KffffffPage &amp;P</oddFooter>
  </headerFooter>
</worksheet>
</file>

<file path=xl/worksheets/sheet3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D00-000000000000}">
  <dimension ref="A1:E10"/>
  <sheetViews>
    <sheetView zoomScaleNormal="100" workbookViewId="0"/>
  </sheetViews>
  <sheetFormatPr baseColWidth="10" defaultColWidth="11.5703125" defaultRowHeight="15"/>
  <cols>
    <col min="1" max="1" width="12.28515625" style="1" customWidth="1"/>
    <col min="2" max="2" width="8.140625" style="1" customWidth="1"/>
    <col min="3" max="4" width="46" style="1" customWidth="1"/>
    <col min="5" max="5" width="13.28515625" style="1" customWidth="1"/>
  </cols>
  <sheetData>
    <row r="1" spans="1:5" ht="17.25">
      <c r="A1" s="89" t="s">
        <v>2263</v>
      </c>
    </row>
    <row r="3" spans="1:5">
      <c r="A3" s="91" t="s">
        <v>574</v>
      </c>
      <c r="B3" s="91" t="s">
        <v>2264</v>
      </c>
      <c r="C3" s="91" t="s">
        <v>2265</v>
      </c>
      <c r="D3" s="91" t="s">
        <v>2266</v>
      </c>
      <c r="E3" s="91" t="s">
        <v>2267</v>
      </c>
    </row>
    <row r="4" spans="1:5">
      <c r="A4" s="1" t="s">
        <v>2268</v>
      </c>
      <c r="B4" s="1">
        <v>0</v>
      </c>
      <c r="C4" s="1" t="s">
        <v>2269</v>
      </c>
      <c r="D4" s="1" t="s">
        <v>2269</v>
      </c>
      <c r="E4" s="1" t="s">
        <v>2270</v>
      </c>
    </row>
    <row r="5" spans="1:5">
      <c r="A5" s="1" t="s">
        <v>2271</v>
      </c>
      <c r="B5" s="1">
        <v>0</v>
      </c>
      <c r="C5" s="1" t="s">
        <v>2272</v>
      </c>
      <c r="D5" s="1" t="s">
        <v>2272</v>
      </c>
      <c r="E5" s="1" t="s">
        <v>2270</v>
      </c>
    </row>
    <row r="6" spans="1:5">
      <c r="A6" s="1" t="s">
        <v>2273</v>
      </c>
      <c r="B6" s="1">
        <v>45</v>
      </c>
      <c r="C6" s="1" t="s">
        <v>2274</v>
      </c>
      <c r="D6" s="1" t="s">
        <v>2274</v>
      </c>
      <c r="E6" s="1" t="s">
        <v>2270</v>
      </c>
    </row>
    <row r="7" spans="1:5">
      <c r="A7" s="1" t="s">
        <v>2275</v>
      </c>
      <c r="B7" s="1">
        <v>61</v>
      </c>
      <c r="C7" s="1" t="s">
        <v>2276</v>
      </c>
      <c r="D7" s="1" t="s">
        <v>2276</v>
      </c>
      <c r="E7" s="1" t="s">
        <v>2270</v>
      </c>
    </row>
    <row r="8" spans="1:5">
      <c r="A8" s="1" t="s">
        <v>2277</v>
      </c>
      <c r="B8" s="1">
        <v>61</v>
      </c>
      <c r="C8" s="1" t="s">
        <v>2278</v>
      </c>
      <c r="D8" s="1" t="s">
        <v>2278</v>
      </c>
      <c r="E8" s="1" t="s">
        <v>2270</v>
      </c>
    </row>
    <row r="9" spans="1:5">
      <c r="A9" s="1" t="s">
        <v>2279</v>
      </c>
      <c r="B9" s="1">
        <v>0</v>
      </c>
      <c r="C9" s="1" t="s">
        <v>2280</v>
      </c>
      <c r="D9" s="1" t="s">
        <v>2280</v>
      </c>
      <c r="E9" s="1" t="s">
        <v>2270</v>
      </c>
    </row>
    <row r="10" spans="1:5">
      <c r="A10" s="1" t="s">
        <v>2281</v>
      </c>
      <c r="B10" s="1">
        <v>0</v>
      </c>
      <c r="C10" s="1" t="s">
        <v>2282</v>
      </c>
      <c r="D10" s="1" t="s">
        <v>2282</v>
      </c>
      <c r="E10" s="1" t="s">
        <v>2270</v>
      </c>
    </row>
  </sheetData>
  <pageMargins left="0.78749999999999998" right="0.78749999999999998" top="1.05277777777778" bottom="1.05277777777778" header="0.78749999999999998" footer="0.78749999999999998"/>
  <pageSetup paperSize="9" orientation="portrait" horizontalDpi="300" verticalDpi="300"/>
  <headerFooter>
    <oddHeader>&amp;C&amp;"Times New Roman,Regular"&amp;12&amp;Kffffff&amp;A</oddHeader>
    <oddFooter>&amp;C&amp;"Times New Roman,Regular"&amp;12&amp;KffffffPage &amp;P</oddFooter>
  </headerFooter>
</worksheet>
</file>

<file path=xl/worksheets/sheet3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E00-000000000000}">
  <dimension ref="A1:A60"/>
  <sheetViews>
    <sheetView zoomScaleNormal="100" workbookViewId="0"/>
  </sheetViews>
  <sheetFormatPr baseColWidth="10" defaultColWidth="11.5703125" defaultRowHeight="15"/>
  <cols>
    <col min="1" max="1" width="122.5703125" style="1" customWidth="1"/>
  </cols>
  <sheetData>
    <row r="1" spans="1:1" ht="17.25">
      <c r="A1" s="89" t="s">
        <v>2283</v>
      </c>
    </row>
    <row r="3" spans="1:1">
      <c r="A3" s="1" t="s">
        <v>2284</v>
      </c>
    </row>
    <row r="4" spans="1:1">
      <c r="A4" s="1" t="s">
        <v>2285</v>
      </c>
    </row>
    <row r="5" spans="1:1">
      <c r="A5" s="1" t="s">
        <v>2286</v>
      </c>
    </row>
    <row r="6" spans="1:1">
      <c r="A6" s="1" t="s">
        <v>2287</v>
      </c>
    </row>
    <row r="8" spans="1:1">
      <c r="A8" s="1" t="s">
        <v>2288</v>
      </c>
    </row>
    <row r="9" spans="1:1">
      <c r="A9" s="1" t="s">
        <v>2289</v>
      </c>
    </row>
    <row r="10" spans="1:1">
      <c r="A10" s="1" t="s">
        <v>2290</v>
      </c>
    </row>
    <row r="11" spans="1:1">
      <c r="A11" s="1" t="s">
        <v>2291</v>
      </c>
    </row>
    <row r="12" spans="1:1">
      <c r="A12" s="1" t="s">
        <v>2292</v>
      </c>
    </row>
    <row r="13" spans="1:1">
      <c r="A13" s="1" t="s">
        <v>2293</v>
      </c>
    </row>
    <row r="14" spans="1:1">
      <c r="A14" s="1" t="s">
        <v>2294</v>
      </c>
    </row>
    <row r="15" spans="1:1">
      <c r="A15" s="1" t="s">
        <v>2295</v>
      </c>
    </row>
    <row r="16" spans="1:1">
      <c r="A16" s="1" t="s">
        <v>2296</v>
      </c>
    </row>
    <row r="17" spans="1:1">
      <c r="A17" s="1" t="s">
        <v>2297</v>
      </c>
    </row>
    <row r="19" spans="1:1">
      <c r="A19" s="1" t="s">
        <v>2298</v>
      </c>
    </row>
    <row r="20" spans="1:1">
      <c r="A20" s="1" t="s">
        <v>2289</v>
      </c>
    </row>
    <row r="21" spans="1:1">
      <c r="A21" s="1" t="s">
        <v>2299</v>
      </c>
    </row>
    <row r="22" spans="1:1">
      <c r="A22" s="1" t="s">
        <v>2300</v>
      </c>
    </row>
    <row r="23" spans="1:1">
      <c r="A23" s="1" t="s">
        <v>2301</v>
      </c>
    </row>
    <row r="24" spans="1:1">
      <c r="A24" s="1" t="s">
        <v>2302</v>
      </c>
    </row>
    <row r="25" spans="1:1">
      <c r="A25" s="1" t="s">
        <v>2303</v>
      </c>
    </row>
    <row r="26" spans="1:1">
      <c r="A26" s="1" t="s">
        <v>2304</v>
      </c>
    </row>
    <row r="27" spans="1:1">
      <c r="A27" s="1" t="s">
        <v>2305</v>
      </c>
    </row>
    <row r="28" spans="1:1">
      <c r="A28" s="1" t="s">
        <v>2306</v>
      </c>
    </row>
    <row r="29" spans="1:1">
      <c r="A29" s="1" t="s">
        <v>2307</v>
      </c>
    </row>
    <row r="31" spans="1:1">
      <c r="A31" s="1" t="s">
        <v>2308</v>
      </c>
    </row>
    <row r="32" spans="1:1">
      <c r="A32" s="1" t="s">
        <v>2289</v>
      </c>
    </row>
    <row r="33" spans="1:1">
      <c r="A33" s="1" t="s">
        <v>2309</v>
      </c>
    </row>
    <row r="34" spans="1:1">
      <c r="A34" s="1" t="s">
        <v>2310</v>
      </c>
    </row>
    <row r="35" spans="1:1">
      <c r="A35" s="1" t="s">
        <v>2311</v>
      </c>
    </row>
    <row r="36" spans="1:1">
      <c r="A36" s="1" t="s">
        <v>2312</v>
      </c>
    </row>
    <row r="37" spans="1:1">
      <c r="A37" s="1" t="s">
        <v>2313</v>
      </c>
    </row>
    <row r="38" spans="1:1">
      <c r="A38" s="1" t="s">
        <v>2314</v>
      </c>
    </row>
    <row r="40" spans="1:1">
      <c r="A40" s="1" t="s">
        <v>2315</v>
      </c>
    </row>
    <row r="41" spans="1:1">
      <c r="A41" s="1" t="s">
        <v>2289</v>
      </c>
    </row>
    <row r="42" spans="1:1">
      <c r="A42" s="1" t="s">
        <v>2316</v>
      </c>
    </row>
    <row r="43" spans="1:1">
      <c r="A43" s="1" t="s">
        <v>2317</v>
      </c>
    </row>
    <row r="44" spans="1:1">
      <c r="A44" s="1" t="s">
        <v>2318</v>
      </c>
    </row>
    <row r="45" spans="1:1">
      <c r="A45" s="1" t="s">
        <v>2319</v>
      </c>
    </row>
    <row r="46" spans="1:1">
      <c r="A46" s="1" t="s">
        <v>2320</v>
      </c>
    </row>
    <row r="47" spans="1:1">
      <c r="A47" s="1" t="s">
        <v>2321</v>
      </c>
    </row>
    <row r="48" spans="1:1">
      <c r="A48" s="1" t="s">
        <v>2322</v>
      </c>
    </row>
    <row r="49" spans="1:1">
      <c r="A49" s="1" t="s">
        <v>2323</v>
      </c>
    </row>
    <row r="50" spans="1:1">
      <c r="A50" s="1" t="s">
        <v>2324</v>
      </c>
    </row>
    <row r="51" spans="1:1">
      <c r="A51" s="1" t="s">
        <v>2325</v>
      </c>
    </row>
    <row r="52" spans="1:1">
      <c r="A52" s="1" t="s">
        <v>2326</v>
      </c>
    </row>
    <row r="53" spans="1:1">
      <c r="A53" s="1" t="s">
        <v>2327</v>
      </c>
    </row>
    <row r="54" spans="1:1">
      <c r="A54" s="1" t="s">
        <v>2328</v>
      </c>
    </row>
    <row r="55" spans="1:1">
      <c r="A55" s="1" t="s">
        <v>2329</v>
      </c>
    </row>
    <row r="56" spans="1:1">
      <c r="A56" s="1" t="s">
        <v>2330</v>
      </c>
    </row>
    <row r="57" spans="1:1">
      <c r="A57" s="1" t="s">
        <v>2331</v>
      </c>
    </row>
    <row r="58" spans="1:1">
      <c r="A58" s="1" t="s">
        <v>2332</v>
      </c>
    </row>
    <row r="60" spans="1:1">
      <c r="A60" s="1" t="s">
        <v>2333</v>
      </c>
    </row>
  </sheetData>
  <pageMargins left="0.78749999999999998" right="0.78749999999999998" top="1.05277777777778" bottom="1.05277777777778" header="0.78749999999999998" footer="0.78749999999999998"/>
  <pageSetup paperSize="9" orientation="portrait" horizontalDpi="300" verticalDpi="300"/>
  <headerFooter>
    <oddHeader>&amp;C&amp;"Times New Roman,Regular"&amp;12&amp;Kffffff&amp;A</oddHeader>
    <oddFooter>&amp;C&amp;"Times New Roman,Regular"&amp;12&amp;KffffffPage &amp;P</oddFooter>
  </headerFooter>
</worksheet>
</file>

<file path=docProps/app.xml><?xml version="1.0" encoding="utf-8"?>
<Properties xmlns="http://schemas.openxmlformats.org/officeDocument/2006/extended-properties" xmlns:vt="http://schemas.openxmlformats.org/officeDocument/2006/docPropsVTypes">
  <Template/>
  <TotalTime>0</TotalTime>
  <Application>Microsoft Excel</Application>
  <DocSecurity>0</DocSecurity>
  <ScaleCrop>false</ScaleCrop>
  <HeadingPairs>
    <vt:vector size="2" baseType="variant">
      <vt:variant>
        <vt:lpstr>Hojas de cálculo</vt:lpstr>
      </vt:variant>
      <vt:variant>
        <vt:i4>31</vt:i4>
      </vt:variant>
    </vt:vector>
  </HeadingPairs>
  <TitlesOfParts>
    <vt:vector size="31" baseType="lpstr">
      <vt:lpstr>INICIO</vt:lpstr>
      <vt:lpstr>Ingreso</vt:lpstr>
      <vt:lpstr>Cálculos</vt:lpstr>
      <vt:lpstr>Interpretación</vt:lpstr>
      <vt:lpstr>GRÁFICO</vt:lpstr>
      <vt:lpstr>Informe</vt:lpstr>
      <vt:lpstr>FUENTES</vt:lpstr>
      <vt:lpstr>Tablas_OMS</vt:lpstr>
      <vt:lpstr>CHANGELOG</vt:lpstr>
      <vt:lpstr>PRUEBAS_COMPATIBILIDAD</vt:lpstr>
      <vt:lpstr>OMS_TABLAS_OFICIALES</vt:lpstr>
      <vt:lpstr>REGLAS_OFICIALES</vt:lpstr>
      <vt:lpstr>SITUACIONES_ESPECIALES</vt:lpstr>
      <vt:lpstr>VALIDACION_TABLAS</vt:lpstr>
      <vt:lpstr>MOD_CICLO_PEDIATRICO</vt:lpstr>
      <vt:lpstr>MOD_PREMATURIDAD</vt:lpstr>
      <vt:lpstr>MOD_PERIMETRO_CEFALICO</vt:lpstr>
      <vt:lpstr>MOD_SINDROME_DOWN</vt:lpstr>
      <vt:lpstr>MOD_PARALISIS_CEREBRAL</vt:lpstr>
      <vt:lpstr>MOD_EDAD_BIOLOGICA</vt:lpstr>
      <vt:lpstr>UDD_TRAZABILIDAD</vt:lpstr>
      <vt:lpstr>OMS_PCE_0_60</vt:lpstr>
      <vt:lpstr>PCE_CORRECCION_TALLA</vt:lpstr>
      <vt:lpstr>DOWN_INTEGRADO</vt:lpstr>
      <vt:lpstr>FUENTES_RESUELTAS</vt:lpstr>
      <vt:lpstr>RESUMEN</vt:lpstr>
      <vt:lpstr>CASOS</vt:lpstr>
      <vt:lpstr>VERIFICACIONES</vt:lpstr>
      <vt:lpstr>HALLAZGOS</vt:lpstr>
      <vt:lpstr>INTEGRIDAD_TABLAS</vt:lpstr>
      <vt:lpstr>LOG</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Daniel</dc:creator>
  <dc:description/>
  <cp:lastModifiedBy>Daniel</cp:lastModifiedBy>
  <cp:revision>2</cp:revision>
  <dcterms:created xsi:type="dcterms:W3CDTF">2026-08-06T08:12:04Z</dcterms:created>
  <dcterms:modified xsi:type="dcterms:W3CDTF">2026-08-17T21:11:11Z</dcterms:modified>
  <dc:language>en-US</dc:language>
</cp:coreProperties>
</file>